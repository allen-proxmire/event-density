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" sheetId="1" r:id="rId5"/>
    <sheet state="visible" name="Table2" sheetId="2" r:id="rId6"/>
    <sheet state="visible" name="Filtered_RC" sheetId="3" r:id="rId7"/>
    <sheet state="visible" name="OuterPoints" sheetId="4" r:id="rId8"/>
    <sheet state="visible" name="Scatter and Average" sheetId="5" r:id="rId9"/>
  </sheets>
  <definedNames>
    <definedName hidden="1" localSheetId="2" name="_xlnm._FilterDatabase">Filtered_RC!$A$1:$Z$1000</definedName>
  </definedNames>
  <calcPr/>
</workbook>
</file>

<file path=xl/sharedStrings.xml><?xml version="1.0" encoding="utf-8"?>
<sst xmlns="http://schemas.openxmlformats.org/spreadsheetml/2006/main" count="3673" uniqueCount="196">
  <si>
    <t>Galaxy</t>
  </si>
  <si>
    <t>CamB</t>
  </si>
  <si>
    <t>D512-2</t>
  </si>
  <si>
    <t>D564-8</t>
  </si>
  <si>
    <t>D631-7</t>
  </si>
  <si>
    <t>DDO064</t>
  </si>
  <si>
    <t>DDO154</t>
  </si>
  <si>
    <t>DDO161</t>
  </si>
  <si>
    <t>DDO168</t>
  </si>
  <si>
    <t>DDO170</t>
  </si>
  <si>
    <t>ESO444-G084</t>
  </si>
  <si>
    <t>F565-V2</t>
  </si>
  <si>
    <t>F583-1</t>
  </si>
  <si>
    <t>KK98-251</t>
  </si>
  <si>
    <t>NGC1705</t>
  </si>
  <si>
    <t>NGC2366</t>
  </si>
  <si>
    <t>NGC2915</t>
  </si>
  <si>
    <t>NGC3109</t>
  </si>
  <si>
    <t>NGC3741</t>
  </si>
  <si>
    <t>NGC4068</t>
  </si>
  <si>
    <t>NGC6789</t>
  </si>
  <si>
    <t>PGC51017</t>
  </si>
  <si>
    <t>UGC00731</t>
  </si>
  <si>
    <t>UGC00891</t>
  </si>
  <si>
    <t>UGC01281</t>
  </si>
  <si>
    <t>UGC04305</t>
  </si>
  <si>
    <t>UGC04483</t>
  </si>
  <si>
    <t>UGC05716</t>
  </si>
  <si>
    <t>UGC05721</t>
  </si>
  <si>
    <t>UGC05764</t>
  </si>
  <si>
    <t>UGC05829</t>
  </si>
  <si>
    <t>UGC05918</t>
  </si>
  <si>
    <t>UGC06446</t>
  </si>
  <si>
    <t>UGC07232</t>
  </si>
  <si>
    <t>UGC07559</t>
  </si>
  <si>
    <t>UGC07577</t>
  </si>
  <si>
    <t>UGC07603</t>
  </si>
  <si>
    <t>UGC07608</t>
  </si>
  <si>
    <t>UGC07690</t>
  </si>
  <si>
    <t>UGC07866</t>
  </si>
  <si>
    <t>UGC08550</t>
  </si>
  <si>
    <t>UGC08837</t>
  </si>
  <si>
    <t>UGC09992</t>
  </si>
  <si>
    <t>UGC11820</t>
  </si>
  <si>
    <t>UGCA281</t>
  </si>
  <si>
    <t>UGCA442</t>
  </si>
  <si>
    <t>UGCA444</t>
  </si>
  <si>
    <t>Dist</t>
  </si>
  <si>
    <t>Rad</t>
  </si>
  <si>
    <t>Vobs</t>
  </si>
  <si>
    <t>errV</t>
  </si>
  <si>
    <t>Vgas</t>
  </si>
  <si>
    <t>Vdisk</t>
  </si>
  <si>
    <t>Vbulge</t>
  </si>
  <si>
    <t>SB</t>
  </si>
  <si>
    <t>Vdm</t>
  </si>
  <si>
    <t>ESO079-G014</t>
  </si>
  <si>
    <t>ESO116-G012</t>
  </si>
  <si>
    <t>ESO563-G021</t>
  </si>
  <si>
    <t>F561-1</t>
  </si>
  <si>
    <t>F563-1</t>
  </si>
  <si>
    <t>F563-V1</t>
  </si>
  <si>
    <t>F563-V2</t>
  </si>
  <si>
    <t>F567-2</t>
  </si>
  <si>
    <t>F568-1</t>
  </si>
  <si>
    <t>F568-3</t>
  </si>
  <si>
    <t>F568-V1</t>
  </si>
  <si>
    <t>F571-8</t>
  </si>
  <si>
    <t>F571-V1</t>
  </si>
  <si>
    <t>F574-1</t>
  </si>
  <si>
    <t>F574-2</t>
  </si>
  <si>
    <t>F579-V1</t>
  </si>
  <si>
    <t>F583-4</t>
  </si>
  <si>
    <t>IC2574</t>
  </si>
  <si>
    <t>IC4202</t>
  </si>
  <si>
    <t>NGC0024</t>
  </si>
  <si>
    <t>NGC0055</t>
  </si>
  <si>
    <t>NGC0100</t>
  </si>
  <si>
    <t>NGC0247</t>
  </si>
  <si>
    <t>NGC0289</t>
  </si>
  <si>
    <t>NGC0300</t>
  </si>
  <si>
    <t>NGC0801</t>
  </si>
  <si>
    <t>NGC0891</t>
  </si>
  <si>
    <t>NGC1003</t>
  </si>
  <si>
    <t>NGC1090</t>
  </si>
  <si>
    <t>NGC2403</t>
  </si>
  <si>
    <t>NGC2683</t>
  </si>
  <si>
    <t>NGC2841</t>
  </si>
  <si>
    <t>NGC2903</t>
  </si>
  <si>
    <t>NGC2955</t>
  </si>
  <si>
    <t>NGC2976</t>
  </si>
  <si>
    <t>NGC2998</t>
  </si>
  <si>
    <t>NGC3198</t>
  </si>
  <si>
    <t>NGC3521</t>
  </si>
  <si>
    <t>NGC3726</t>
  </si>
  <si>
    <t>NGC3769</t>
  </si>
  <si>
    <t>NGC3877</t>
  </si>
  <si>
    <t>NGC3893</t>
  </si>
  <si>
    <t>NGC3917</t>
  </si>
  <si>
    <t>NGC3949</t>
  </si>
  <si>
    <t>NGC3953</t>
  </si>
  <si>
    <t>NGC3972</t>
  </si>
  <si>
    <t>NGC3992</t>
  </si>
  <si>
    <t>NGC4010</t>
  </si>
  <si>
    <t>NGC4013</t>
  </si>
  <si>
    <t>NGC4051</t>
  </si>
  <si>
    <t>NGC4085</t>
  </si>
  <si>
    <t>NGC4088</t>
  </si>
  <si>
    <t>NGC4100</t>
  </si>
  <si>
    <t>NGC4138</t>
  </si>
  <si>
    <t>NGC4157</t>
  </si>
  <si>
    <t>NGC4183</t>
  </si>
  <si>
    <t>NGC4214</t>
  </si>
  <si>
    <t>NGC4217</t>
  </si>
  <si>
    <t>NGC4389</t>
  </si>
  <si>
    <t>NGC4559</t>
  </si>
  <si>
    <t>NGC5005</t>
  </si>
  <si>
    <t>NGC5033</t>
  </si>
  <si>
    <t>NGC5055</t>
  </si>
  <si>
    <t>NGC5371</t>
  </si>
  <si>
    <t>NGC5585</t>
  </si>
  <si>
    <t>NGC5907</t>
  </si>
  <si>
    <t>NGC5985</t>
  </si>
  <si>
    <t>NGC6015</t>
  </si>
  <si>
    <t>NGC6195</t>
  </si>
  <si>
    <t>NGC6503</t>
  </si>
  <si>
    <t>NGC6674</t>
  </si>
  <si>
    <t>NGC6946</t>
  </si>
  <si>
    <t>NGC7331</t>
  </si>
  <si>
    <t>NGC7793</t>
  </si>
  <si>
    <t>NGC7814</t>
  </si>
  <si>
    <t>UGC00128</t>
  </si>
  <si>
    <t>UGC00191</t>
  </si>
  <si>
    <t>UGC00634</t>
  </si>
  <si>
    <t>UGC01230</t>
  </si>
  <si>
    <t>UGC02023</t>
  </si>
  <si>
    <t>UGC02259</t>
  </si>
  <si>
    <t>UGC02455</t>
  </si>
  <si>
    <t>UGC02487</t>
  </si>
  <si>
    <t>UGC02885</t>
  </si>
  <si>
    <t>UGC02916</t>
  </si>
  <si>
    <t>UGC02953</t>
  </si>
  <si>
    <t>UGC03205</t>
  </si>
  <si>
    <t>UGC03546</t>
  </si>
  <si>
    <t>UGC03580</t>
  </si>
  <si>
    <t>UGC04278</t>
  </si>
  <si>
    <t>UGC04325</t>
  </si>
  <si>
    <t>UGC04499</t>
  </si>
  <si>
    <t>UGC05005</t>
  </si>
  <si>
    <t>UGC05253</t>
  </si>
  <si>
    <t>UGC05414</t>
  </si>
  <si>
    <t>UGC05750</t>
  </si>
  <si>
    <t>UGC05986</t>
  </si>
  <si>
    <t>UGC05999</t>
  </si>
  <si>
    <t>UGC06399</t>
  </si>
  <si>
    <t>UGC06614</t>
  </si>
  <si>
    <t>UGC06628</t>
  </si>
  <si>
    <t>UGC06667</t>
  </si>
  <si>
    <t>UGC06786</t>
  </si>
  <si>
    <t>UGC06787</t>
  </si>
  <si>
    <t>UGC06818</t>
  </si>
  <si>
    <t>UGC06917</t>
  </si>
  <si>
    <t>UGC06923</t>
  </si>
  <si>
    <t>UGC06930</t>
  </si>
  <si>
    <t>UGC06973</t>
  </si>
  <si>
    <t>UGC06983</t>
  </si>
  <si>
    <t>UGC07089</t>
  </si>
  <si>
    <t>UGC07125</t>
  </si>
  <si>
    <t>UGC07151</t>
  </si>
  <si>
    <t>UGC07261</t>
  </si>
  <si>
    <t>UGC07323</t>
  </si>
  <si>
    <t>UGC07399</t>
  </si>
  <si>
    <t>UGC07524</t>
  </si>
  <si>
    <t>UGC08286</t>
  </si>
  <si>
    <t>UGC08490</t>
  </si>
  <si>
    <t>UGC08699</t>
  </si>
  <si>
    <t>UGC09037</t>
  </si>
  <si>
    <t>UGC09133</t>
  </si>
  <si>
    <t>UGC10310</t>
  </si>
  <si>
    <t>UGC11455</t>
  </si>
  <si>
    <t>UGC11557</t>
  </si>
  <si>
    <t>UGC11914</t>
  </si>
  <si>
    <t>UGC12506</t>
  </si>
  <si>
    <t>UGC12632</t>
  </si>
  <si>
    <t>UGC12732</t>
  </si>
  <si>
    <t>Quiet</t>
  </si>
  <si>
    <t>Active</t>
  </si>
  <si>
    <t>Vbar^2</t>
  </si>
  <si>
    <t>D</t>
  </si>
  <si>
    <t>Active/Quiet</t>
  </si>
  <si>
    <t>Quiet_D</t>
  </si>
  <si>
    <t>Active_D</t>
  </si>
  <si>
    <t>Tension</t>
  </si>
  <si>
    <t>Average D</t>
  </si>
  <si>
    <t>Median D</t>
  </si>
  <si>
    <t>Active / Quiet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</si>
</sst>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right"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Arial"/>
              </a:defRPr>
            </a:pPr>
            <a:r>
              <a:rPr b="1" sz="1600">
                <a:solidFill>
                  <a:srgbClr val="757575"/>
                </a:solidFill>
                <a:latin typeface="Arial"/>
              </a:rPr>
              <a:t>Outer-radius discrepancy vs. radius for Quiet and Active dwarfs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'Scatter and Average'!$N$1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'Scatter and Average'!$C$2:$C$1001</c:f>
            </c:numRef>
          </c:xVal>
          <c:yVal>
            <c:numRef>
              <c:f>'Scatter and Average'!$N$2:$N$1001</c:f>
              <c:numCache/>
            </c:numRef>
          </c:yVal>
        </c:ser>
        <c:ser>
          <c:idx val="1"/>
          <c:order val="1"/>
          <c:tx>
            <c:strRef>
              <c:f>'Scatter and Average'!$O$1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'Scatter and Average'!$C$2:$C$1001</c:f>
            </c:numRef>
          </c:xVal>
          <c:yVal>
            <c:numRef>
              <c:f>'Scatter and Average'!$O$2:$O$1001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838680"/>
        <c:axId val="195456217"/>
      </c:scatterChart>
      <c:valAx>
        <c:axId val="1850838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Outer radius (kpc)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456217"/>
      </c:valAx>
      <c:valAx>
        <c:axId val="195456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Outer-radius discrepancy D = Vobs² / Vbar²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838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847725</xdr:colOff>
      <xdr:row>56</xdr:row>
      <xdr:rowOff>85725</xdr:rowOff>
    </xdr:from>
    <xdr:ext cx="6943725" cy="4286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</row>
    <row r="2">
      <c r="A2" s="3" t="s">
        <v>1</v>
      </c>
      <c r="B2" s="3">
        <v>3.36</v>
      </c>
      <c r="C2" s="3">
        <v>0.16</v>
      </c>
      <c r="D2" s="3">
        <v>1.99</v>
      </c>
      <c r="E2" s="3">
        <v>1.5</v>
      </c>
      <c r="F2" s="3">
        <v>1.86</v>
      </c>
      <c r="G2" s="3">
        <v>3.75</v>
      </c>
      <c r="H2" s="3">
        <v>0.0</v>
      </c>
      <c r="I2" s="3">
        <v>30.32</v>
      </c>
      <c r="J2" s="3">
        <v>0.0</v>
      </c>
      <c r="K2" s="4">
        <f t="shared" ref="K2:K3394" si="1">G2^2 + F2^2</f>
        <v>17.5221</v>
      </c>
      <c r="L2" s="4">
        <f t="shared" ref="L2:L3394" si="2"> D2^2 / K2</f>
        <v>0.2260060153</v>
      </c>
    </row>
    <row r="3">
      <c r="A3" s="3" t="s">
        <v>1</v>
      </c>
      <c r="B3" s="3">
        <v>3.36</v>
      </c>
      <c r="C3" s="3">
        <v>0.41</v>
      </c>
      <c r="D3" s="3">
        <v>4.84</v>
      </c>
      <c r="E3" s="3">
        <v>1.5</v>
      </c>
      <c r="F3" s="3">
        <v>4.24</v>
      </c>
      <c r="G3" s="3">
        <v>9.47</v>
      </c>
      <c r="H3" s="3">
        <v>0.0</v>
      </c>
      <c r="I3" s="3">
        <v>23.77</v>
      </c>
      <c r="J3" s="3">
        <v>0.0</v>
      </c>
      <c r="K3" s="4">
        <f t="shared" si="1"/>
        <v>107.6585</v>
      </c>
      <c r="L3" s="4">
        <f t="shared" si="2"/>
        <v>0.2175917368</v>
      </c>
    </row>
    <row r="4">
      <c r="A4" s="3" t="s">
        <v>1</v>
      </c>
      <c r="B4" s="3">
        <v>3.36</v>
      </c>
      <c r="C4" s="3">
        <v>0.57</v>
      </c>
      <c r="D4" s="3">
        <v>6.79</v>
      </c>
      <c r="E4" s="3">
        <v>1.5</v>
      </c>
      <c r="F4" s="3">
        <v>5.61</v>
      </c>
      <c r="G4" s="3">
        <v>11.76</v>
      </c>
      <c r="H4" s="3">
        <v>0.0</v>
      </c>
      <c r="I4" s="3">
        <v>15.87</v>
      </c>
      <c r="J4" s="3">
        <v>0.0</v>
      </c>
      <c r="K4" s="4">
        <f t="shared" si="1"/>
        <v>169.7697</v>
      </c>
      <c r="L4" s="4">
        <f t="shared" si="2"/>
        <v>0.2715684837</v>
      </c>
    </row>
    <row r="5">
      <c r="A5" s="3" t="s">
        <v>1</v>
      </c>
      <c r="B5" s="3">
        <v>3.36</v>
      </c>
      <c r="C5" s="3">
        <v>0.73</v>
      </c>
      <c r="D5" s="3">
        <v>8.87</v>
      </c>
      <c r="E5" s="3">
        <v>1.5</v>
      </c>
      <c r="F5" s="3">
        <v>6.77</v>
      </c>
      <c r="G5" s="3">
        <v>13.72</v>
      </c>
      <c r="H5" s="3">
        <v>0.0</v>
      </c>
      <c r="I5" s="3">
        <v>12.4</v>
      </c>
      <c r="J5" s="3">
        <v>0.0</v>
      </c>
      <c r="K5" s="4">
        <f t="shared" si="1"/>
        <v>234.0713</v>
      </c>
      <c r="L5" s="4">
        <f t="shared" si="2"/>
        <v>0.3361236512</v>
      </c>
    </row>
    <row r="6">
      <c r="A6" s="3" t="s">
        <v>1</v>
      </c>
      <c r="B6" s="3">
        <v>3.36</v>
      </c>
      <c r="C6" s="3">
        <v>0.9</v>
      </c>
      <c r="D6" s="3">
        <v>10.9</v>
      </c>
      <c r="E6" s="3">
        <v>1.5</v>
      </c>
      <c r="F6" s="3">
        <v>7.77</v>
      </c>
      <c r="G6" s="3">
        <v>14.8</v>
      </c>
      <c r="H6" s="3">
        <v>0.0</v>
      </c>
      <c r="I6" s="3">
        <v>9.63</v>
      </c>
      <c r="J6" s="3">
        <v>0.0</v>
      </c>
      <c r="K6" s="4">
        <f t="shared" si="1"/>
        <v>279.4129</v>
      </c>
      <c r="L6" s="4">
        <f t="shared" si="2"/>
        <v>0.4252130091</v>
      </c>
    </row>
    <row r="7">
      <c r="A7" s="3" t="s">
        <v>1</v>
      </c>
      <c r="B7" s="3">
        <v>3.36</v>
      </c>
      <c r="C7" s="3">
        <v>1.06</v>
      </c>
      <c r="D7" s="3">
        <v>12.9</v>
      </c>
      <c r="E7" s="3">
        <v>1.5</v>
      </c>
      <c r="F7" s="3">
        <v>8.44</v>
      </c>
      <c r="G7" s="3">
        <v>15.24</v>
      </c>
      <c r="H7" s="3">
        <v>0.0</v>
      </c>
      <c r="I7" s="3">
        <v>5.86</v>
      </c>
      <c r="J7" s="3">
        <v>0.0</v>
      </c>
      <c r="K7" s="4">
        <f t="shared" si="1"/>
        <v>303.4912</v>
      </c>
      <c r="L7" s="4">
        <f t="shared" si="2"/>
        <v>0.5483190287</v>
      </c>
    </row>
    <row r="8">
      <c r="A8" s="3" t="s">
        <v>1</v>
      </c>
      <c r="B8" s="3">
        <v>3.36</v>
      </c>
      <c r="C8" s="3">
        <v>1.22</v>
      </c>
      <c r="D8" s="3">
        <v>14.7</v>
      </c>
      <c r="E8" s="3">
        <v>1.5</v>
      </c>
      <c r="F8" s="3">
        <v>8.64</v>
      </c>
      <c r="G8" s="3">
        <v>15.11</v>
      </c>
      <c r="H8" s="3">
        <v>0.0</v>
      </c>
      <c r="I8" s="3">
        <v>5.19</v>
      </c>
      <c r="J8" s="3">
        <v>0.0</v>
      </c>
      <c r="K8" s="4">
        <f t="shared" si="1"/>
        <v>302.9617</v>
      </c>
      <c r="L8" s="4">
        <f t="shared" si="2"/>
        <v>0.7132584746</v>
      </c>
    </row>
    <row r="9">
      <c r="A9" s="3" t="s">
        <v>1</v>
      </c>
      <c r="B9" s="3">
        <v>3.36</v>
      </c>
      <c r="C9" s="3">
        <v>1.47</v>
      </c>
      <c r="D9" s="3">
        <v>16.8</v>
      </c>
      <c r="E9" s="3">
        <v>1.5</v>
      </c>
      <c r="F9" s="3">
        <v>8.08</v>
      </c>
      <c r="G9" s="3">
        <v>15.9</v>
      </c>
      <c r="H9" s="3">
        <v>0.0</v>
      </c>
      <c r="I9" s="3">
        <v>3.02</v>
      </c>
      <c r="J9" s="3">
        <v>0.0</v>
      </c>
      <c r="K9" s="4">
        <f t="shared" si="1"/>
        <v>318.0964</v>
      </c>
      <c r="L9" s="4">
        <f t="shared" si="2"/>
        <v>0.8872781962</v>
      </c>
    </row>
    <row r="10">
      <c r="A10" s="3" t="s">
        <v>1</v>
      </c>
      <c r="B10" s="3">
        <v>3.36</v>
      </c>
      <c r="C10" s="3">
        <v>1.79</v>
      </c>
      <c r="D10" s="3">
        <v>20.1</v>
      </c>
      <c r="E10" s="3">
        <v>1.5</v>
      </c>
      <c r="F10" s="3">
        <v>6.91</v>
      </c>
      <c r="G10" s="3">
        <v>14.91</v>
      </c>
      <c r="H10" s="3">
        <v>0.0</v>
      </c>
      <c r="I10" s="3">
        <v>0.88</v>
      </c>
      <c r="J10" s="3">
        <v>0.0</v>
      </c>
      <c r="K10" s="4">
        <f t="shared" si="1"/>
        <v>270.0562</v>
      </c>
      <c r="L10" s="4">
        <f t="shared" si="2"/>
        <v>1.496021939</v>
      </c>
    </row>
    <row r="11">
      <c r="A11" s="3" t="s">
        <v>2</v>
      </c>
      <c r="B11" s="3">
        <v>15.2</v>
      </c>
      <c r="C11" s="3">
        <v>0.96</v>
      </c>
      <c r="D11" s="3">
        <v>22.9</v>
      </c>
      <c r="E11" s="3">
        <v>2.71</v>
      </c>
      <c r="F11" s="3">
        <v>4.08</v>
      </c>
      <c r="G11" s="3">
        <v>14.85</v>
      </c>
      <c r="H11" s="3">
        <v>0.0</v>
      </c>
      <c r="I11" s="3">
        <v>16.45</v>
      </c>
      <c r="J11" s="3">
        <v>0.0</v>
      </c>
      <c r="K11" s="4">
        <f t="shared" si="1"/>
        <v>237.1689</v>
      </c>
      <c r="L11" s="4">
        <f t="shared" si="2"/>
        <v>2.211124646</v>
      </c>
    </row>
    <row r="12">
      <c r="A12" s="3" t="s">
        <v>2</v>
      </c>
      <c r="B12" s="3">
        <v>15.2</v>
      </c>
      <c r="C12" s="3">
        <v>1.92</v>
      </c>
      <c r="D12" s="3">
        <v>33.5</v>
      </c>
      <c r="E12" s="3">
        <v>2.71</v>
      </c>
      <c r="F12" s="3">
        <v>6.24</v>
      </c>
      <c r="G12" s="3">
        <v>21.2</v>
      </c>
      <c r="H12" s="3">
        <v>0.0</v>
      </c>
      <c r="I12" s="3">
        <v>7.4</v>
      </c>
      <c r="J12" s="3">
        <v>0.0</v>
      </c>
      <c r="K12" s="4">
        <f t="shared" si="1"/>
        <v>488.3776</v>
      </c>
      <c r="L12" s="4">
        <f t="shared" si="2"/>
        <v>2.297914564</v>
      </c>
    </row>
    <row r="13">
      <c r="A13" s="3" t="s">
        <v>2</v>
      </c>
      <c r="B13" s="3">
        <v>15.2</v>
      </c>
      <c r="C13" s="3">
        <v>2.88</v>
      </c>
      <c r="D13" s="3">
        <v>37.2</v>
      </c>
      <c r="E13" s="3">
        <v>4.19</v>
      </c>
      <c r="F13" s="3">
        <v>7.45</v>
      </c>
      <c r="G13" s="3">
        <v>20.56</v>
      </c>
      <c r="H13" s="3">
        <v>0.0</v>
      </c>
      <c r="I13" s="3">
        <v>2.72</v>
      </c>
      <c r="J13" s="3">
        <v>0.0</v>
      </c>
      <c r="K13" s="4">
        <f t="shared" si="1"/>
        <v>478.2161</v>
      </c>
      <c r="L13" s="4">
        <f t="shared" si="2"/>
        <v>2.893754518</v>
      </c>
    </row>
    <row r="14">
      <c r="A14" s="3" t="s">
        <v>2</v>
      </c>
      <c r="B14" s="3">
        <v>15.2</v>
      </c>
      <c r="C14" s="3">
        <v>3.83</v>
      </c>
      <c r="D14" s="3">
        <v>35.9</v>
      </c>
      <c r="E14" s="3">
        <v>5.98</v>
      </c>
      <c r="F14" s="3">
        <v>8.09</v>
      </c>
      <c r="G14" s="3">
        <v>20.08</v>
      </c>
      <c r="H14" s="3">
        <v>0.0</v>
      </c>
      <c r="I14" s="3">
        <v>1.79</v>
      </c>
      <c r="J14" s="3">
        <v>0.0</v>
      </c>
      <c r="K14" s="4">
        <f t="shared" si="1"/>
        <v>468.6545</v>
      </c>
      <c r="L14" s="4">
        <f t="shared" si="2"/>
        <v>2.750021604</v>
      </c>
    </row>
    <row r="15">
      <c r="A15" s="3" t="s">
        <v>3</v>
      </c>
      <c r="B15" s="3">
        <v>8.79</v>
      </c>
      <c r="C15" s="3">
        <v>0.51</v>
      </c>
      <c r="D15" s="3">
        <v>8.54</v>
      </c>
      <c r="E15" s="3">
        <v>1.53</v>
      </c>
      <c r="F15" s="3">
        <v>3.47</v>
      </c>
      <c r="G15" s="3">
        <v>6.36</v>
      </c>
      <c r="H15" s="3">
        <v>0.0</v>
      </c>
      <c r="I15" s="3">
        <v>6.37</v>
      </c>
      <c r="J15" s="3">
        <v>0.0</v>
      </c>
      <c r="K15" s="4">
        <f t="shared" si="1"/>
        <v>52.4905</v>
      </c>
      <c r="L15" s="4">
        <f t="shared" si="2"/>
        <v>1.389424753</v>
      </c>
    </row>
    <row r="16">
      <c r="A16" s="3" t="s">
        <v>3</v>
      </c>
      <c r="B16" s="3">
        <v>8.79</v>
      </c>
      <c r="C16" s="3">
        <v>1.02</v>
      </c>
      <c r="D16" s="3">
        <v>15.1</v>
      </c>
      <c r="E16" s="3">
        <v>1.41</v>
      </c>
      <c r="F16" s="3">
        <v>5.33</v>
      </c>
      <c r="G16" s="3">
        <v>8.66</v>
      </c>
      <c r="H16" s="3">
        <v>0.0</v>
      </c>
      <c r="I16" s="3">
        <v>2.82</v>
      </c>
      <c r="J16" s="3">
        <v>0.0</v>
      </c>
      <c r="K16" s="4">
        <f t="shared" si="1"/>
        <v>103.4045</v>
      </c>
      <c r="L16" s="4">
        <f t="shared" si="2"/>
        <v>2.205029762</v>
      </c>
    </row>
    <row r="17">
      <c r="A17" s="3" t="s">
        <v>3</v>
      </c>
      <c r="B17" s="3">
        <v>8.79</v>
      </c>
      <c r="C17" s="3">
        <v>1.53</v>
      </c>
      <c r="D17" s="3">
        <v>19.8</v>
      </c>
      <c r="E17" s="3">
        <v>1.8</v>
      </c>
      <c r="F17" s="3">
        <v>6.34</v>
      </c>
      <c r="G17" s="3">
        <v>9.09</v>
      </c>
      <c r="H17" s="3">
        <v>0.0</v>
      </c>
      <c r="I17" s="3">
        <v>1.19</v>
      </c>
      <c r="J17" s="3">
        <v>0.0</v>
      </c>
      <c r="K17" s="4">
        <f t="shared" si="1"/>
        <v>122.8237</v>
      </c>
      <c r="L17" s="4">
        <f t="shared" si="2"/>
        <v>3.191892119</v>
      </c>
    </row>
    <row r="18">
      <c r="A18" s="3" t="s">
        <v>3</v>
      </c>
      <c r="B18" s="3">
        <v>8.79</v>
      </c>
      <c r="C18" s="3">
        <v>2.04</v>
      </c>
      <c r="D18" s="3">
        <v>21.9</v>
      </c>
      <c r="E18" s="3">
        <v>1.82</v>
      </c>
      <c r="F18" s="3">
        <v>6.86</v>
      </c>
      <c r="G18" s="3">
        <v>8.75</v>
      </c>
      <c r="H18" s="3">
        <v>0.0</v>
      </c>
      <c r="I18" s="3">
        <v>0.52</v>
      </c>
      <c r="J18" s="3">
        <v>0.0</v>
      </c>
      <c r="K18" s="4">
        <f t="shared" si="1"/>
        <v>123.6221</v>
      </c>
      <c r="L18" s="4">
        <f t="shared" si="2"/>
        <v>3.879646115</v>
      </c>
    </row>
    <row r="19">
      <c r="A19" s="3" t="s">
        <v>3</v>
      </c>
      <c r="B19" s="3">
        <v>8.79</v>
      </c>
      <c r="C19" s="3">
        <v>2.56</v>
      </c>
      <c r="D19" s="3">
        <v>24.0</v>
      </c>
      <c r="E19" s="3">
        <v>1.89</v>
      </c>
      <c r="F19" s="3">
        <v>7.05</v>
      </c>
      <c r="G19" s="3">
        <v>8.17</v>
      </c>
      <c r="H19" s="3">
        <v>0.0</v>
      </c>
      <c r="I19" s="3">
        <v>0.22</v>
      </c>
      <c r="J19" s="3">
        <v>0.0</v>
      </c>
      <c r="K19" s="4">
        <f t="shared" si="1"/>
        <v>116.4514</v>
      </c>
      <c r="L19" s="4">
        <f t="shared" si="2"/>
        <v>4.946269431</v>
      </c>
    </row>
    <row r="20">
      <c r="A20" s="3" t="s">
        <v>3</v>
      </c>
      <c r="B20" s="3">
        <v>8.79</v>
      </c>
      <c r="C20" s="3">
        <v>3.07</v>
      </c>
      <c r="D20" s="3">
        <v>25.0</v>
      </c>
      <c r="E20" s="3">
        <v>2.05</v>
      </c>
      <c r="F20" s="3">
        <v>7.04</v>
      </c>
      <c r="G20" s="3">
        <v>7.65</v>
      </c>
      <c r="H20" s="3">
        <v>0.0</v>
      </c>
      <c r="I20" s="3">
        <v>0.0</v>
      </c>
      <c r="J20" s="3">
        <v>0.0</v>
      </c>
      <c r="K20" s="4">
        <f t="shared" si="1"/>
        <v>108.0841</v>
      </c>
      <c r="L20" s="4">
        <f t="shared" si="2"/>
        <v>5.782534156</v>
      </c>
    </row>
    <row r="21">
      <c r="A21" s="3" t="s">
        <v>4</v>
      </c>
      <c r="B21" s="3">
        <v>7.72</v>
      </c>
      <c r="C21" s="3">
        <v>0.45</v>
      </c>
      <c r="D21" s="3">
        <v>8.41</v>
      </c>
      <c r="E21" s="3">
        <v>1.58</v>
      </c>
      <c r="F21" s="3">
        <v>8.4</v>
      </c>
      <c r="G21" s="3">
        <v>9.99</v>
      </c>
      <c r="H21" s="3">
        <v>0.0</v>
      </c>
      <c r="I21" s="3">
        <v>26.06</v>
      </c>
      <c r="J21" s="3">
        <v>0.0</v>
      </c>
      <c r="K21" s="4">
        <f t="shared" si="1"/>
        <v>170.3601</v>
      </c>
      <c r="L21" s="4">
        <f t="shared" si="2"/>
        <v>0.4151682231</v>
      </c>
    </row>
    <row r="22">
      <c r="A22" s="3" t="s">
        <v>4</v>
      </c>
      <c r="B22" s="3">
        <v>7.72</v>
      </c>
      <c r="C22" s="3">
        <v>0.9</v>
      </c>
      <c r="D22" s="3">
        <v>17.8</v>
      </c>
      <c r="E22" s="3">
        <v>2.22</v>
      </c>
      <c r="F22" s="3">
        <v>13.51</v>
      </c>
      <c r="G22" s="3">
        <v>15.52</v>
      </c>
      <c r="H22" s="3">
        <v>0.0</v>
      </c>
      <c r="I22" s="3">
        <v>19.64</v>
      </c>
      <c r="J22" s="3">
        <v>0.0</v>
      </c>
      <c r="K22" s="4">
        <f t="shared" si="1"/>
        <v>423.3905</v>
      </c>
      <c r="L22" s="4">
        <f t="shared" si="2"/>
        <v>0.7483398895</v>
      </c>
    </row>
    <row r="23">
      <c r="A23" s="3" t="s">
        <v>4</v>
      </c>
      <c r="B23" s="3">
        <v>7.72</v>
      </c>
      <c r="C23" s="3">
        <v>1.35</v>
      </c>
      <c r="D23" s="3">
        <v>26.0</v>
      </c>
      <c r="E23" s="3">
        <v>2.35</v>
      </c>
      <c r="F23" s="3">
        <v>16.7</v>
      </c>
      <c r="G23" s="3">
        <v>20.76</v>
      </c>
      <c r="H23" s="3">
        <v>0.0</v>
      </c>
      <c r="I23" s="3">
        <v>12.17</v>
      </c>
      <c r="J23" s="3">
        <v>0.0</v>
      </c>
      <c r="K23" s="4">
        <f t="shared" si="1"/>
        <v>709.8676</v>
      </c>
      <c r="L23" s="4">
        <f t="shared" si="2"/>
        <v>0.9522902581</v>
      </c>
    </row>
    <row r="24">
      <c r="A24" s="3" t="s">
        <v>4</v>
      </c>
      <c r="B24" s="3">
        <v>7.72</v>
      </c>
      <c r="C24" s="3">
        <v>1.8</v>
      </c>
      <c r="D24" s="3">
        <v>30.9</v>
      </c>
      <c r="E24" s="3">
        <v>2.22</v>
      </c>
      <c r="F24" s="3">
        <v>18.72</v>
      </c>
      <c r="G24" s="3">
        <v>21.37</v>
      </c>
      <c r="H24" s="3">
        <v>0.0</v>
      </c>
      <c r="I24" s="3">
        <v>4.5</v>
      </c>
      <c r="J24" s="3">
        <v>0.0</v>
      </c>
      <c r="K24" s="4">
        <f t="shared" si="1"/>
        <v>807.1153</v>
      </c>
      <c r="L24" s="4">
        <f t="shared" si="2"/>
        <v>1.182990832</v>
      </c>
    </row>
    <row r="25">
      <c r="A25" s="3" t="s">
        <v>4</v>
      </c>
      <c r="B25" s="3">
        <v>7.72</v>
      </c>
      <c r="C25" s="3">
        <v>2.25</v>
      </c>
      <c r="D25" s="3">
        <v>34.7</v>
      </c>
      <c r="E25" s="3">
        <v>1.82</v>
      </c>
      <c r="F25" s="3">
        <v>19.9</v>
      </c>
      <c r="G25" s="3">
        <v>19.92</v>
      </c>
      <c r="H25" s="3">
        <v>0.0</v>
      </c>
      <c r="I25" s="3">
        <v>2.1</v>
      </c>
      <c r="J25" s="3">
        <v>0.0</v>
      </c>
      <c r="K25" s="4">
        <f t="shared" si="1"/>
        <v>792.8164</v>
      </c>
      <c r="L25" s="4">
        <f t="shared" si="2"/>
        <v>1.518750117</v>
      </c>
    </row>
    <row r="26">
      <c r="A26" s="3" t="s">
        <v>4</v>
      </c>
      <c r="B26" s="3">
        <v>7.72</v>
      </c>
      <c r="C26" s="3">
        <v>2.69</v>
      </c>
      <c r="D26" s="3">
        <v>38.8</v>
      </c>
      <c r="E26" s="3">
        <v>1.81</v>
      </c>
      <c r="F26" s="3">
        <v>20.61</v>
      </c>
      <c r="G26" s="3">
        <v>18.76</v>
      </c>
      <c r="H26" s="3">
        <v>0.0</v>
      </c>
      <c r="I26" s="3">
        <v>1.13</v>
      </c>
      <c r="J26" s="3">
        <v>0.0</v>
      </c>
      <c r="K26" s="4">
        <f t="shared" si="1"/>
        <v>776.7097</v>
      </c>
      <c r="L26" s="4">
        <f t="shared" si="2"/>
        <v>1.938227371</v>
      </c>
    </row>
    <row r="27">
      <c r="A27" s="3" t="s">
        <v>4</v>
      </c>
      <c r="B27" s="3">
        <v>7.72</v>
      </c>
      <c r="C27" s="3">
        <v>3.14</v>
      </c>
      <c r="D27" s="3">
        <v>42.5</v>
      </c>
      <c r="E27" s="3">
        <v>1.57</v>
      </c>
      <c r="F27" s="3">
        <v>20.73</v>
      </c>
      <c r="G27" s="3">
        <v>17.36</v>
      </c>
      <c r="H27" s="3">
        <v>0.0</v>
      </c>
      <c r="I27" s="3">
        <v>0.54</v>
      </c>
      <c r="J27" s="3">
        <v>0.0</v>
      </c>
      <c r="K27" s="4">
        <f t="shared" si="1"/>
        <v>731.1025</v>
      </c>
      <c r="L27" s="4">
        <f t="shared" si="2"/>
        <v>2.47058381</v>
      </c>
    </row>
    <row r="28">
      <c r="A28" s="3" t="s">
        <v>4</v>
      </c>
      <c r="B28" s="3">
        <v>7.72</v>
      </c>
      <c r="C28" s="3">
        <v>3.59</v>
      </c>
      <c r="D28" s="3">
        <v>45.6</v>
      </c>
      <c r="E28" s="3">
        <v>1.59</v>
      </c>
      <c r="F28" s="3">
        <v>20.61</v>
      </c>
      <c r="G28" s="3">
        <v>16.32</v>
      </c>
      <c r="H28" s="3">
        <v>0.0</v>
      </c>
      <c r="I28" s="3">
        <v>0.37</v>
      </c>
      <c r="J28" s="3">
        <v>0.0</v>
      </c>
      <c r="K28" s="4">
        <f t="shared" si="1"/>
        <v>691.1145</v>
      </c>
      <c r="L28" s="4">
        <f t="shared" si="2"/>
        <v>3.008705504</v>
      </c>
    </row>
    <row r="29">
      <c r="A29" s="3" t="s">
        <v>4</v>
      </c>
      <c r="B29" s="3">
        <v>7.72</v>
      </c>
      <c r="C29" s="3">
        <v>4.04</v>
      </c>
      <c r="D29" s="3">
        <v>48.8</v>
      </c>
      <c r="E29" s="3">
        <v>1.83</v>
      </c>
      <c r="F29" s="3">
        <v>20.38</v>
      </c>
      <c r="G29" s="3">
        <v>15.37</v>
      </c>
      <c r="H29" s="3">
        <v>0.0</v>
      </c>
      <c r="I29" s="3">
        <v>0.18</v>
      </c>
      <c r="J29" s="3">
        <v>0.0</v>
      </c>
      <c r="K29" s="4">
        <f t="shared" si="1"/>
        <v>651.5813</v>
      </c>
      <c r="L29" s="4">
        <f t="shared" si="2"/>
        <v>3.654862409</v>
      </c>
    </row>
    <row r="30">
      <c r="A30" s="3" t="s">
        <v>4</v>
      </c>
      <c r="B30" s="3">
        <v>7.72</v>
      </c>
      <c r="C30" s="3">
        <v>4.49</v>
      </c>
      <c r="D30" s="3">
        <v>51.8</v>
      </c>
      <c r="E30" s="3">
        <v>1.91</v>
      </c>
      <c r="F30" s="3">
        <v>19.9</v>
      </c>
      <c r="G30" s="3">
        <v>14.49</v>
      </c>
      <c r="H30" s="3">
        <v>0.0</v>
      </c>
      <c r="I30" s="3">
        <v>0.1</v>
      </c>
      <c r="J30" s="3">
        <v>0.0</v>
      </c>
      <c r="K30" s="4">
        <f t="shared" si="1"/>
        <v>605.9701</v>
      </c>
      <c r="L30" s="4">
        <f t="shared" si="2"/>
        <v>4.428007256</v>
      </c>
    </row>
    <row r="31">
      <c r="A31" s="3" t="s">
        <v>4</v>
      </c>
      <c r="B31" s="3">
        <v>7.72</v>
      </c>
      <c r="C31" s="3">
        <v>4.94</v>
      </c>
      <c r="D31" s="3">
        <v>54.8</v>
      </c>
      <c r="E31" s="3">
        <v>2.19</v>
      </c>
      <c r="F31" s="3">
        <v>19.43</v>
      </c>
      <c r="G31" s="3">
        <v>13.72</v>
      </c>
      <c r="H31" s="3">
        <v>0.0</v>
      </c>
      <c r="I31" s="3">
        <v>0.05</v>
      </c>
      <c r="J31" s="3">
        <v>0.0</v>
      </c>
      <c r="K31" s="4">
        <f t="shared" si="1"/>
        <v>565.7633</v>
      </c>
      <c r="L31" s="4">
        <f t="shared" si="2"/>
        <v>5.307944153</v>
      </c>
    </row>
    <row r="32">
      <c r="A32" s="3" t="s">
        <v>4</v>
      </c>
      <c r="B32" s="3">
        <v>7.72</v>
      </c>
      <c r="C32" s="3">
        <v>5.39</v>
      </c>
      <c r="D32" s="3">
        <v>56.6</v>
      </c>
      <c r="E32" s="3">
        <v>2.73</v>
      </c>
      <c r="F32" s="3">
        <v>18.84</v>
      </c>
      <c r="G32" s="3">
        <v>13.04</v>
      </c>
      <c r="H32" s="3">
        <v>0.0</v>
      </c>
      <c r="I32" s="3">
        <v>0.03</v>
      </c>
      <c r="J32" s="3">
        <v>0.0</v>
      </c>
      <c r="K32" s="4">
        <f t="shared" si="1"/>
        <v>524.9872</v>
      </c>
      <c r="L32" s="4">
        <f t="shared" si="2"/>
        <v>6.102167824</v>
      </c>
    </row>
    <row r="33">
      <c r="A33" s="3" t="s">
        <v>4</v>
      </c>
      <c r="B33" s="3">
        <v>7.72</v>
      </c>
      <c r="C33" s="3">
        <v>5.84</v>
      </c>
      <c r="D33" s="3">
        <v>58.4</v>
      </c>
      <c r="E33" s="3">
        <v>3.27</v>
      </c>
      <c r="F33" s="3">
        <v>18.25</v>
      </c>
      <c r="G33" s="3">
        <v>12.45</v>
      </c>
      <c r="H33" s="3">
        <v>0.0</v>
      </c>
      <c r="I33" s="3">
        <v>0.01</v>
      </c>
      <c r="J33" s="3">
        <v>0.0</v>
      </c>
      <c r="K33" s="4">
        <f t="shared" si="1"/>
        <v>488.065</v>
      </c>
      <c r="L33" s="4">
        <f t="shared" si="2"/>
        <v>6.987921691</v>
      </c>
    </row>
    <row r="34">
      <c r="A34" s="3" t="s">
        <v>4</v>
      </c>
      <c r="B34" s="3">
        <v>7.72</v>
      </c>
      <c r="C34" s="3">
        <v>6.29</v>
      </c>
      <c r="D34" s="3">
        <v>58.5</v>
      </c>
      <c r="E34" s="3">
        <v>3.95</v>
      </c>
      <c r="F34" s="3">
        <v>17.65</v>
      </c>
      <c r="G34" s="3">
        <v>11.93</v>
      </c>
      <c r="H34" s="3">
        <v>0.0</v>
      </c>
      <c r="I34" s="3">
        <v>0.01</v>
      </c>
      <c r="J34" s="3">
        <v>0.0</v>
      </c>
      <c r="K34" s="4">
        <f t="shared" si="1"/>
        <v>453.8474</v>
      </c>
      <c r="L34" s="4">
        <f t="shared" si="2"/>
        <v>7.540530143</v>
      </c>
    </row>
    <row r="35">
      <c r="A35" s="3" t="s">
        <v>4</v>
      </c>
      <c r="B35" s="3">
        <v>7.72</v>
      </c>
      <c r="C35" s="3">
        <v>6.74</v>
      </c>
      <c r="D35" s="3">
        <v>57.7</v>
      </c>
      <c r="E35" s="3">
        <v>4.07</v>
      </c>
      <c r="F35" s="3">
        <v>17.06</v>
      </c>
      <c r="G35" s="3">
        <v>11.48</v>
      </c>
      <c r="H35" s="3">
        <v>0.0</v>
      </c>
      <c r="I35" s="3">
        <v>0.0</v>
      </c>
      <c r="J35" s="3">
        <v>0.0</v>
      </c>
      <c r="K35" s="4">
        <f t="shared" si="1"/>
        <v>422.834</v>
      </c>
      <c r="L35" s="4">
        <f t="shared" si="2"/>
        <v>7.873751874</v>
      </c>
    </row>
    <row r="36">
      <c r="A36" s="3" t="s">
        <v>4</v>
      </c>
      <c r="B36" s="3">
        <v>7.72</v>
      </c>
      <c r="C36" s="3">
        <v>7.19</v>
      </c>
      <c r="D36" s="3">
        <v>57.3</v>
      </c>
      <c r="E36" s="3">
        <v>3.94</v>
      </c>
      <c r="F36" s="3">
        <v>16.47</v>
      </c>
      <c r="G36" s="3">
        <v>11.08</v>
      </c>
      <c r="H36" s="3">
        <v>0.0</v>
      </c>
      <c r="I36" s="3">
        <v>0.0</v>
      </c>
      <c r="J36" s="3">
        <v>0.0</v>
      </c>
      <c r="K36" s="4">
        <f t="shared" si="1"/>
        <v>394.0273</v>
      </c>
      <c r="L36" s="4">
        <f t="shared" si="2"/>
        <v>8.332645987</v>
      </c>
    </row>
    <row r="37">
      <c r="A37" s="3" t="s">
        <v>5</v>
      </c>
      <c r="B37" s="3">
        <v>6.8</v>
      </c>
      <c r="C37" s="3">
        <v>0.1</v>
      </c>
      <c r="D37" s="3">
        <v>6.29</v>
      </c>
      <c r="E37" s="3">
        <v>4.62</v>
      </c>
      <c r="F37" s="3">
        <v>-1.13</v>
      </c>
      <c r="G37" s="3">
        <v>1.96</v>
      </c>
      <c r="H37" s="3">
        <v>0.0</v>
      </c>
      <c r="I37" s="3">
        <v>28.5</v>
      </c>
      <c r="J37" s="3">
        <v>0.0</v>
      </c>
      <c r="K37" s="4">
        <f t="shared" si="1"/>
        <v>5.1185</v>
      </c>
      <c r="L37" s="4">
        <f t="shared" si="2"/>
        <v>7.729627821</v>
      </c>
    </row>
    <row r="38">
      <c r="A38" s="3" t="s">
        <v>5</v>
      </c>
      <c r="B38" s="3">
        <v>6.8</v>
      </c>
      <c r="C38" s="3">
        <v>0.3</v>
      </c>
      <c r="D38" s="3">
        <v>13.9</v>
      </c>
      <c r="E38" s="3">
        <v>4.62</v>
      </c>
      <c r="F38" s="3">
        <v>-2.45</v>
      </c>
      <c r="G38" s="3">
        <v>6.31</v>
      </c>
      <c r="H38" s="3">
        <v>0.0</v>
      </c>
      <c r="I38" s="3">
        <v>27.26</v>
      </c>
      <c r="J38" s="3">
        <v>0.0</v>
      </c>
      <c r="K38" s="4">
        <f t="shared" si="1"/>
        <v>45.8186</v>
      </c>
      <c r="L38" s="4">
        <f t="shared" si="2"/>
        <v>4.216846434</v>
      </c>
    </row>
    <row r="39">
      <c r="A39" s="3" t="s">
        <v>5</v>
      </c>
      <c r="B39" s="3">
        <v>6.8</v>
      </c>
      <c r="C39" s="3">
        <v>0.49</v>
      </c>
      <c r="D39" s="3">
        <v>15.6</v>
      </c>
      <c r="E39" s="3">
        <v>4.62</v>
      </c>
      <c r="F39" s="3">
        <v>-0.64</v>
      </c>
      <c r="G39" s="3">
        <v>9.67</v>
      </c>
      <c r="H39" s="3">
        <v>0.0</v>
      </c>
      <c r="I39" s="3">
        <v>24.99</v>
      </c>
      <c r="J39" s="3">
        <v>0.0</v>
      </c>
      <c r="K39" s="4">
        <f t="shared" si="1"/>
        <v>93.9185</v>
      </c>
      <c r="L39" s="4">
        <f t="shared" si="2"/>
        <v>2.591182781</v>
      </c>
    </row>
    <row r="40">
      <c r="A40" s="3" t="s">
        <v>5</v>
      </c>
      <c r="B40" s="3">
        <v>6.8</v>
      </c>
      <c r="C40" s="3">
        <v>0.69</v>
      </c>
      <c r="D40" s="3">
        <v>18.4</v>
      </c>
      <c r="E40" s="3">
        <v>4.62</v>
      </c>
      <c r="F40" s="3">
        <v>2.49</v>
      </c>
      <c r="G40" s="3">
        <v>13.92</v>
      </c>
      <c r="H40" s="3">
        <v>0.0</v>
      </c>
      <c r="I40" s="3">
        <v>20.86</v>
      </c>
      <c r="J40" s="3">
        <v>0.0</v>
      </c>
      <c r="K40" s="4">
        <f t="shared" si="1"/>
        <v>199.9665</v>
      </c>
      <c r="L40" s="4">
        <f t="shared" si="2"/>
        <v>1.693083592</v>
      </c>
    </row>
    <row r="41">
      <c r="A41" s="3" t="s">
        <v>5</v>
      </c>
      <c r="B41" s="3">
        <v>6.8</v>
      </c>
      <c r="C41" s="3">
        <v>0.89</v>
      </c>
      <c r="D41" s="3">
        <v>22.5</v>
      </c>
      <c r="E41" s="3">
        <v>4.62</v>
      </c>
      <c r="F41" s="3">
        <v>1.87</v>
      </c>
      <c r="G41" s="3">
        <v>15.16</v>
      </c>
      <c r="H41" s="3">
        <v>0.0</v>
      </c>
      <c r="I41" s="3">
        <v>13.91</v>
      </c>
      <c r="J41" s="3">
        <v>0.0</v>
      </c>
      <c r="K41" s="4">
        <f t="shared" si="1"/>
        <v>233.3225</v>
      </c>
      <c r="L41" s="4">
        <f t="shared" si="2"/>
        <v>2.169743595</v>
      </c>
    </row>
    <row r="42">
      <c r="A42" s="3" t="s">
        <v>5</v>
      </c>
      <c r="B42" s="3">
        <v>6.8</v>
      </c>
      <c r="C42" s="3">
        <v>1.09</v>
      </c>
      <c r="D42" s="3">
        <v>26.5</v>
      </c>
      <c r="E42" s="3">
        <v>4.62</v>
      </c>
      <c r="F42" s="3">
        <v>4.97</v>
      </c>
      <c r="G42" s="3">
        <v>16.41</v>
      </c>
      <c r="H42" s="3">
        <v>0.0</v>
      </c>
      <c r="I42" s="3">
        <v>11.73</v>
      </c>
      <c r="J42" s="3">
        <v>0.0</v>
      </c>
      <c r="K42" s="4">
        <f t="shared" si="1"/>
        <v>293.989</v>
      </c>
      <c r="L42" s="4">
        <f t="shared" si="2"/>
        <v>2.388694815</v>
      </c>
    </row>
    <row r="43">
      <c r="A43" s="3" t="s">
        <v>5</v>
      </c>
      <c r="B43" s="3">
        <v>6.8</v>
      </c>
      <c r="C43" s="3">
        <v>1.29</v>
      </c>
      <c r="D43" s="3">
        <v>35.3</v>
      </c>
      <c r="E43" s="3">
        <v>4.62</v>
      </c>
      <c r="F43" s="3">
        <v>9.29</v>
      </c>
      <c r="G43" s="3">
        <v>17.34</v>
      </c>
      <c r="H43" s="3">
        <v>0.0</v>
      </c>
      <c r="I43" s="3">
        <v>10.3</v>
      </c>
      <c r="J43" s="3">
        <v>0.0</v>
      </c>
      <c r="K43" s="4">
        <f t="shared" si="1"/>
        <v>386.9797</v>
      </c>
      <c r="L43" s="4">
        <f t="shared" si="2"/>
        <v>3.220039708</v>
      </c>
    </row>
    <row r="44">
      <c r="A44" s="3" t="s">
        <v>5</v>
      </c>
      <c r="B44" s="3">
        <v>6.8</v>
      </c>
      <c r="C44" s="3">
        <v>1.48</v>
      </c>
      <c r="D44" s="3">
        <v>40.5</v>
      </c>
      <c r="E44" s="3">
        <v>4.62</v>
      </c>
      <c r="F44" s="3">
        <v>13.62</v>
      </c>
      <c r="G44" s="3">
        <v>18.34</v>
      </c>
      <c r="H44" s="3">
        <v>0.0</v>
      </c>
      <c r="I44" s="3">
        <v>7.96</v>
      </c>
      <c r="J44" s="3">
        <v>0.0</v>
      </c>
      <c r="K44" s="4">
        <f t="shared" si="1"/>
        <v>521.86</v>
      </c>
      <c r="L44" s="4">
        <f t="shared" si="2"/>
        <v>3.143084352</v>
      </c>
    </row>
    <row r="45">
      <c r="A45" s="3" t="s">
        <v>5</v>
      </c>
      <c r="B45" s="3">
        <v>6.8</v>
      </c>
      <c r="C45" s="3">
        <v>1.68</v>
      </c>
      <c r="D45" s="3">
        <v>44.2</v>
      </c>
      <c r="E45" s="3">
        <v>4.89</v>
      </c>
      <c r="F45" s="3">
        <v>16.26</v>
      </c>
      <c r="G45" s="3">
        <v>19.12</v>
      </c>
      <c r="H45" s="3">
        <v>0.0</v>
      </c>
      <c r="I45" s="3">
        <v>6.72</v>
      </c>
      <c r="J45" s="3">
        <v>0.0</v>
      </c>
      <c r="K45" s="4">
        <f t="shared" si="1"/>
        <v>629.962</v>
      </c>
      <c r="L45" s="4">
        <f t="shared" si="2"/>
        <v>3.10120293</v>
      </c>
    </row>
    <row r="46">
      <c r="A46" s="3" t="s">
        <v>5</v>
      </c>
      <c r="B46" s="3">
        <v>6.8</v>
      </c>
      <c r="C46" s="3">
        <v>1.88</v>
      </c>
      <c r="D46" s="3">
        <v>46.3</v>
      </c>
      <c r="E46" s="3">
        <v>4.62</v>
      </c>
      <c r="F46" s="3">
        <v>18.16</v>
      </c>
      <c r="G46" s="3">
        <v>19.54</v>
      </c>
      <c r="H46" s="3">
        <v>0.0</v>
      </c>
      <c r="I46" s="3">
        <v>3.97</v>
      </c>
      <c r="J46" s="3">
        <v>0.0</v>
      </c>
      <c r="K46" s="4">
        <f t="shared" si="1"/>
        <v>711.5972</v>
      </c>
      <c r="L46" s="4">
        <f t="shared" si="2"/>
        <v>3.012504827</v>
      </c>
    </row>
    <row r="47">
      <c r="A47" s="3" t="s">
        <v>5</v>
      </c>
      <c r="B47" s="3">
        <v>6.8</v>
      </c>
      <c r="C47" s="3">
        <v>2.08</v>
      </c>
      <c r="D47" s="3">
        <v>46.4</v>
      </c>
      <c r="E47" s="3">
        <v>4.62</v>
      </c>
      <c r="F47" s="3">
        <v>19.64</v>
      </c>
      <c r="G47" s="3">
        <v>19.1</v>
      </c>
      <c r="H47" s="3">
        <v>0.0</v>
      </c>
      <c r="I47" s="3">
        <v>2.84</v>
      </c>
      <c r="J47" s="3">
        <v>0.0</v>
      </c>
      <c r="K47" s="4">
        <f t="shared" si="1"/>
        <v>750.5396</v>
      </c>
      <c r="L47" s="4">
        <f t="shared" si="2"/>
        <v>2.868549508</v>
      </c>
    </row>
    <row r="48">
      <c r="A48" s="3" t="s">
        <v>5</v>
      </c>
      <c r="B48" s="3">
        <v>6.8</v>
      </c>
      <c r="C48" s="3">
        <v>2.27</v>
      </c>
      <c r="D48" s="3">
        <v>46.3</v>
      </c>
      <c r="E48" s="3">
        <v>4.62</v>
      </c>
      <c r="F48" s="3">
        <v>20.17</v>
      </c>
      <c r="G48" s="3">
        <v>18.77</v>
      </c>
      <c r="H48" s="3">
        <v>0.0</v>
      </c>
      <c r="I48" s="3">
        <v>2.16</v>
      </c>
      <c r="J48" s="3">
        <v>0.0</v>
      </c>
      <c r="K48" s="4">
        <f t="shared" si="1"/>
        <v>759.1418</v>
      </c>
      <c r="L48" s="4">
        <f t="shared" si="2"/>
        <v>2.823833439</v>
      </c>
    </row>
    <row r="49">
      <c r="A49" s="3" t="s">
        <v>5</v>
      </c>
      <c r="B49" s="3">
        <v>6.8</v>
      </c>
      <c r="C49" s="3">
        <v>2.37</v>
      </c>
      <c r="D49" s="3">
        <v>46.4</v>
      </c>
      <c r="E49" s="3">
        <v>6.73</v>
      </c>
      <c r="F49" s="3">
        <v>20.59</v>
      </c>
      <c r="G49" s="3">
        <v>18.61</v>
      </c>
      <c r="H49" s="3">
        <v>0.0</v>
      </c>
      <c r="I49" s="3">
        <v>1.86</v>
      </c>
      <c r="J49" s="3">
        <v>0.0</v>
      </c>
      <c r="K49" s="4">
        <f t="shared" si="1"/>
        <v>770.2802</v>
      </c>
      <c r="L49" s="4">
        <f t="shared" si="2"/>
        <v>2.795034846</v>
      </c>
    </row>
    <row r="50">
      <c r="A50" s="3" t="s">
        <v>5</v>
      </c>
      <c r="B50" s="3">
        <v>6.8</v>
      </c>
      <c r="C50" s="3">
        <v>2.98</v>
      </c>
      <c r="D50" s="3">
        <v>46.9</v>
      </c>
      <c r="E50" s="3">
        <v>8.65</v>
      </c>
      <c r="F50" s="3">
        <v>22.17</v>
      </c>
      <c r="G50" s="3">
        <v>17.21</v>
      </c>
      <c r="H50" s="3">
        <v>0.0</v>
      </c>
      <c r="I50" s="3">
        <v>0.0</v>
      </c>
      <c r="J50" s="3">
        <v>0.0</v>
      </c>
      <c r="K50" s="4">
        <f t="shared" si="1"/>
        <v>787.693</v>
      </c>
      <c r="L50" s="4">
        <f t="shared" si="2"/>
        <v>2.792471178</v>
      </c>
    </row>
    <row r="51">
      <c r="A51" s="3" t="s">
        <v>6</v>
      </c>
      <c r="B51" s="3">
        <v>4.04</v>
      </c>
      <c r="C51" s="3">
        <v>0.49</v>
      </c>
      <c r="D51" s="3">
        <v>13.8</v>
      </c>
      <c r="E51" s="3">
        <v>1.6</v>
      </c>
      <c r="F51" s="3">
        <v>3.74</v>
      </c>
      <c r="G51" s="3">
        <v>12.31</v>
      </c>
      <c r="H51" s="3">
        <v>0.0</v>
      </c>
      <c r="I51" s="3">
        <v>15.93</v>
      </c>
      <c r="J51" s="3">
        <v>0.0</v>
      </c>
      <c r="K51" s="4">
        <f t="shared" si="1"/>
        <v>165.5237</v>
      </c>
      <c r="L51" s="4">
        <f t="shared" si="2"/>
        <v>1.150530105</v>
      </c>
    </row>
    <row r="52">
      <c r="A52" s="3" t="s">
        <v>6</v>
      </c>
      <c r="B52" s="3">
        <v>4.04</v>
      </c>
      <c r="C52" s="3">
        <v>0.99</v>
      </c>
      <c r="D52" s="3">
        <v>21.6</v>
      </c>
      <c r="E52" s="3">
        <v>0.8</v>
      </c>
      <c r="F52" s="3">
        <v>7.46</v>
      </c>
      <c r="G52" s="3">
        <v>14.55</v>
      </c>
      <c r="H52" s="3">
        <v>0.0</v>
      </c>
      <c r="I52" s="3">
        <v>5.52</v>
      </c>
      <c r="J52" s="3">
        <v>0.0</v>
      </c>
      <c r="K52" s="4">
        <f t="shared" si="1"/>
        <v>267.3541</v>
      </c>
      <c r="L52" s="4">
        <f t="shared" si="2"/>
        <v>1.745101347</v>
      </c>
    </row>
    <row r="53">
      <c r="A53" s="3" t="s">
        <v>6</v>
      </c>
      <c r="B53" s="3">
        <v>4.04</v>
      </c>
      <c r="C53" s="3">
        <v>1.48</v>
      </c>
      <c r="D53" s="3">
        <v>28.9</v>
      </c>
      <c r="E53" s="3">
        <v>0.7</v>
      </c>
      <c r="F53" s="3">
        <v>10.87</v>
      </c>
      <c r="G53" s="3">
        <v>12.95</v>
      </c>
      <c r="H53" s="3">
        <v>0.0</v>
      </c>
      <c r="I53" s="3">
        <v>1.26</v>
      </c>
      <c r="J53" s="3">
        <v>0.0</v>
      </c>
      <c r="K53" s="4">
        <f t="shared" si="1"/>
        <v>285.8594</v>
      </c>
      <c r="L53" s="4">
        <f t="shared" si="2"/>
        <v>2.921751043</v>
      </c>
    </row>
    <row r="54">
      <c r="A54" s="3" t="s">
        <v>6</v>
      </c>
      <c r="B54" s="3">
        <v>4.04</v>
      </c>
      <c r="C54" s="3">
        <v>1.97</v>
      </c>
      <c r="D54" s="3">
        <v>34.3</v>
      </c>
      <c r="E54" s="3">
        <v>0.5</v>
      </c>
      <c r="F54" s="3">
        <v>13.32</v>
      </c>
      <c r="G54" s="3">
        <v>11.54</v>
      </c>
      <c r="H54" s="3">
        <v>0.0</v>
      </c>
      <c r="I54" s="3">
        <v>0.29</v>
      </c>
      <c r="J54" s="3">
        <v>0.0</v>
      </c>
      <c r="K54" s="4">
        <f t="shared" si="1"/>
        <v>310.594</v>
      </c>
      <c r="L54" s="4">
        <f t="shared" si="2"/>
        <v>3.787870983</v>
      </c>
    </row>
    <row r="55">
      <c r="A55" s="3" t="s">
        <v>6</v>
      </c>
      <c r="B55" s="3">
        <v>4.04</v>
      </c>
      <c r="C55" s="3">
        <v>2.47</v>
      </c>
      <c r="D55" s="3">
        <v>38.2</v>
      </c>
      <c r="E55" s="3">
        <v>0.4</v>
      </c>
      <c r="F55" s="3">
        <v>14.77</v>
      </c>
      <c r="G55" s="3">
        <v>10.18</v>
      </c>
      <c r="H55" s="3">
        <v>0.0</v>
      </c>
      <c r="I55" s="3">
        <v>0.08</v>
      </c>
      <c r="J55" s="3">
        <v>0.0</v>
      </c>
      <c r="K55" s="4">
        <f t="shared" si="1"/>
        <v>321.7853</v>
      </c>
      <c r="L55" s="4">
        <f t="shared" si="2"/>
        <v>4.534824928</v>
      </c>
    </row>
    <row r="56">
      <c r="A56" s="3" t="s">
        <v>6</v>
      </c>
      <c r="B56" s="3">
        <v>4.04</v>
      </c>
      <c r="C56" s="3">
        <v>2.96</v>
      </c>
      <c r="D56" s="3">
        <v>42.0</v>
      </c>
      <c r="E56" s="3">
        <v>0.2</v>
      </c>
      <c r="F56" s="3">
        <v>16.2</v>
      </c>
      <c r="G56" s="3">
        <v>9.16</v>
      </c>
      <c r="H56" s="3">
        <v>0.0</v>
      </c>
      <c r="I56" s="3">
        <v>0.02</v>
      </c>
      <c r="J56" s="3">
        <v>0.0</v>
      </c>
      <c r="K56" s="4">
        <f t="shared" si="1"/>
        <v>346.3456</v>
      </c>
      <c r="L56" s="4">
        <f t="shared" si="2"/>
        <v>5.093178605</v>
      </c>
    </row>
    <row r="57">
      <c r="A57" s="3" t="s">
        <v>6</v>
      </c>
      <c r="B57" s="3">
        <v>4.04</v>
      </c>
      <c r="C57" s="3">
        <v>3.46</v>
      </c>
      <c r="D57" s="3">
        <v>44.6</v>
      </c>
      <c r="E57" s="3">
        <v>0.2</v>
      </c>
      <c r="F57" s="3">
        <v>17.6</v>
      </c>
      <c r="G57" s="3">
        <v>8.37</v>
      </c>
      <c r="H57" s="3">
        <v>0.0</v>
      </c>
      <c r="I57" s="3">
        <v>0.01</v>
      </c>
      <c r="J57" s="3">
        <v>0.0</v>
      </c>
      <c r="K57" s="4">
        <f t="shared" si="1"/>
        <v>379.8169</v>
      </c>
      <c r="L57" s="4">
        <f t="shared" si="2"/>
        <v>5.237155061</v>
      </c>
    </row>
    <row r="58">
      <c r="A58" s="3" t="s">
        <v>6</v>
      </c>
      <c r="B58" s="3">
        <v>4.04</v>
      </c>
      <c r="C58" s="3">
        <v>3.95</v>
      </c>
      <c r="D58" s="3">
        <v>46.3</v>
      </c>
      <c r="E58" s="3">
        <v>0.2</v>
      </c>
      <c r="F58" s="3">
        <v>17.91</v>
      </c>
      <c r="G58" s="3">
        <v>7.77</v>
      </c>
      <c r="H58" s="3">
        <v>0.0</v>
      </c>
      <c r="I58" s="3">
        <v>0.0</v>
      </c>
      <c r="J58" s="3">
        <v>0.0</v>
      </c>
      <c r="K58" s="4">
        <f t="shared" si="1"/>
        <v>381.141</v>
      </c>
      <c r="L58" s="4">
        <f t="shared" si="2"/>
        <v>5.624401468</v>
      </c>
    </row>
    <row r="59">
      <c r="A59" s="3" t="s">
        <v>6</v>
      </c>
      <c r="B59" s="3">
        <v>4.04</v>
      </c>
      <c r="C59" s="3">
        <v>4.44</v>
      </c>
      <c r="D59" s="3">
        <v>47.4</v>
      </c>
      <c r="E59" s="3">
        <v>0.3</v>
      </c>
      <c r="F59" s="3">
        <v>17.48</v>
      </c>
      <c r="G59" s="3">
        <v>7.29</v>
      </c>
      <c r="H59" s="3">
        <v>0.0</v>
      </c>
      <c r="I59" s="3">
        <v>0.0</v>
      </c>
      <c r="J59" s="3">
        <v>0.0</v>
      </c>
      <c r="K59" s="4">
        <f t="shared" si="1"/>
        <v>358.6945</v>
      </c>
      <c r="L59" s="4">
        <f t="shared" si="2"/>
        <v>6.263714665</v>
      </c>
    </row>
    <row r="60">
      <c r="A60" s="3" t="s">
        <v>6</v>
      </c>
      <c r="B60" s="3">
        <v>4.04</v>
      </c>
      <c r="C60" s="3">
        <v>4.94</v>
      </c>
      <c r="D60" s="3">
        <v>48.2</v>
      </c>
      <c r="E60" s="3">
        <v>0.6</v>
      </c>
      <c r="F60" s="3">
        <v>16.93</v>
      </c>
      <c r="G60" s="3">
        <v>6.89</v>
      </c>
      <c r="H60" s="3">
        <v>0.0</v>
      </c>
      <c r="I60" s="3">
        <v>0.0</v>
      </c>
      <c r="J60" s="3">
        <v>0.0</v>
      </c>
      <c r="K60" s="4">
        <f t="shared" si="1"/>
        <v>334.097</v>
      </c>
      <c r="L60" s="4">
        <f t="shared" si="2"/>
        <v>6.95378887</v>
      </c>
    </row>
    <row r="61">
      <c r="A61" s="3" t="s">
        <v>6</v>
      </c>
      <c r="B61" s="3">
        <v>4.04</v>
      </c>
      <c r="C61" s="3">
        <v>5.43</v>
      </c>
      <c r="D61" s="3">
        <v>47.4</v>
      </c>
      <c r="E61" s="3">
        <v>0.7</v>
      </c>
      <c r="F61" s="3">
        <v>16.28</v>
      </c>
      <c r="G61" s="3">
        <v>6.55</v>
      </c>
      <c r="H61" s="3">
        <v>0.0</v>
      </c>
      <c r="I61" s="3">
        <v>0.0</v>
      </c>
      <c r="J61" s="3">
        <v>0.0</v>
      </c>
      <c r="K61" s="4">
        <f t="shared" si="1"/>
        <v>307.9409</v>
      </c>
      <c r="L61" s="4">
        <f t="shared" si="2"/>
        <v>7.296075318</v>
      </c>
    </row>
    <row r="62">
      <c r="A62" s="3" t="s">
        <v>6</v>
      </c>
      <c r="B62" s="3">
        <v>4.04</v>
      </c>
      <c r="C62" s="3">
        <v>5.92</v>
      </c>
      <c r="D62" s="3">
        <v>45.5</v>
      </c>
      <c r="E62" s="3">
        <v>1.3</v>
      </c>
      <c r="F62" s="3">
        <v>15.64</v>
      </c>
      <c r="G62" s="3">
        <v>6.26</v>
      </c>
      <c r="H62" s="3">
        <v>0.0</v>
      </c>
      <c r="I62" s="3">
        <v>0.0</v>
      </c>
      <c r="J62" s="3">
        <v>0.0</v>
      </c>
      <c r="K62" s="4">
        <f t="shared" si="1"/>
        <v>283.7972</v>
      </c>
      <c r="L62" s="4">
        <f t="shared" si="2"/>
        <v>7.294821795</v>
      </c>
    </row>
    <row r="63">
      <c r="A63" s="3" t="s">
        <v>7</v>
      </c>
      <c r="B63" s="3">
        <v>7.5</v>
      </c>
      <c r="C63" s="3">
        <v>0.6</v>
      </c>
      <c r="D63" s="3">
        <v>16.0</v>
      </c>
      <c r="E63" s="3">
        <v>3.53</v>
      </c>
      <c r="F63" s="3">
        <v>6.82</v>
      </c>
      <c r="G63" s="3">
        <v>12.59</v>
      </c>
      <c r="H63" s="3">
        <v>0.0</v>
      </c>
      <c r="I63" s="3">
        <v>30.32</v>
      </c>
      <c r="J63" s="3">
        <v>0.0</v>
      </c>
      <c r="K63" s="4">
        <f t="shared" si="1"/>
        <v>205.0205</v>
      </c>
      <c r="L63" s="4">
        <f t="shared" si="2"/>
        <v>1.248655622</v>
      </c>
    </row>
    <row r="64">
      <c r="A64" s="3" t="s">
        <v>7</v>
      </c>
      <c r="B64" s="3">
        <v>7.5</v>
      </c>
      <c r="C64" s="3">
        <v>0.73</v>
      </c>
      <c r="D64" s="3">
        <v>16.6</v>
      </c>
      <c r="E64" s="3">
        <v>4.83</v>
      </c>
      <c r="F64" s="3">
        <v>8.12</v>
      </c>
      <c r="G64" s="3">
        <v>14.22</v>
      </c>
      <c r="H64" s="3">
        <v>0.0</v>
      </c>
      <c r="I64" s="3">
        <v>27.69</v>
      </c>
      <c r="J64" s="3">
        <v>0.0</v>
      </c>
      <c r="K64" s="4">
        <f t="shared" si="1"/>
        <v>268.1428</v>
      </c>
      <c r="L64" s="4">
        <f t="shared" si="2"/>
        <v>1.02766138</v>
      </c>
    </row>
    <row r="65">
      <c r="A65" s="3" t="s">
        <v>7</v>
      </c>
      <c r="B65" s="3">
        <v>7.5</v>
      </c>
      <c r="C65" s="3">
        <v>0.85</v>
      </c>
      <c r="D65" s="3">
        <v>18.6</v>
      </c>
      <c r="E65" s="3">
        <v>2.5</v>
      </c>
      <c r="F65" s="3">
        <v>9.3</v>
      </c>
      <c r="G65" s="3">
        <v>15.27</v>
      </c>
      <c r="H65" s="3">
        <v>0.0</v>
      </c>
      <c r="I65" s="3">
        <v>27.15</v>
      </c>
      <c r="J65" s="3">
        <v>0.0</v>
      </c>
      <c r="K65" s="4">
        <f t="shared" si="1"/>
        <v>319.6629</v>
      </c>
      <c r="L65" s="4">
        <f t="shared" si="2"/>
        <v>1.082265099</v>
      </c>
    </row>
    <row r="66">
      <c r="A66" s="3" t="s">
        <v>7</v>
      </c>
      <c r="B66" s="3">
        <v>7.5</v>
      </c>
      <c r="C66" s="3">
        <v>0.98</v>
      </c>
      <c r="D66" s="3">
        <v>20.0</v>
      </c>
      <c r="E66" s="3">
        <v>7.58</v>
      </c>
      <c r="F66" s="3">
        <v>10.41</v>
      </c>
      <c r="G66" s="3">
        <v>17.04</v>
      </c>
      <c r="H66" s="3">
        <v>0.0</v>
      </c>
      <c r="I66" s="3">
        <v>25.71</v>
      </c>
      <c r="J66" s="3">
        <v>0.0</v>
      </c>
      <c r="K66" s="4">
        <f t="shared" si="1"/>
        <v>398.7297</v>
      </c>
      <c r="L66" s="4">
        <f t="shared" si="2"/>
        <v>1.003185868</v>
      </c>
    </row>
    <row r="67">
      <c r="A67" s="3" t="s">
        <v>7</v>
      </c>
      <c r="B67" s="3">
        <v>7.5</v>
      </c>
      <c r="C67" s="3">
        <v>1.07</v>
      </c>
      <c r="D67" s="3">
        <v>21.4</v>
      </c>
      <c r="E67" s="3">
        <v>4.03</v>
      </c>
      <c r="F67" s="3">
        <v>11.27</v>
      </c>
      <c r="G67" s="3">
        <v>18.03</v>
      </c>
      <c r="H67" s="3">
        <v>0.0</v>
      </c>
      <c r="I67" s="3">
        <v>24.23</v>
      </c>
      <c r="J67" s="3">
        <v>0.0</v>
      </c>
      <c r="K67" s="4">
        <f t="shared" si="1"/>
        <v>452.0938</v>
      </c>
      <c r="L67" s="4">
        <f t="shared" si="2"/>
        <v>1.012975626</v>
      </c>
    </row>
    <row r="68">
      <c r="A68" s="3" t="s">
        <v>7</v>
      </c>
      <c r="B68" s="3">
        <v>7.5</v>
      </c>
      <c r="C68" s="3">
        <v>1.54</v>
      </c>
      <c r="D68" s="3">
        <v>28.9</v>
      </c>
      <c r="E68" s="3">
        <v>2.74</v>
      </c>
      <c r="F68" s="3">
        <v>15.22</v>
      </c>
      <c r="G68" s="3">
        <v>22.44</v>
      </c>
      <c r="H68" s="3">
        <v>0.0</v>
      </c>
      <c r="I68" s="3">
        <v>17.21</v>
      </c>
      <c r="J68" s="3">
        <v>0.0</v>
      </c>
      <c r="K68" s="4">
        <f t="shared" si="1"/>
        <v>735.202</v>
      </c>
      <c r="L68" s="4">
        <f t="shared" si="2"/>
        <v>1.136027922</v>
      </c>
    </row>
    <row r="69">
      <c r="A69" s="3" t="s">
        <v>7</v>
      </c>
      <c r="B69" s="3">
        <v>7.5</v>
      </c>
      <c r="C69" s="3">
        <v>2.02</v>
      </c>
      <c r="D69" s="3">
        <v>32.9</v>
      </c>
      <c r="E69" s="3">
        <v>2.65</v>
      </c>
      <c r="F69" s="3">
        <v>18.74</v>
      </c>
      <c r="G69" s="3">
        <v>24.92</v>
      </c>
      <c r="H69" s="3">
        <v>0.0</v>
      </c>
      <c r="I69" s="3">
        <v>11.77</v>
      </c>
      <c r="J69" s="3">
        <v>0.0</v>
      </c>
      <c r="K69" s="4">
        <f t="shared" si="1"/>
        <v>972.194</v>
      </c>
      <c r="L69" s="4">
        <f t="shared" si="2"/>
        <v>1.113368319</v>
      </c>
    </row>
    <row r="70">
      <c r="A70" s="3" t="s">
        <v>7</v>
      </c>
      <c r="B70" s="3">
        <v>7.5</v>
      </c>
      <c r="C70" s="3">
        <v>2.49</v>
      </c>
      <c r="D70" s="3">
        <v>35.2</v>
      </c>
      <c r="E70" s="3">
        <v>2.88</v>
      </c>
      <c r="F70" s="3">
        <v>21.52</v>
      </c>
      <c r="G70" s="3">
        <v>25.85</v>
      </c>
      <c r="H70" s="3">
        <v>0.0</v>
      </c>
      <c r="I70" s="3">
        <v>7.54</v>
      </c>
      <c r="J70" s="3">
        <v>0.0</v>
      </c>
      <c r="K70" s="4">
        <f t="shared" si="1"/>
        <v>1131.3329</v>
      </c>
      <c r="L70" s="4">
        <f t="shared" si="2"/>
        <v>1.095203719</v>
      </c>
    </row>
    <row r="71">
      <c r="A71" s="3" t="s">
        <v>7</v>
      </c>
      <c r="B71" s="3">
        <v>7.5</v>
      </c>
      <c r="C71" s="3">
        <v>2.96</v>
      </c>
      <c r="D71" s="3">
        <v>37.6</v>
      </c>
      <c r="E71" s="3">
        <v>3.05</v>
      </c>
      <c r="F71" s="3">
        <v>23.28</v>
      </c>
      <c r="G71" s="3">
        <v>26.01</v>
      </c>
      <c r="H71" s="3">
        <v>0.0</v>
      </c>
      <c r="I71" s="3">
        <v>5.12</v>
      </c>
      <c r="J71" s="3">
        <v>0.0</v>
      </c>
      <c r="K71" s="4">
        <f t="shared" si="1"/>
        <v>1218.4785</v>
      </c>
      <c r="L71" s="4">
        <f t="shared" si="2"/>
        <v>1.160266677</v>
      </c>
    </row>
    <row r="72">
      <c r="A72" s="3" t="s">
        <v>7</v>
      </c>
      <c r="B72" s="3">
        <v>7.5</v>
      </c>
      <c r="C72" s="3">
        <v>3.43</v>
      </c>
      <c r="D72" s="3">
        <v>40.6</v>
      </c>
      <c r="E72" s="3">
        <v>3.68</v>
      </c>
      <c r="F72" s="3">
        <v>24.59</v>
      </c>
      <c r="G72" s="3">
        <v>25.36</v>
      </c>
      <c r="H72" s="3">
        <v>0.0</v>
      </c>
      <c r="I72" s="3">
        <v>3.64</v>
      </c>
      <c r="J72" s="3">
        <v>0.0</v>
      </c>
      <c r="K72" s="4">
        <f t="shared" si="1"/>
        <v>1247.7977</v>
      </c>
      <c r="L72" s="4">
        <f t="shared" si="2"/>
        <v>1.321015418</v>
      </c>
    </row>
    <row r="73">
      <c r="A73" s="3" t="s">
        <v>7</v>
      </c>
      <c r="B73" s="3">
        <v>7.5</v>
      </c>
      <c r="C73" s="3">
        <v>3.9</v>
      </c>
      <c r="D73" s="3">
        <v>42.7</v>
      </c>
      <c r="E73" s="3">
        <v>3.25</v>
      </c>
      <c r="F73" s="3">
        <v>25.62</v>
      </c>
      <c r="G73" s="3">
        <v>25.01</v>
      </c>
      <c r="H73" s="3">
        <v>0.0</v>
      </c>
      <c r="I73" s="3">
        <v>2.55</v>
      </c>
      <c r="J73" s="3">
        <v>0.0</v>
      </c>
      <c r="K73" s="4">
        <f t="shared" si="1"/>
        <v>1281.8845</v>
      </c>
      <c r="L73" s="4">
        <f t="shared" si="2"/>
        <v>1.422351234</v>
      </c>
    </row>
    <row r="74">
      <c r="A74" s="3" t="s">
        <v>7</v>
      </c>
      <c r="B74" s="3">
        <v>7.5</v>
      </c>
      <c r="C74" s="3">
        <v>4.37</v>
      </c>
      <c r="D74" s="3">
        <v>45.5</v>
      </c>
      <c r="E74" s="3">
        <v>2.99</v>
      </c>
      <c r="F74" s="3">
        <v>26.35</v>
      </c>
      <c r="G74" s="3">
        <v>24.48</v>
      </c>
      <c r="H74" s="3">
        <v>0.0</v>
      </c>
      <c r="I74" s="3">
        <v>1.74</v>
      </c>
      <c r="J74" s="3">
        <v>0.0</v>
      </c>
      <c r="K74" s="4">
        <f t="shared" si="1"/>
        <v>1293.5929</v>
      </c>
      <c r="L74" s="4">
        <f t="shared" si="2"/>
        <v>1.600387572</v>
      </c>
    </row>
    <row r="75">
      <c r="A75" s="3" t="s">
        <v>7</v>
      </c>
      <c r="B75" s="3">
        <v>7.5</v>
      </c>
      <c r="C75" s="3">
        <v>4.86</v>
      </c>
      <c r="D75" s="3">
        <v>48.9</v>
      </c>
      <c r="E75" s="3">
        <v>1.96</v>
      </c>
      <c r="F75" s="3">
        <v>27.08</v>
      </c>
      <c r="G75" s="3">
        <v>23.7</v>
      </c>
      <c r="H75" s="3">
        <v>0.0</v>
      </c>
      <c r="I75" s="3">
        <v>1.09</v>
      </c>
      <c r="J75" s="3">
        <v>0.0</v>
      </c>
      <c r="K75" s="4">
        <f t="shared" si="1"/>
        <v>1295.0164</v>
      </c>
      <c r="L75" s="4">
        <f t="shared" si="2"/>
        <v>1.846470825</v>
      </c>
    </row>
    <row r="76">
      <c r="A76" s="3" t="s">
        <v>7</v>
      </c>
      <c r="B76" s="3">
        <v>7.5</v>
      </c>
      <c r="C76" s="3">
        <v>5.34</v>
      </c>
      <c r="D76" s="3">
        <v>51.5</v>
      </c>
      <c r="E76" s="3">
        <v>1.53</v>
      </c>
      <c r="F76" s="3">
        <v>27.81</v>
      </c>
      <c r="G76" s="3">
        <v>22.69</v>
      </c>
      <c r="H76" s="3">
        <v>0.0</v>
      </c>
      <c r="I76" s="3">
        <v>0.64</v>
      </c>
      <c r="J76" s="3">
        <v>0.0</v>
      </c>
      <c r="K76" s="4">
        <f t="shared" si="1"/>
        <v>1288.2322</v>
      </c>
      <c r="L76" s="4">
        <f t="shared" si="2"/>
        <v>2.058829146</v>
      </c>
    </row>
    <row r="77">
      <c r="A77" s="3" t="s">
        <v>7</v>
      </c>
      <c r="B77" s="3">
        <v>7.5</v>
      </c>
      <c r="C77" s="3">
        <v>5.81</v>
      </c>
      <c r="D77" s="3">
        <v>53.0</v>
      </c>
      <c r="E77" s="3">
        <v>1.86</v>
      </c>
      <c r="F77" s="3">
        <v>28.4</v>
      </c>
      <c r="G77" s="3">
        <v>21.59</v>
      </c>
      <c r="H77" s="3">
        <v>0.0</v>
      </c>
      <c r="I77" s="3">
        <v>0.46</v>
      </c>
      <c r="J77" s="3">
        <v>0.0</v>
      </c>
      <c r="K77" s="4">
        <f t="shared" si="1"/>
        <v>1272.6881</v>
      </c>
      <c r="L77" s="4">
        <f t="shared" si="2"/>
        <v>2.207139361</v>
      </c>
    </row>
    <row r="78">
      <c r="A78" s="3" t="s">
        <v>7</v>
      </c>
      <c r="B78" s="3">
        <v>7.5</v>
      </c>
      <c r="C78" s="3">
        <v>6.28</v>
      </c>
      <c r="D78" s="3">
        <v>55.0</v>
      </c>
      <c r="E78" s="3">
        <v>1.48</v>
      </c>
      <c r="F78" s="3">
        <v>28.98</v>
      </c>
      <c r="G78" s="3">
        <v>20.86</v>
      </c>
      <c r="H78" s="3">
        <v>0.0</v>
      </c>
      <c r="I78" s="3">
        <v>0.36</v>
      </c>
      <c r="J78" s="3">
        <v>0.0</v>
      </c>
      <c r="K78" s="4">
        <f t="shared" si="1"/>
        <v>1274.98</v>
      </c>
      <c r="L78" s="4">
        <f t="shared" si="2"/>
        <v>2.372586237</v>
      </c>
    </row>
    <row r="79">
      <c r="A79" s="3" t="s">
        <v>7</v>
      </c>
      <c r="B79" s="3">
        <v>7.5</v>
      </c>
      <c r="C79" s="3">
        <v>6.75</v>
      </c>
      <c r="D79" s="3">
        <v>57.6</v>
      </c>
      <c r="E79" s="3">
        <v>0.99</v>
      </c>
      <c r="F79" s="3">
        <v>29.57</v>
      </c>
      <c r="G79" s="3">
        <v>20.11</v>
      </c>
      <c r="H79" s="3">
        <v>0.0</v>
      </c>
      <c r="I79" s="3">
        <v>0.24</v>
      </c>
      <c r="J79" s="3">
        <v>0.0</v>
      </c>
      <c r="K79" s="4">
        <f t="shared" si="1"/>
        <v>1278.797</v>
      </c>
      <c r="L79" s="4">
        <f t="shared" si="2"/>
        <v>2.594438367</v>
      </c>
    </row>
    <row r="80">
      <c r="A80" s="3" t="s">
        <v>7</v>
      </c>
      <c r="B80" s="3">
        <v>7.5</v>
      </c>
      <c r="C80" s="3">
        <v>7.22</v>
      </c>
      <c r="D80" s="3">
        <v>59.7</v>
      </c>
      <c r="E80" s="3">
        <v>1.19</v>
      </c>
      <c r="F80" s="3">
        <v>30.3</v>
      </c>
      <c r="G80" s="3">
        <v>19.38</v>
      </c>
      <c r="H80" s="3">
        <v>0.0</v>
      </c>
      <c r="I80" s="3">
        <v>0.16</v>
      </c>
      <c r="J80" s="3">
        <v>0.0</v>
      </c>
      <c r="K80" s="4">
        <f t="shared" si="1"/>
        <v>1293.6744</v>
      </c>
      <c r="L80" s="4">
        <f t="shared" si="2"/>
        <v>2.755013163</v>
      </c>
    </row>
    <row r="81">
      <c r="A81" s="3" t="s">
        <v>7</v>
      </c>
      <c r="B81" s="3">
        <v>7.5</v>
      </c>
      <c r="C81" s="3">
        <v>7.69</v>
      </c>
      <c r="D81" s="3">
        <v>60.5</v>
      </c>
      <c r="E81" s="3">
        <v>1.26</v>
      </c>
      <c r="F81" s="3">
        <v>31.18</v>
      </c>
      <c r="G81" s="3">
        <v>18.7</v>
      </c>
      <c r="H81" s="3">
        <v>0.0</v>
      </c>
      <c r="I81" s="3">
        <v>0.11</v>
      </c>
      <c r="J81" s="3">
        <v>0.0</v>
      </c>
      <c r="K81" s="4">
        <f t="shared" si="1"/>
        <v>1321.8824</v>
      </c>
      <c r="L81" s="4">
        <f t="shared" si="2"/>
        <v>2.768967951</v>
      </c>
    </row>
    <row r="82">
      <c r="A82" s="3" t="s">
        <v>7</v>
      </c>
      <c r="B82" s="3">
        <v>7.5</v>
      </c>
      <c r="C82" s="3">
        <v>8.16</v>
      </c>
      <c r="D82" s="3">
        <v>61.8</v>
      </c>
      <c r="E82" s="3">
        <v>1.33</v>
      </c>
      <c r="F82" s="3">
        <v>32.06</v>
      </c>
      <c r="G82" s="3">
        <v>18.06</v>
      </c>
      <c r="H82" s="3">
        <v>0.0</v>
      </c>
      <c r="I82" s="3">
        <v>0.07</v>
      </c>
      <c r="J82" s="3">
        <v>0.0</v>
      </c>
      <c r="K82" s="4">
        <f t="shared" si="1"/>
        <v>1354.0072</v>
      </c>
      <c r="L82" s="4">
        <f t="shared" si="2"/>
        <v>2.820694011</v>
      </c>
    </row>
    <row r="83">
      <c r="A83" s="3" t="s">
        <v>7</v>
      </c>
      <c r="B83" s="3">
        <v>7.5</v>
      </c>
      <c r="C83" s="3">
        <v>8.64</v>
      </c>
      <c r="D83" s="3">
        <v>62.9</v>
      </c>
      <c r="E83" s="3">
        <v>1.35</v>
      </c>
      <c r="F83" s="3">
        <v>32.64</v>
      </c>
      <c r="G83" s="3">
        <v>17.47</v>
      </c>
      <c r="H83" s="3">
        <v>0.0</v>
      </c>
      <c r="I83" s="3">
        <v>0.05</v>
      </c>
      <c r="J83" s="3">
        <v>0.0</v>
      </c>
      <c r="K83" s="4">
        <f t="shared" si="1"/>
        <v>1370.5705</v>
      </c>
      <c r="L83" s="4">
        <f t="shared" si="2"/>
        <v>2.886688426</v>
      </c>
    </row>
    <row r="84">
      <c r="A84" s="3" t="s">
        <v>7</v>
      </c>
      <c r="B84" s="3">
        <v>7.5</v>
      </c>
      <c r="C84" s="3">
        <v>9.11</v>
      </c>
      <c r="D84" s="3">
        <v>63.0</v>
      </c>
      <c r="E84" s="3">
        <v>2.09</v>
      </c>
      <c r="F84" s="3">
        <v>33.23</v>
      </c>
      <c r="G84" s="3">
        <v>16.94</v>
      </c>
      <c r="H84" s="3">
        <v>0.0</v>
      </c>
      <c r="I84" s="3">
        <v>0.03</v>
      </c>
      <c r="J84" s="3">
        <v>0.0</v>
      </c>
      <c r="K84" s="4">
        <f t="shared" si="1"/>
        <v>1391.1965</v>
      </c>
      <c r="L84" s="4">
        <f t="shared" si="2"/>
        <v>2.852939897</v>
      </c>
    </row>
    <row r="85">
      <c r="A85" s="3" t="s">
        <v>7</v>
      </c>
      <c r="B85" s="3">
        <v>7.5</v>
      </c>
      <c r="C85" s="3">
        <v>9.58</v>
      </c>
      <c r="D85" s="3">
        <v>64.5</v>
      </c>
      <c r="E85" s="3">
        <v>2.38</v>
      </c>
      <c r="F85" s="3">
        <v>33.38</v>
      </c>
      <c r="G85" s="3">
        <v>16.44</v>
      </c>
      <c r="H85" s="3">
        <v>0.0</v>
      </c>
      <c r="I85" s="3">
        <v>0.02</v>
      </c>
      <c r="J85" s="3">
        <v>0.0</v>
      </c>
      <c r="K85" s="4">
        <f t="shared" si="1"/>
        <v>1384.498</v>
      </c>
      <c r="L85" s="4">
        <f t="shared" si="2"/>
        <v>3.004879747</v>
      </c>
    </row>
    <row r="86">
      <c r="A86" s="3" t="s">
        <v>7</v>
      </c>
      <c r="B86" s="3">
        <v>7.5</v>
      </c>
      <c r="C86" s="3">
        <v>10.05</v>
      </c>
      <c r="D86" s="3">
        <v>65.6</v>
      </c>
      <c r="E86" s="3">
        <v>1.08</v>
      </c>
      <c r="F86" s="3">
        <v>33.38</v>
      </c>
      <c r="G86" s="3">
        <v>15.98</v>
      </c>
      <c r="H86" s="3">
        <v>0.0</v>
      </c>
      <c r="I86" s="3">
        <v>0.02</v>
      </c>
      <c r="J86" s="3">
        <v>0.0</v>
      </c>
      <c r="K86" s="4">
        <f t="shared" si="1"/>
        <v>1369.5848</v>
      </c>
      <c r="L86" s="4">
        <f t="shared" si="2"/>
        <v>3.142090946</v>
      </c>
    </row>
    <row r="87">
      <c r="A87" s="3" t="s">
        <v>7</v>
      </c>
      <c r="B87" s="3">
        <v>7.5</v>
      </c>
      <c r="C87" s="3">
        <v>10.52</v>
      </c>
      <c r="D87" s="3">
        <v>67.5</v>
      </c>
      <c r="E87" s="3">
        <v>3.22</v>
      </c>
      <c r="F87" s="3">
        <v>32.79</v>
      </c>
      <c r="G87" s="3">
        <v>15.57</v>
      </c>
      <c r="H87" s="3">
        <v>0.0</v>
      </c>
      <c r="I87" s="3">
        <v>0.01</v>
      </c>
      <c r="J87" s="3">
        <v>0.0</v>
      </c>
      <c r="K87" s="4">
        <f t="shared" si="1"/>
        <v>1317.609</v>
      </c>
      <c r="L87" s="4">
        <f t="shared" si="2"/>
        <v>3.457968183</v>
      </c>
    </row>
    <row r="88">
      <c r="A88" s="3" t="s">
        <v>7</v>
      </c>
      <c r="B88" s="3">
        <v>7.5</v>
      </c>
      <c r="C88" s="3">
        <v>10.99</v>
      </c>
      <c r="D88" s="3">
        <v>66.8</v>
      </c>
      <c r="E88" s="3">
        <v>2.37</v>
      </c>
      <c r="F88" s="3">
        <v>32.06</v>
      </c>
      <c r="G88" s="3">
        <v>15.18</v>
      </c>
      <c r="H88" s="3">
        <v>0.0</v>
      </c>
      <c r="I88" s="3">
        <v>0.01</v>
      </c>
      <c r="J88" s="3">
        <v>0.0</v>
      </c>
      <c r="K88" s="4">
        <f t="shared" si="1"/>
        <v>1258.276</v>
      </c>
      <c r="L88" s="4">
        <f t="shared" si="2"/>
        <v>3.546312574</v>
      </c>
    </row>
    <row r="89">
      <c r="A89" s="3" t="s">
        <v>7</v>
      </c>
      <c r="B89" s="3">
        <v>7.5</v>
      </c>
      <c r="C89" s="3">
        <v>11.46</v>
      </c>
      <c r="D89" s="3">
        <v>66.8</v>
      </c>
      <c r="E89" s="3">
        <v>0.95</v>
      </c>
      <c r="F89" s="3">
        <v>31.18</v>
      </c>
      <c r="G89" s="3">
        <v>14.81</v>
      </c>
      <c r="H89" s="3">
        <v>0.0</v>
      </c>
      <c r="I89" s="3">
        <v>0.0</v>
      </c>
      <c r="J89" s="3">
        <v>0.0</v>
      </c>
      <c r="K89" s="4">
        <f t="shared" si="1"/>
        <v>1191.5285</v>
      </c>
      <c r="L89" s="4">
        <f t="shared" si="2"/>
        <v>3.74497127</v>
      </c>
    </row>
    <row r="90">
      <c r="A90" s="3" t="s">
        <v>7</v>
      </c>
      <c r="B90" s="3">
        <v>7.5</v>
      </c>
      <c r="C90" s="3">
        <v>11.94</v>
      </c>
      <c r="D90" s="3">
        <v>66.6</v>
      </c>
      <c r="E90" s="3">
        <v>0.96</v>
      </c>
      <c r="F90" s="3">
        <v>30.3</v>
      </c>
      <c r="G90" s="3">
        <v>14.47</v>
      </c>
      <c r="H90" s="3">
        <v>0.0</v>
      </c>
      <c r="I90" s="3">
        <v>0.0</v>
      </c>
      <c r="J90" s="3">
        <v>0.0</v>
      </c>
      <c r="K90" s="4">
        <f t="shared" si="1"/>
        <v>1127.4709</v>
      </c>
      <c r="L90" s="4">
        <f t="shared" si="2"/>
        <v>3.934079363</v>
      </c>
    </row>
    <row r="91">
      <c r="A91" s="3" t="s">
        <v>7</v>
      </c>
      <c r="B91" s="3">
        <v>7.5</v>
      </c>
      <c r="C91" s="3">
        <v>12.41</v>
      </c>
      <c r="D91" s="3">
        <v>66.8</v>
      </c>
      <c r="E91" s="3">
        <v>0.99</v>
      </c>
      <c r="F91" s="3">
        <v>29.42</v>
      </c>
      <c r="G91" s="3">
        <v>14.16</v>
      </c>
      <c r="H91" s="3">
        <v>0.0</v>
      </c>
      <c r="I91" s="3">
        <v>0.0</v>
      </c>
      <c r="J91" s="3">
        <v>0.0</v>
      </c>
      <c r="K91" s="4">
        <f t="shared" si="1"/>
        <v>1066.042</v>
      </c>
      <c r="L91" s="4">
        <f t="shared" si="2"/>
        <v>4.18580131</v>
      </c>
    </row>
    <row r="92">
      <c r="A92" s="3" t="s">
        <v>7</v>
      </c>
      <c r="B92" s="3">
        <v>7.5</v>
      </c>
      <c r="C92" s="3">
        <v>12.9</v>
      </c>
      <c r="D92" s="3">
        <v>66.3</v>
      </c>
      <c r="E92" s="3">
        <v>0.74</v>
      </c>
      <c r="F92" s="3">
        <v>28.69</v>
      </c>
      <c r="G92" s="3">
        <v>13.86</v>
      </c>
      <c r="H92" s="3">
        <v>0.0</v>
      </c>
      <c r="I92" s="3">
        <v>0.0</v>
      </c>
      <c r="J92" s="3">
        <v>0.0</v>
      </c>
      <c r="K92" s="4">
        <f t="shared" si="1"/>
        <v>1015.2157</v>
      </c>
      <c r="L92" s="4">
        <f t="shared" si="2"/>
        <v>4.329808926</v>
      </c>
    </row>
    <row r="93">
      <c r="A93" s="3" t="s">
        <v>7</v>
      </c>
      <c r="B93" s="3">
        <v>7.5</v>
      </c>
      <c r="C93" s="3">
        <v>13.37</v>
      </c>
      <c r="D93" s="3">
        <v>66.1</v>
      </c>
      <c r="E93" s="3">
        <v>1.31</v>
      </c>
      <c r="F93" s="3">
        <v>27.81</v>
      </c>
      <c r="G93" s="3">
        <v>13.59</v>
      </c>
      <c r="H93" s="3">
        <v>0.0</v>
      </c>
      <c r="I93" s="3">
        <v>0.0</v>
      </c>
      <c r="J93" s="3">
        <v>0.0</v>
      </c>
      <c r="K93" s="4">
        <f t="shared" si="1"/>
        <v>958.0842</v>
      </c>
      <c r="L93" s="4">
        <f t="shared" si="2"/>
        <v>4.560361187</v>
      </c>
    </row>
    <row r="94">
      <c r="A94" s="3" t="s">
        <v>8</v>
      </c>
      <c r="B94" s="3">
        <v>4.25</v>
      </c>
      <c r="C94" s="3">
        <v>0.41</v>
      </c>
      <c r="D94" s="3">
        <v>15.0</v>
      </c>
      <c r="E94" s="3">
        <v>4.1</v>
      </c>
      <c r="F94" s="3">
        <v>10.41</v>
      </c>
      <c r="G94" s="3">
        <v>8.28</v>
      </c>
      <c r="H94" s="3">
        <v>0.0</v>
      </c>
      <c r="I94" s="3">
        <v>20.43</v>
      </c>
      <c r="J94" s="3">
        <v>0.0</v>
      </c>
      <c r="K94" s="4">
        <f t="shared" si="1"/>
        <v>176.9265</v>
      </c>
      <c r="L94" s="4">
        <f t="shared" si="2"/>
        <v>1.271714526</v>
      </c>
    </row>
    <row r="95">
      <c r="A95" s="3" t="s">
        <v>8</v>
      </c>
      <c r="B95" s="3">
        <v>4.25</v>
      </c>
      <c r="C95" s="3">
        <v>0.82</v>
      </c>
      <c r="D95" s="3">
        <v>23.4</v>
      </c>
      <c r="E95" s="3">
        <v>1.3</v>
      </c>
      <c r="F95" s="3">
        <v>18.08</v>
      </c>
      <c r="G95" s="3">
        <v>12.66</v>
      </c>
      <c r="H95" s="3">
        <v>0.0</v>
      </c>
      <c r="I95" s="3">
        <v>14.59</v>
      </c>
      <c r="J95" s="3">
        <v>0.0</v>
      </c>
      <c r="K95" s="4">
        <f t="shared" si="1"/>
        <v>487.162</v>
      </c>
      <c r="L95" s="4">
        <f t="shared" si="2"/>
        <v>1.123979292</v>
      </c>
    </row>
    <row r="96">
      <c r="A96" s="3" t="s">
        <v>8</v>
      </c>
      <c r="B96" s="3">
        <v>4.25</v>
      </c>
      <c r="C96" s="3">
        <v>1.24</v>
      </c>
      <c r="D96" s="3">
        <v>29.2</v>
      </c>
      <c r="E96" s="3">
        <v>1.5</v>
      </c>
      <c r="F96" s="3">
        <v>20.09</v>
      </c>
      <c r="G96" s="3">
        <v>15.11</v>
      </c>
      <c r="H96" s="3">
        <v>0.0</v>
      </c>
      <c r="I96" s="3">
        <v>8.79</v>
      </c>
      <c r="J96" s="3">
        <v>0.0</v>
      </c>
      <c r="K96" s="4">
        <f t="shared" si="1"/>
        <v>631.9202</v>
      </c>
      <c r="L96" s="4">
        <f t="shared" si="2"/>
        <v>1.349284293</v>
      </c>
    </row>
    <row r="97">
      <c r="A97" s="3" t="s">
        <v>8</v>
      </c>
      <c r="B97" s="3">
        <v>4.25</v>
      </c>
      <c r="C97" s="3">
        <v>1.64</v>
      </c>
      <c r="D97" s="3">
        <v>36.2</v>
      </c>
      <c r="E97" s="3">
        <v>1.1</v>
      </c>
      <c r="F97" s="3">
        <v>20.2</v>
      </c>
      <c r="G97" s="3">
        <v>15.99</v>
      </c>
      <c r="H97" s="3">
        <v>0.0</v>
      </c>
      <c r="I97" s="3">
        <v>5.9</v>
      </c>
      <c r="J97" s="3">
        <v>0.0</v>
      </c>
      <c r="K97" s="4">
        <f t="shared" si="1"/>
        <v>663.7201</v>
      </c>
      <c r="L97" s="4">
        <f t="shared" si="2"/>
        <v>1.974386492</v>
      </c>
    </row>
    <row r="98">
      <c r="A98" s="3" t="s">
        <v>8</v>
      </c>
      <c r="B98" s="3">
        <v>4.25</v>
      </c>
      <c r="C98" s="3">
        <v>2.06</v>
      </c>
      <c r="D98" s="3">
        <v>44.0</v>
      </c>
      <c r="E98" s="3">
        <v>1.1</v>
      </c>
      <c r="F98" s="3">
        <v>22.0</v>
      </c>
      <c r="G98" s="3">
        <v>16.89</v>
      </c>
      <c r="H98" s="3">
        <v>0.0</v>
      </c>
      <c r="I98" s="3">
        <v>4.09</v>
      </c>
      <c r="J98" s="3">
        <v>0.0</v>
      </c>
      <c r="K98" s="4">
        <f t="shared" si="1"/>
        <v>769.2721</v>
      </c>
      <c r="L98" s="4">
        <f t="shared" si="2"/>
        <v>2.51666478</v>
      </c>
    </row>
    <row r="99">
      <c r="A99" s="3" t="s">
        <v>8</v>
      </c>
      <c r="B99" s="3">
        <v>4.25</v>
      </c>
      <c r="C99" s="3">
        <v>2.47</v>
      </c>
      <c r="D99" s="3">
        <v>52.1</v>
      </c>
      <c r="E99" s="3">
        <v>1.2</v>
      </c>
      <c r="F99" s="3">
        <v>22.63</v>
      </c>
      <c r="G99" s="3">
        <v>17.03</v>
      </c>
      <c r="H99" s="3">
        <v>0.0</v>
      </c>
      <c r="I99" s="3">
        <v>2.87</v>
      </c>
      <c r="J99" s="3">
        <v>0.0</v>
      </c>
      <c r="K99" s="4">
        <f t="shared" si="1"/>
        <v>802.1378</v>
      </c>
      <c r="L99" s="4">
        <f t="shared" si="2"/>
        <v>3.383969687</v>
      </c>
    </row>
    <row r="100">
      <c r="A100" s="3" t="s">
        <v>8</v>
      </c>
      <c r="B100" s="3">
        <v>4.25</v>
      </c>
      <c r="C100" s="3">
        <v>2.89</v>
      </c>
      <c r="D100" s="3">
        <v>52.9</v>
      </c>
      <c r="E100" s="3">
        <v>1.7</v>
      </c>
      <c r="F100" s="3">
        <v>22.95</v>
      </c>
      <c r="G100" s="3">
        <v>16.99</v>
      </c>
      <c r="H100" s="3">
        <v>0.0</v>
      </c>
      <c r="I100" s="3">
        <v>2.09</v>
      </c>
      <c r="J100" s="3">
        <v>0.0</v>
      </c>
      <c r="K100" s="4">
        <f t="shared" si="1"/>
        <v>815.3626</v>
      </c>
      <c r="L100" s="4">
        <f t="shared" si="2"/>
        <v>3.432104931</v>
      </c>
    </row>
    <row r="101">
      <c r="A101" s="3" t="s">
        <v>8</v>
      </c>
      <c r="B101" s="3">
        <v>4.25</v>
      </c>
      <c r="C101" s="3">
        <v>3.3</v>
      </c>
      <c r="D101" s="3">
        <v>54.8</v>
      </c>
      <c r="E101" s="3">
        <v>2.2</v>
      </c>
      <c r="F101" s="3">
        <v>22.74</v>
      </c>
      <c r="G101" s="3">
        <v>17.19</v>
      </c>
      <c r="H101" s="3">
        <v>0.0</v>
      </c>
      <c r="I101" s="3">
        <v>1.56</v>
      </c>
      <c r="J101" s="3">
        <v>0.0</v>
      </c>
      <c r="K101" s="4">
        <f t="shared" si="1"/>
        <v>812.6037</v>
      </c>
      <c r="L101" s="4">
        <f t="shared" si="2"/>
        <v>3.695577561</v>
      </c>
    </row>
    <row r="102">
      <c r="A102" s="3" t="s">
        <v>8</v>
      </c>
      <c r="B102" s="3">
        <v>4.25</v>
      </c>
      <c r="C102" s="3">
        <v>3.71</v>
      </c>
      <c r="D102" s="3">
        <v>55.0</v>
      </c>
      <c r="E102" s="3">
        <v>2.5</v>
      </c>
      <c r="F102" s="3">
        <v>22.74</v>
      </c>
      <c r="G102" s="3">
        <v>17.16</v>
      </c>
      <c r="H102" s="3">
        <v>0.0</v>
      </c>
      <c r="I102" s="3">
        <v>0.82</v>
      </c>
      <c r="J102" s="3">
        <v>0.0</v>
      </c>
      <c r="K102" s="4">
        <f t="shared" si="1"/>
        <v>811.5732</v>
      </c>
      <c r="L102" s="4">
        <f t="shared" si="2"/>
        <v>3.727328601</v>
      </c>
    </row>
    <row r="103">
      <c r="A103" s="3" t="s">
        <v>8</v>
      </c>
      <c r="B103" s="3">
        <v>4.25</v>
      </c>
      <c r="C103" s="3">
        <v>4.12</v>
      </c>
      <c r="D103" s="3">
        <v>52.0</v>
      </c>
      <c r="E103" s="3">
        <v>2.7</v>
      </c>
      <c r="F103" s="3">
        <v>22.74</v>
      </c>
      <c r="G103" s="3">
        <v>16.37</v>
      </c>
      <c r="H103" s="3">
        <v>0.0</v>
      </c>
      <c r="I103" s="3">
        <v>0.0</v>
      </c>
      <c r="J103" s="3">
        <v>0.0</v>
      </c>
      <c r="K103" s="4">
        <f t="shared" si="1"/>
        <v>785.0845</v>
      </c>
      <c r="L103" s="4">
        <f t="shared" si="2"/>
        <v>3.444215241</v>
      </c>
    </row>
    <row r="104">
      <c r="A104" s="3" t="s">
        <v>9</v>
      </c>
      <c r="B104" s="3">
        <v>15.4</v>
      </c>
      <c r="C104" s="3">
        <v>1.87</v>
      </c>
      <c r="D104" s="3">
        <v>27.7</v>
      </c>
      <c r="E104" s="3">
        <v>3.0</v>
      </c>
      <c r="F104" s="3">
        <v>8.68</v>
      </c>
      <c r="G104" s="3">
        <v>18.19</v>
      </c>
      <c r="H104" s="3">
        <v>0.0</v>
      </c>
      <c r="I104" s="3">
        <v>9.38</v>
      </c>
      <c r="J104" s="3">
        <v>0.0</v>
      </c>
      <c r="K104" s="4">
        <f t="shared" si="1"/>
        <v>406.2185</v>
      </c>
      <c r="L104" s="4">
        <f t="shared" si="2"/>
        <v>1.888860305</v>
      </c>
    </row>
    <row r="105">
      <c r="A105" s="3" t="s">
        <v>9</v>
      </c>
      <c r="B105" s="3">
        <v>15.4</v>
      </c>
      <c r="C105" s="3">
        <v>3.36</v>
      </c>
      <c r="D105" s="3">
        <v>42.4</v>
      </c>
      <c r="E105" s="3">
        <v>1.5</v>
      </c>
      <c r="F105" s="3">
        <v>15.07</v>
      </c>
      <c r="G105" s="3">
        <v>19.75</v>
      </c>
      <c r="H105" s="3">
        <v>0.0</v>
      </c>
      <c r="I105" s="3">
        <v>3.58</v>
      </c>
      <c r="J105" s="3">
        <v>0.0</v>
      </c>
      <c r="K105" s="4">
        <f t="shared" si="1"/>
        <v>617.1674</v>
      </c>
      <c r="L105" s="4">
        <f t="shared" si="2"/>
        <v>2.912921194</v>
      </c>
    </row>
    <row r="106">
      <c r="A106" s="3" t="s">
        <v>9</v>
      </c>
      <c r="B106" s="3">
        <v>15.4</v>
      </c>
      <c r="C106" s="3">
        <v>4.86</v>
      </c>
      <c r="D106" s="3">
        <v>52.5</v>
      </c>
      <c r="E106" s="3">
        <v>1.0</v>
      </c>
      <c r="F106" s="3">
        <v>20.59</v>
      </c>
      <c r="G106" s="3">
        <v>19.94</v>
      </c>
      <c r="H106" s="3">
        <v>0.0</v>
      </c>
      <c r="I106" s="3">
        <v>2.02</v>
      </c>
      <c r="J106" s="3">
        <v>0.0</v>
      </c>
      <c r="K106" s="4">
        <f t="shared" si="1"/>
        <v>821.5517</v>
      </c>
      <c r="L106" s="4">
        <f t="shared" si="2"/>
        <v>3.354931893</v>
      </c>
    </row>
    <row r="107">
      <c r="A107" s="3" t="s">
        <v>9</v>
      </c>
      <c r="B107" s="3">
        <v>15.4</v>
      </c>
      <c r="C107" s="3">
        <v>6.35</v>
      </c>
      <c r="D107" s="3">
        <v>55.6</v>
      </c>
      <c r="E107" s="3">
        <v>1.0</v>
      </c>
      <c r="F107" s="3">
        <v>24.61</v>
      </c>
      <c r="G107" s="3">
        <v>19.17</v>
      </c>
      <c r="H107" s="3">
        <v>0.0</v>
      </c>
      <c r="I107" s="3">
        <v>0.91</v>
      </c>
      <c r="J107" s="3">
        <v>0.0</v>
      </c>
      <c r="K107" s="4">
        <f t="shared" si="1"/>
        <v>973.141</v>
      </c>
      <c r="L107" s="4">
        <f t="shared" si="2"/>
        <v>3.176682516</v>
      </c>
    </row>
    <row r="108">
      <c r="A108" s="3" t="s">
        <v>9</v>
      </c>
      <c r="B108" s="3">
        <v>15.4</v>
      </c>
      <c r="C108" s="3">
        <v>7.85</v>
      </c>
      <c r="D108" s="3">
        <v>58.6</v>
      </c>
      <c r="E108" s="3">
        <v>1.1</v>
      </c>
      <c r="F108" s="3">
        <v>26.94</v>
      </c>
      <c r="G108" s="3">
        <v>18.71</v>
      </c>
      <c r="H108" s="3">
        <v>0.0</v>
      </c>
      <c r="I108" s="3">
        <v>0.47</v>
      </c>
      <c r="J108" s="3">
        <v>0.0</v>
      </c>
      <c r="K108" s="4">
        <f t="shared" si="1"/>
        <v>1075.8277</v>
      </c>
      <c r="L108" s="4">
        <f t="shared" si="2"/>
        <v>3.191923763</v>
      </c>
    </row>
    <row r="109">
      <c r="A109" s="3" t="s">
        <v>9</v>
      </c>
      <c r="B109" s="3">
        <v>15.4</v>
      </c>
      <c r="C109" s="3">
        <v>9.34</v>
      </c>
      <c r="D109" s="3">
        <v>59.0</v>
      </c>
      <c r="E109" s="3">
        <v>1.2</v>
      </c>
      <c r="F109" s="3">
        <v>27.6</v>
      </c>
      <c r="G109" s="3">
        <v>17.41</v>
      </c>
      <c r="H109" s="3">
        <v>0.0</v>
      </c>
      <c r="I109" s="3">
        <v>0.18</v>
      </c>
      <c r="J109" s="3">
        <v>0.0</v>
      </c>
      <c r="K109" s="4">
        <f t="shared" si="1"/>
        <v>1064.8681</v>
      </c>
      <c r="L109" s="4">
        <f t="shared" si="2"/>
        <v>3.26894946</v>
      </c>
    </row>
    <row r="110">
      <c r="A110" s="3" t="s">
        <v>9</v>
      </c>
      <c r="B110" s="3">
        <v>15.4</v>
      </c>
      <c r="C110" s="3">
        <v>10.83</v>
      </c>
      <c r="D110" s="3">
        <v>60.0</v>
      </c>
      <c r="E110" s="3">
        <v>1.3</v>
      </c>
      <c r="F110" s="3">
        <v>26.77</v>
      </c>
      <c r="G110" s="3">
        <v>16.05</v>
      </c>
      <c r="H110" s="3">
        <v>0.0</v>
      </c>
      <c r="I110" s="3">
        <v>0.09</v>
      </c>
      <c r="J110" s="3">
        <v>0.0</v>
      </c>
      <c r="K110" s="4">
        <f t="shared" si="1"/>
        <v>974.2354</v>
      </c>
      <c r="L110" s="4">
        <f t="shared" si="2"/>
        <v>3.695205491</v>
      </c>
    </row>
    <row r="111">
      <c r="A111" s="3" t="s">
        <v>9</v>
      </c>
      <c r="B111" s="3">
        <v>15.4</v>
      </c>
      <c r="C111" s="3">
        <v>12.33</v>
      </c>
      <c r="D111" s="3">
        <v>62.2</v>
      </c>
      <c r="E111" s="3">
        <v>1.0</v>
      </c>
      <c r="F111" s="3">
        <v>24.9</v>
      </c>
      <c r="G111" s="3">
        <v>15.01</v>
      </c>
      <c r="H111" s="3">
        <v>0.0</v>
      </c>
      <c r="I111" s="3">
        <v>0.0</v>
      </c>
      <c r="J111" s="3">
        <v>0.0</v>
      </c>
      <c r="K111" s="4">
        <f t="shared" si="1"/>
        <v>845.3101</v>
      </c>
      <c r="L111" s="4">
        <f t="shared" si="2"/>
        <v>4.576829261</v>
      </c>
    </row>
    <row r="112">
      <c r="A112" s="3" t="s">
        <v>56</v>
      </c>
      <c r="B112" s="3">
        <v>28.7</v>
      </c>
      <c r="C112" s="3">
        <v>0.41</v>
      </c>
      <c r="D112" s="3">
        <v>33.2</v>
      </c>
      <c r="E112" s="3">
        <v>11.6</v>
      </c>
      <c r="F112" s="3">
        <v>2.21</v>
      </c>
      <c r="G112" s="3">
        <v>28.95</v>
      </c>
      <c r="H112" s="3">
        <v>0.0</v>
      </c>
      <c r="I112" s="3">
        <v>455.28</v>
      </c>
      <c r="J112" s="3">
        <v>0.0</v>
      </c>
      <c r="K112" s="4">
        <f t="shared" si="1"/>
        <v>842.9866</v>
      </c>
      <c r="L112" s="4">
        <f t="shared" si="2"/>
        <v>1.307541543</v>
      </c>
    </row>
    <row r="113">
      <c r="A113" s="3" t="s">
        <v>56</v>
      </c>
      <c r="B113" s="3">
        <v>28.7</v>
      </c>
      <c r="C113" s="3">
        <v>0.98</v>
      </c>
      <c r="D113" s="3">
        <v>50.4</v>
      </c>
      <c r="E113" s="3">
        <v>11.8</v>
      </c>
      <c r="F113" s="3">
        <v>4.41</v>
      </c>
      <c r="G113" s="3">
        <v>47.6</v>
      </c>
      <c r="H113" s="3">
        <v>0.0</v>
      </c>
      <c r="I113" s="3">
        <v>284.5</v>
      </c>
      <c r="J113" s="3">
        <v>0.0</v>
      </c>
      <c r="K113" s="4">
        <f t="shared" si="1"/>
        <v>2285.2081</v>
      </c>
      <c r="L113" s="4">
        <f t="shared" si="2"/>
        <v>1.111566163</v>
      </c>
    </row>
    <row r="114">
      <c r="A114" s="3" t="s">
        <v>56</v>
      </c>
      <c r="B114" s="3">
        <v>28.7</v>
      </c>
      <c r="C114" s="3">
        <v>1.78</v>
      </c>
      <c r="D114" s="3">
        <v>53.9</v>
      </c>
      <c r="E114" s="3">
        <v>9.75</v>
      </c>
      <c r="F114" s="3">
        <v>6.75</v>
      </c>
      <c r="G114" s="3">
        <v>62.09</v>
      </c>
      <c r="H114" s="3">
        <v>0.0</v>
      </c>
      <c r="I114" s="3">
        <v>213.32</v>
      </c>
      <c r="J114" s="3">
        <v>0.0</v>
      </c>
      <c r="K114" s="4">
        <f t="shared" si="1"/>
        <v>3900.7306</v>
      </c>
      <c r="L114" s="4">
        <f t="shared" si="2"/>
        <v>0.7447861178</v>
      </c>
    </row>
    <row r="115">
      <c r="A115" s="3" t="s">
        <v>56</v>
      </c>
      <c r="B115" s="3">
        <v>28.7</v>
      </c>
      <c r="C115" s="3">
        <v>2.69</v>
      </c>
      <c r="D115" s="3">
        <v>67.6</v>
      </c>
      <c r="E115" s="3">
        <v>5.1</v>
      </c>
      <c r="F115" s="3">
        <v>8.55</v>
      </c>
      <c r="G115" s="3">
        <v>75.48</v>
      </c>
      <c r="H115" s="3">
        <v>0.0</v>
      </c>
      <c r="I115" s="3">
        <v>152.2</v>
      </c>
      <c r="J115" s="3">
        <v>0.0</v>
      </c>
      <c r="K115" s="4">
        <f t="shared" si="1"/>
        <v>5770.3329</v>
      </c>
      <c r="L115" s="4">
        <f t="shared" si="2"/>
        <v>0.7919404442</v>
      </c>
    </row>
    <row r="116">
      <c r="A116" s="3" t="s">
        <v>56</v>
      </c>
      <c r="B116" s="3">
        <v>28.7</v>
      </c>
      <c r="C116" s="3">
        <v>3.36</v>
      </c>
      <c r="D116" s="3">
        <v>81.7</v>
      </c>
      <c r="E116" s="3">
        <v>5.06</v>
      </c>
      <c r="F116" s="3">
        <v>9.18</v>
      </c>
      <c r="G116" s="3">
        <v>82.21</v>
      </c>
      <c r="H116" s="3">
        <v>0.0</v>
      </c>
      <c r="I116" s="3">
        <v>142.61</v>
      </c>
      <c r="J116" s="3">
        <v>0.0</v>
      </c>
      <c r="K116" s="4">
        <f t="shared" si="1"/>
        <v>6842.7565</v>
      </c>
      <c r="L116" s="4">
        <f t="shared" si="2"/>
        <v>0.9754680004</v>
      </c>
    </row>
    <row r="117">
      <c r="A117" s="3" t="s">
        <v>56</v>
      </c>
      <c r="B117" s="3">
        <v>28.7</v>
      </c>
      <c r="C117" s="3">
        <v>4.39</v>
      </c>
      <c r="D117" s="3">
        <v>102.0</v>
      </c>
      <c r="E117" s="3">
        <v>5.35</v>
      </c>
      <c r="F117" s="3">
        <v>9.29</v>
      </c>
      <c r="G117" s="3">
        <v>86.87</v>
      </c>
      <c r="H117" s="3">
        <v>0.0</v>
      </c>
      <c r="I117" s="3">
        <v>105.73</v>
      </c>
      <c r="J117" s="3">
        <v>0.0</v>
      </c>
      <c r="K117" s="4">
        <f t="shared" si="1"/>
        <v>7632.701</v>
      </c>
      <c r="L117" s="4">
        <f t="shared" si="2"/>
        <v>1.363082348</v>
      </c>
    </row>
    <row r="118">
      <c r="A118" s="3" t="s">
        <v>56</v>
      </c>
      <c r="B118" s="3">
        <v>28.7</v>
      </c>
      <c r="C118" s="3">
        <v>5.65</v>
      </c>
      <c r="D118" s="3">
        <v>116.0</v>
      </c>
      <c r="E118" s="3">
        <v>6.44</v>
      </c>
      <c r="F118" s="3">
        <v>9.5</v>
      </c>
      <c r="G118" s="3">
        <v>92.23</v>
      </c>
      <c r="H118" s="3">
        <v>0.0</v>
      </c>
      <c r="I118" s="3">
        <v>92.69</v>
      </c>
      <c r="J118" s="3">
        <v>0.0</v>
      </c>
      <c r="K118" s="4">
        <f t="shared" si="1"/>
        <v>8596.6229</v>
      </c>
      <c r="L118" s="4">
        <f t="shared" si="2"/>
        <v>1.565265821</v>
      </c>
    </row>
    <row r="119">
      <c r="A119" s="3" t="s">
        <v>56</v>
      </c>
      <c r="B119" s="3">
        <v>28.7</v>
      </c>
      <c r="C119" s="3">
        <v>6.34</v>
      </c>
      <c r="D119" s="3">
        <v>132.0</v>
      </c>
      <c r="E119" s="3">
        <v>9.1</v>
      </c>
      <c r="F119" s="3">
        <v>10.22</v>
      </c>
      <c r="G119" s="3">
        <v>96.19</v>
      </c>
      <c r="H119" s="3">
        <v>0.0</v>
      </c>
      <c r="I119" s="3">
        <v>89.82</v>
      </c>
      <c r="J119" s="3">
        <v>0.0</v>
      </c>
      <c r="K119" s="4">
        <f t="shared" si="1"/>
        <v>9356.9645</v>
      </c>
      <c r="L119" s="4">
        <f t="shared" si="2"/>
        <v>1.862142365</v>
      </c>
    </row>
    <row r="120">
      <c r="A120" s="3" t="s">
        <v>56</v>
      </c>
      <c r="B120" s="3">
        <v>28.7</v>
      </c>
      <c r="C120" s="3">
        <v>6.89</v>
      </c>
      <c r="D120" s="3">
        <v>137.0</v>
      </c>
      <c r="E120" s="3">
        <v>5.25</v>
      </c>
      <c r="F120" s="3">
        <v>11.87</v>
      </c>
      <c r="G120" s="3">
        <v>100.53</v>
      </c>
      <c r="H120" s="3">
        <v>0.0</v>
      </c>
      <c r="I120" s="3">
        <v>87.61</v>
      </c>
      <c r="J120" s="3">
        <v>0.0</v>
      </c>
      <c r="K120" s="4">
        <f t="shared" si="1"/>
        <v>10247.1778</v>
      </c>
      <c r="L120" s="4">
        <f t="shared" si="2"/>
        <v>1.831626265</v>
      </c>
    </row>
    <row r="121">
      <c r="A121" s="3" t="s">
        <v>56</v>
      </c>
      <c r="B121" s="3">
        <v>28.7</v>
      </c>
      <c r="C121" s="3">
        <v>8.34</v>
      </c>
      <c r="D121" s="3">
        <v>154.0</v>
      </c>
      <c r="E121" s="3">
        <v>4.2</v>
      </c>
      <c r="F121" s="3">
        <v>17.23</v>
      </c>
      <c r="G121" s="3">
        <v>113.81</v>
      </c>
      <c r="H121" s="3">
        <v>0.0</v>
      </c>
      <c r="I121" s="3">
        <v>78.45</v>
      </c>
      <c r="J121" s="3">
        <v>0.0</v>
      </c>
      <c r="K121" s="4">
        <f t="shared" si="1"/>
        <v>13249.589</v>
      </c>
      <c r="L121" s="4">
        <f t="shared" si="2"/>
        <v>1.789942314</v>
      </c>
    </row>
    <row r="122">
      <c r="A122" s="3" t="s">
        <v>56</v>
      </c>
      <c r="B122" s="3">
        <v>28.7</v>
      </c>
      <c r="C122" s="3">
        <v>10.04</v>
      </c>
      <c r="D122" s="3">
        <v>163.0</v>
      </c>
      <c r="E122" s="3">
        <v>3.28</v>
      </c>
      <c r="F122" s="3">
        <v>24.23</v>
      </c>
      <c r="G122" s="3">
        <v>128.72</v>
      </c>
      <c r="H122" s="3">
        <v>0.0</v>
      </c>
      <c r="I122" s="3">
        <v>58.05</v>
      </c>
      <c r="J122" s="3">
        <v>0.0</v>
      </c>
      <c r="K122" s="4">
        <f t="shared" si="1"/>
        <v>17155.9313</v>
      </c>
      <c r="L122" s="4">
        <f t="shared" si="2"/>
        <v>1.54867722</v>
      </c>
    </row>
    <row r="123">
      <c r="A123" s="3" t="s">
        <v>56</v>
      </c>
      <c r="B123" s="3">
        <v>28.7</v>
      </c>
      <c r="C123" s="3">
        <v>11.65</v>
      </c>
      <c r="D123" s="3">
        <v>170.0</v>
      </c>
      <c r="E123" s="3">
        <v>2.41</v>
      </c>
      <c r="F123" s="3">
        <v>30.75</v>
      </c>
      <c r="G123" s="3">
        <v>133.41</v>
      </c>
      <c r="H123" s="3">
        <v>0.0</v>
      </c>
      <c r="I123" s="3">
        <v>39.79</v>
      </c>
      <c r="J123" s="3">
        <v>0.0</v>
      </c>
      <c r="K123" s="4">
        <f t="shared" si="1"/>
        <v>18743.7906</v>
      </c>
      <c r="L123" s="4">
        <f t="shared" si="2"/>
        <v>1.541843943</v>
      </c>
    </row>
    <row r="124">
      <c r="A124" s="3" t="s">
        <v>56</v>
      </c>
      <c r="B124" s="3">
        <v>28.7</v>
      </c>
      <c r="C124" s="3">
        <v>13.36</v>
      </c>
      <c r="D124" s="3">
        <v>175.0</v>
      </c>
      <c r="E124" s="3">
        <v>2.18</v>
      </c>
      <c r="F124" s="3">
        <v>36.2</v>
      </c>
      <c r="G124" s="3">
        <v>132.99</v>
      </c>
      <c r="H124" s="3">
        <v>0.0</v>
      </c>
      <c r="I124" s="3">
        <v>23.18</v>
      </c>
      <c r="J124" s="3">
        <v>0.0</v>
      </c>
      <c r="K124" s="4">
        <f t="shared" si="1"/>
        <v>18996.7801</v>
      </c>
      <c r="L124" s="4">
        <f t="shared" si="2"/>
        <v>1.612115308</v>
      </c>
    </row>
    <row r="125">
      <c r="A125" s="3" t="s">
        <v>56</v>
      </c>
      <c r="B125" s="3">
        <v>28.7</v>
      </c>
      <c r="C125" s="3">
        <v>15.06</v>
      </c>
      <c r="D125" s="3">
        <v>177.0</v>
      </c>
      <c r="E125" s="3">
        <v>2.23</v>
      </c>
      <c r="F125" s="3">
        <v>39.42</v>
      </c>
      <c r="G125" s="3">
        <v>128.51</v>
      </c>
      <c r="H125" s="3">
        <v>0.0</v>
      </c>
      <c r="I125" s="3">
        <v>15.89</v>
      </c>
      <c r="J125" s="3">
        <v>0.0</v>
      </c>
      <c r="K125" s="4">
        <f t="shared" si="1"/>
        <v>18068.7565</v>
      </c>
      <c r="L125" s="4">
        <f t="shared" si="2"/>
        <v>1.733876927</v>
      </c>
    </row>
    <row r="126">
      <c r="A126" s="3" t="s">
        <v>56</v>
      </c>
      <c r="B126" s="3">
        <v>28.7</v>
      </c>
      <c r="C126" s="3">
        <v>16.67</v>
      </c>
      <c r="D126" s="3">
        <v>178.0</v>
      </c>
      <c r="E126" s="3">
        <v>2.03</v>
      </c>
      <c r="F126" s="3">
        <v>40.49</v>
      </c>
      <c r="G126" s="3">
        <v>124.23</v>
      </c>
      <c r="H126" s="3">
        <v>0.0</v>
      </c>
      <c r="I126" s="3">
        <v>10.92</v>
      </c>
      <c r="J126" s="3">
        <v>0.0</v>
      </c>
      <c r="K126" s="4">
        <f t="shared" si="1"/>
        <v>17072.533</v>
      </c>
      <c r="L126" s="4">
        <f t="shared" si="2"/>
        <v>1.855846464</v>
      </c>
    </row>
    <row r="127">
      <c r="A127" s="3" t="s">
        <v>57</v>
      </c>
      <c r="B127" s="3">
        <v>13.0</v>
      </c>
      <c r="C127" s="3">
        <v>0.25</v>
      </c>
      <c r="D127" s="3">
        <v>20.9</v>
      </c>
      <c r="E127" s="3">
        <v>3.4</v>
      </c>
      <c r="F127" s="3">
        <v>-0.22</v>
      </c>
      <c r="G127" s="3">
        <v>17.33</v>
      </c>
      <c r="H127" s="3">
        <v>0.0</v>
      </c>
      <c r="I127" s="3">
        <v>276.94</v>
      </c>
      <c r="J127" s="3">
        <v>0.0</v>
      </c>
      <c r="K127" s="4">
        <f t="shared" si="1"/>
        <v>300.3773</v>
      </c>
      <c r="L127" s="4">
        <f t="shared" si="2"/>
        <v>1.454204429</v>
      </c>
    </row>
    <row r="128">
      <c r="A128" s="3" t="s">
        <v>57</v>
      </c>
      <c r="B128" s="3">
        <v>13.0</v>
      </c>
      <c r="C128" s="3">
        <v>0.83</v>
      </c>
      <c r="D128" s="3">
        <v>40.0</v>
      </c>
      <c r="E128" s="3">
        <v>3.29</v>
      </c>
      <c r="F128" s="3">
        <v>-1.8</v>
      </c>
      <c r="G128" s="3">
        <v>34.96</v>
      </c>
      <c r="H128" s="3">
        <v>0.0</v>
      </c>
      <c r="I128" s="3">
        <v>168.99</v>
      </c>
      <c r="J128" s="3">
        <v>0.0</v>
      </c>
      <c r="K128" s="4">
        <f t="shared" si="1"/>
        <v>1225.4416</v>
      </c>
      <c r="L128" s="4">
        <f t="shared" si="2"/>
        <v>1.305651775</v>
      </c>
    </row>
    <row r="129">
      <c r="A129" s="3" t="s">
        <v>57</v>
      </c>
      <c r="B129" s="3">
        <v>13.0</v>
      </c>
      <c r="C129" s="3">
        <v>1.38</v>
      </c>
      <c r="D129" s="3">
        <v>51.5</v>
      </c>
      <c r="E129" s="3">
        <v>2.96</v>
      </c>
      <c r="F129" s="3">
        <v>-1.55</v>
      </c>
      <c r="G129" s="3">
        <v>51.34</v>
      </c>
      <c r="H129" s="3">
        <v>0.0</v>
      </c>
      <c r="I129" s="3">
        <v>141.01</v>
      </c>
      <c r="J129" s="3">
        <v>0.0</v>
      </c>
      <c r="K129" s="4">
        <f t="shared" si="1"/>
        <v>2638.1981</v>
      </c>
      <c r="L129" s="4">
        <f t="shared" si="2"/>
        <v>1.005326325</v>
      </c>
    </row>
    <row r="130">
      <c r="A130" s="3" t="s">
        <v>57</v>
      </c>
      <c r="B130" s="3">
        <v>13.0</v>
      </c>
      <c r="C130" s="3">
        <v>1.85</v>
      </c>
      <c r="D130" s="3">
        <v>67.9</v>
      </c>
      <c r="E130" s="3">
        <v>3.45</v>
      </c>
      <c r="F130" s="3">
        <v>5.01</v>
      </c>
      <c r="G130" s="3">
        <v>61.73</v>
      </c>
      <c r="H130" s="3">
        <v>0.0</v>
      </c>
      <c r="I130" s="3">
        <v>81.24</v>
      </c>
      <c r="J130" s="3">
        <v>0.0</v>
      </c>
      <c r="K130" s="4">
        <f t="shared" si="1"/>
        <v>3835.693</v>
      </c>
      <c r="L130" s="4">
        <f t="shared" si="2"/>
        <v>1.201975758</v>
      </c>
    </row>
    <row r="131">
      <c r="A131" s="3" t="s">
        <v>57</v>
      </c>
      <c r="B131" s="3">
        <v>13.0</v>
      </c>
      <c r="C131" s="3">
        <v>2.68</v>
      </c>
      <c r="D131" s="3">
        <v>80.2</v>
      </c>
      <c r="E131" s="3">
        <v>2.93</v>
      </c>
      <c r="F131" s="3">
        <v>12.54</v>
      </c>
      <c r="G131" s="3">
        <v>60.49</v>
      </c>
      <c r="H131" s="3">
        <v>0.0</v>
      </c>
      <c r="I131" s="3">
        <v>46.01</v>
      </c>
      <c r="J131" s="3">
        <v>0.0</v>
      </c>
      <c r="K131" s="4">
        <f t="shared" si="1"/>
        <v>3816.2917</v>
      </c>
      <c r="L131" s="4">
        <f t="shared" si="2"/>
        <v>1.685416238</v>
      </c>
    </row>
    <row r="132">
      <c r="A132" s="3" t="s">
        <v>57</v>
      </c>
      <c r="B132" s="3">
        <v>13.0</v>
      </c>
      <c r="C132" s="3">
        <v>3.19</v>
      </c>
      <c r="D132" s="3">
        <v>83.3</v>
      </c>
      <c r="E132" s="3">
        <v>3.08</v>
      </c>
      <c r="F132" s="3">
        <v>16.68</v>
      </c>
      <c r="G132" s="3">
        <v>63.17</v>
      </c>
      <c r="H132" s="3">
        <v>0.0</v>
      </c>
      <c r="I132" s="3">
        <v>41.4</v>
      </c>
      <c r="J132" s="3">
        <v>0.0</v>
      </c>
      <c r="K132" s="4">
        <f t="shared" si="1"/>
        <v>4268.6713</v>
      </c>
      <c r="L132" s="4">
        <f t="shared" si="2"/>
        <v>1.625538607</v>
      </c>
    </row>
    <row r="133">
      <c r="A133" s="3" t="s">
        <v>57</v>
      </c>
      <c r="B133" s="3">
        <v>13.0</v>
      </c>
      <c r="C133" s="3">
        <v>3.68</v>
      </c>
      <c r="D133" s="3">
        <v>91.4</v>
      </c>
      <c r="E133" s="3">
        <v>2.83</v>
      </c>
      <c r="F133" s="3">
        <v>20.19</v>
      </c>
      <c r="G133" s="3">
        <v>65.14</v>
      </c>
      <c r="H133" s="3">
        <v>0.0</v>
      </c>
      <c r="I133" s="3">
        <v>30.23</v>
      </c>
      <c r="J133" s="3">
        <v>0.0</v>
      </c>
      <c r="K133" s="4">
        <f t="shared" si="1"/>
        <v>4650.8557</v>
      </c>
      <c r="L133" s="4">
        <f t="shared" si="2"/>
        <v>1.796219995</v>
      </c>
    </row>
    <row r="134">
      <c r="A134" s="3" t="s">
        <v>57</v>
      </c>
      <c r="B134" s="3">
        <v>13.0</v>
      </c>
      <c r="C134" s="3">
        <v>4.13</v>
      </c>
      <c r="D134" s="3">
        <v>102.0</v>
      </c>
      <c r="E134" s="3">
        <v>5.4</v>
      </c>
      <c r="F134" s="3">
        <v>22.31</v>
      </c>
      <c r="G134" s="3">
        <v>66.32</v>
      </c>
      <c r="H134" s="3">
        <v>0.0</v>
      </c>
      <c r="I134" s="3">
        <v>24.2</v>
      </c>
      <c r="J134" s="3">
        <v>0.0</v>
      </c>
      <c r="K134" s="4">
        <f t="shared" si="1"/>
        <v>4896.0785</v>
      </c>
      <c r="L134" s="4">
        <f t="shared" si="2"/>
        <v>2.124965929</v>
      </c>
    </row>
    <row r="135">
      <c r="A135" s="3" t="s">
        <v>57</v>
      </c>
      <c r="B135" s="3">
        <v>13.0</v>
      </c>
      <c r="C135" s="3">
        <v>5.23</v>
      </c>
      <c r="D135" s="3">
        <v>105.0</v>
      </c>
      <c r="E135" s="3">
        <v>4.21</v>
      </c>
      <c r="F135" s="3">
        <v>25.63</v>
      </c>
      <c r="G135" s="3">
        <v>64.52</v>
      </c>
      <c r="H135" s="3">
        <v>0.0</v>
      </c>
      <c r="I135" s="3">
        <v>9.48</v>
      </c>
      <c r="J135" s="3">
        <v>0.0</v>
      </c>
      <c r="K135" s="4">
        <f t="shared" si="1"/>
        <v>4819.7273</v>
      </c>
      <c r="L135" s="4">
        <f t="shared" si="2"/>
        <v>2.287473816</v>
      </c>
    </row>
    <row r="136">
      <c r="A136" s="3" t="s">
        <v>57</v>
      </c>
      <c r="B136" s="3">
        <v>13.0</v>
      </c>
      <c r="C136" s="3">
        <v>6.05</v>
      </c>
      <c r="D136" s="3">
        <v>109.0</v>
      </c>
      <c r="E136" s="3">
        <v>2.1</v>
      </c>
      <c r="F136" s="3">
        <v>27.28</v>
      </c>
      <c r="G136" s="3">
        <v>60.09</v>
      </c>
      <c r="H136" s="3">
        <v>0.0</v>
      </c>
      <c r="I136" s="3">
        <v>3.57</v>
      </c>
      <c r="J136" s="3">
        <v>0.0</v>
      </c>
      <c r="K136" s="4">
        <f t="shared" si="1"/>
        <v>4355.0065</v>
      </c>
      <c r="L136" s="4">
        <f t="shared" si="2"/>
        <v>2.728124516</v>
      </c>
    </row>
    <row r="137">
      <c r="A137" s="3" t="s">
        <v>57</v>
      </c>
      <c r="B137" s="3">
        <v>13.0</v>
      </c>
      <c r="C137" s="3">
        <v>6.81</v>
      </c>
      <c r="D137" s="3">
        <v>108.0</v>
      </c>
      <c r="E137" s="3">
        <v>2.1</v>
      </c>
      <c r="F137" s="3">
        <v>28.58</v>
      </c>
      <c r="G137" s="3">
        <v>55.74</v>
      </c>
      <c r="H137" s="3">
        <v>0.0</v>
      </c>
      <c r="I137" s="3">
        <v>2.78</v>
      </c>
      <c r="J137" s="3">
        <v>0.0</v>
      </c>
      <c r="K137" s="4">
        <f t="shared" si="1"/>
        <v>3923.764</v>
      </c>
      <c r="L137" s="4">
        <f t="shared" si="2"/>
        <v>2.972655848</v>
      </c>
    </row>
    <row r="138">
      <c r="A138" s="3" t="s">
        <v>57</v>
      </c>
      <c r="B138" s="3">
        <v>13.0</v>
      </c>
      <c r="C138" s="3">
        <v>7.56</v>
      </c>
      <c r="D138" s="3">
        <v>109.0</v>
      </c>
      <c r="E138" s="3">
        <v>2.1</v>
      </c>
      <c r="F138" s="3">
        <v>30.7</v>
      </c>
      <c r="G138" s="3">
        <v>53.61</v>
      </c>
      <c r="H138" s="3">
        <v>0.0</v>
      </c>
      <c r="I138" s="3">
        <v>2.04</v>
      </c>
      <c r="J138" s="3">
        <v>0.0</v>
      </c>
      <c r="K138" s="4">
        <f t="shared" si="1"/>
        <v>3816.5221</v>
      </c>
      <c r="L138" s="4">
        <f t="shared" si="2"/>
        <v>3.113043679</v>
      </c>
    </row>
    <row r="139">
      <c r="A139" s="3" t="s">
        <v>57</v>
      </c>
      <c r="B139" s="3">
        <v>13.0</v>
      </c>
      <c r="C139" s="3">
        <v>8.32</v>
      </c>
      <c r="D139" s="3">
        <v>110.0</v>
      </c>
      <c r="E139" s="3">
        <v>2.1</v>
      </c>
      <c r="F139" s="3">
        <v>33.83</v>
      </c>
      <c r="G139" s="3">
        <v>51.18</v>
      </c>
      <c r="H139" s="3">
        <v>0.0</v>
      </c>
      <c r="I139" s="3">
        <v>1.21</v>
      </c>
      <c r="J139" s="3">
        <v>0.0</v>
      </c>
      <c r="K139" s="4">
        <f t="shared" si="1"/>
        <v>3763.8613</v>
      </c>
      <c r="L139" s="4">
        <f t="shared" si="2"/>
        <v>3.214783712</v>
      </c>
    </row>
    <row r="140">
      <c r="A140" s="3" t="s">
        <v>57</v>
      </c>
      <c r="B140" s="3">
        <v>13.0</v>
      </c>
      <c r="C140" s="3">
        <v>9.09</v>
      </c>
      <c r="D140" s="3">
        <v>111.0</v>
      </c>
      <c r="E140" s="3">
        <v>2.33</v>
      </c>
      <c r="F140" s="3">
        <v>35.49</v>
      </c>
      <c r="G140" s="3">
        <v>49.08</v>
      </c>
      <c r="H140" s="3">
        <v>0.0</v>
      </c>
      <c r="I140" s="3">
        <v>0.72</v>
      </c>
      <c r="J140" s="3">
        <v>0.0</v>
      </c>
      <c r="K140" s="4">
        <f t="shared" si="1"/>
        <v>3668.3865</v>
      </c>
      <c r="L140" s="4">
        <f t="shared" si="2"/>
        <v>3.358697346</v>
      </c>
    </row>
    <row r="141">
      <c r="A141" s="3" t="s">
        <v>57</v>
      </c>
      <c r="B141" s="3">
        <v>13.0</v>
      </c>
      <c r="C141" s="3">
        <v>9.86</v>
      </c>
      <c r="D141" s="3">
        <v>112.0</v>
      </c>
      <c r="E141" s="3">
        <v>4.74</v>
      </c>
      <c r="F141" s="3">
        <v>33.74</v>
      </c>
      <c r="G141" s="3">
        <v>46.34</v>
      </c>
      <c r="H141" s="3">
        <v>0.0</v>
      </c>
      <c r="I141" s="3">
        <v>0.0</v>
      </c>
      <c r="J141" s="3">
        <v>0.0</v>
      </c>
      <c r="K141" s="4">
        <f t="shared" si="1"/>
        <v>3285.7832</v>
      </c>
      <c r="L141" s="4">
        <f t="shared" si="2"/>
        <v>3.817659059</v>
      </c>
    </row>
    <row r="142">
      <c r="A142" s="3" t="s">
        <v>10</v>
      </c>
      <c r="B142" s="3">
        <v>4.83</v>
      </c>
      <c r="C142" s="3">
        <v>0.26</v>
      </c>
      <c r="D142" s="3">
        <v>18.3</v>
      </c>
      <c r="E142" s="3">
        <v>1.8</v>
      </c>
      <c r="F142" s="3">
        <v>4.59</v>
      </c>
      <c r="G142" s="3">
        <v>8.31</v>
      </c>
      <c r="H142" s="3">
        <v>0.0</v>
      </c>
      <c r="I142" s="3">
        <v>31.29</v>
      </c>
      <c r="J142" s="3">
        <v>0.0</v>
      </c>
      <c r="K142" s="4">
        <f t="shared" si="1"/>
        <v>90.1242</v>
      </c>
      <c r="L142" s="4">
        <f t="shared" si="2"/>
        <v>3.715872097</v>
      </c>
    </row>
    <row r="143">
      <c r="A143" s="3" t="s">
        <v>10</v>
      </c>
      <c r="B143" s="3">
        <v>4.83</v>
      </c>
      <c r="C143" s="3">
        <v>0.77</v>
      </c>
      <c r="D143" s="3">
        <v>35.3</v>
      </c>
      <c r="E143" s="3">
        <v>3.0</v>
      </c>
      <c r="F143" s="3">
        <v>11.55</v>
      </c>
      <c r="G143" s="3">
        <v>14.79</v>
      </c>
      <c r="H143" s="3">
        <v>0.0</v>
      </c>
      <c r="I143" s="3">
        <v>10.44</v>
      </c>
      <c r="J143" s="3">
        <v>0.0</v>
      </c>
      <c r="K143" s="4">
        <f t="shared" si="1"/>
        <v>352.1466</v>
      </c>
      <c r="L143" s="4">
        <f t="shared" si="2"/>
        <v>3.538554681</v>
      </c>
    </row>
    <row r="144">
      <c r="A144" s="3" t="s">
        <v>10</v>
      </c>
      <c r="B144" s="3">
        <v>4.83</v>
      </c>
      <c r="C144" s="3">
        <v>1.29</v>
      </c>
      <c r="D144" s="3">
        <v>47.8</v>
      </c>
      <c r="E144" s="3">
        <v>4.63</v>
      </c>
      <c r="F144" s="3">
        <v>16.45</v>
      </c>
      <c r="G144" s="3">
        <v>14.54</v>
      </c>
      <c r="H144" s="3">
        <v>0.0</v>
      </c>
      <c r="I144" s="3">
        <v>3.29</v>
      </c>
      <c r="J144" s="3">
        <v>0.0</v>
      </c>
      <c r="K144" s="4">
        <f t="shared" si="1"/>
        <v>482.0141</v>
      </c>
      <c r="L144" s="4">
        <f t="shared" si="2"/>
        <v>4.740193285</v>
      </c>
    </row>
    <row r="145">
      <c r="A145" s="3" t="s">
        <v>10</v>
      </c>
      <c r="B145" s="3">
        <v>4.83</v>
      </c>
      <c r="C145" s="3">
        <v>1.81</v>
      </c>
      <c r="D145" s="3">
        <v>52.8</v>
      </c>
      <c r="E145" s="3">
        <v>1.26</v>
      </c>
      <c r="F145" s="3">
        <v>19.03</v>
      </c>
      <c r="G145" s="3">
        <v>13.66</v>
      </c>
      <c r="H145" s="3">
        <v>0.0</v>
      </c>
      <c r="I145" s="3">
        <v>1.03</v>
      </c>
      <c r="J145" s="3">
        <v>0.0</v>
      </c>
      <c r="K145" s="4">
        <f t="shared" si="1"/>
        <v>548.7365</v>
      </c>
      <c r="L145" s="4">
        <f t="shared" si="2"/>
        <v>5.080471228</v>
      </c>
    </row>
    <row r="146">
      <c r="A146" s="3" t="s">
        <v>10</v>
      </c>
      <c r="B146" s="3">
        <v>4.83</v>
      </c>
      <c r="C146" s="3">
        <v>2.32</v>
      </c>
      <c r="D146" s="3">
        <v>58.0</v>
      </c>
      <c r="E146" s="3">
        <v>3.11</v>
      </c>
      <c r="F146" s="3">
        <v>20.09</v>
      </c>
      <c r="G146" s="3">
        <v>12.28</v>
      </c>
      <c r="H146" s="3">
        <v>0.0</v>
      </c>
      <c r="I146" s="3">
        <v>0.34</v>
      </c>
      <c r="J146" s="3">
        <v>0.0</v>
      </c>
      <c r="K146" s="4">
        <f t="shared" si="1"/>
        <v>554.4065</v>
      </c>
      <c r="L146" s="4">
        <f t="shared" si="2"/>
        <v>6.067749927</v>
      </c>
    </row>
    <row r="147">
      <c r="A147" s="3" t="s">
        <v>10</v>
      </c>
      <c r="B147" s="3">
        <v>4.83</v>
      </c>
      <c r="C147" s="3">
        <v>3.39</v>
      </c>
      <c r="D147" s="3">
        <v>63.1</v>
      </c>
      <c r="E147" s="3">
        <v>1.35</v>
      </c>
      <c r="F147" s="3">
        <v>17.39</v>
      </c>
      <c r="G147" s="3">
        <v>9.97</v>
      </c>
      <c r="H147" s="3">
        <v>0.0</v>
      </c>
      <c r="I147" s="3">
        <v>0.03</v>
      </c>
      <c r="J147" s="3">
        <v>0.0</v>
      </c>
      <c r="K147" s="4">
        <f t="shared" si="1"/>
        <v>401.813</v>
      </c>
      <c r="L147" s="4">
        <f t="shared" si="2"/>
        <v>9.90911195</v>
      </c>
    </row>
    <row r="148">
      <c r="A148" s="3" t="s">
        <v>10</v>
      </c>
      <c r="B148" s="3">
        <v>4.83</v>
      </c>
      <c r="C148" s="3">
        <v>4.44</v>
      </c>
      <c r="D148" s="3">
        <v>62.7</v>
      </c>
      <c r="E148" s="3">
        <v>7.36</v>
      </c>
      <c r="F148" s="3">
        <v>14.45</v>
      </c>
      <c r="G148" s="3">
        <v>8.53</v>
      </c>
      <c r="H148" s="3">
        <v>0.0</v>
      </c>
      <c r="I148" s="3">
        <v>0.0</v>
      </c>
      <c r="J148" s="3">
        <v>0.0</v>
      </c>
      <c r="K148" s="4">
        <f t="shared" si="1"/>
        <v>281.5634</v>
      </c>
      <c r="L148" s="4">
        <f t="shared" si="2"/>
        <v>13.96236159</v>
      </c>
    </row>
    <row r="149">
      <c r="A149" s="3" t="s">
        <v>58</v>
      </c>
      <c r="B149" s="3">
        <v>60.8</v>
      </c>
      <c r="C149" s="3">
        <v>0.45</v>
      </c>
      <c r="D149" s="3">
        <v>18.9</v>
      </c>
      <c r="E149" s="3">
        <v>9.78</v>
      </c>
      <c r="F149" s="3">
        <v>0.0</v>
      </c>
      <c r="G149" s="3">
        <v>65.19</v>
      </c>
      <c r="H149" s="3">
        <v>0.0</v>
      </c>
      <c r="I149" s="3">
        <v>2096.34</v>
      </c>
      <c r="J149" s="3">
        <v>0.0</v>
      </c>
      <c r="K149" s="4">
        <f t="shared" si="1"/>
        <v>4249.7361</v>
      </c>
      <c r="L149" s="4">
        <f t="shared" si="2"/>
        <v>0.08405463106</v>
      </c>
    </row>
    <row r="150">
      <c r="A150" s="3" t="s">
        <v>58</v>
      </c>
      <c r="B150" s="3">
        <v>60.8</v>
      </c>
      <c r="C150" s="3">
        <v>1.34</v>
      </c>
      <c r="D150" s="3">
        <v>58.3</v>
      </c>
      <c r="E150" s="3">
        <v>10.5</v>
      </c>
      <c r="F150" s="3">
        <v>0.0</v>
      </c>
      <c r="G150" s="3">
        <v>120.17</v>
      </c>
      <c r="H150" s="3">
        <v>0.0</v>
      </c>
      <c r="I150" s="3">
        <v>997.68</v>
      </c>
      <c r="J150" s="3">
        <v>0.0</v>
      </c>
      <c r="K150" s="4">
        <f t="shared" si="1"/>
        <v>14440.8289</v>
      </c>
      <c r="L150" s="4">
        <f t="shared" si="2"/>
        <v>0.2353666831</v>
      </c>
    </row>
    <row r="151">
      <c r="A151" s="3" t="s">
        <v>58</v>
      </c>
      <c r="B151" s="3">
        <v>60.8</v>
      </c>
      <c r="C151" s="3">
        <v>2.23</v>
      </c>
      <c r="D151" s="3">
        <v>74.1</v>
      </c>
      <c r="E151" s="3">
        <v>5.69</v>
      </c>
      <c r="F151" s="3">
        <v>0.0</v>
      </c>
      <c r="G151" s="3">
        <v>137.48</v>
      </c>
      <c r="H151" s="3">
        <v>0.0</v>
      </c>
      <c r="I151" s="3">
        <v>691.26</v>
      </c>
      <c r="J151" s="3">
        <v>0.0</v>
      </c>
      <c r="K151" s="4">
        <f t="shared" si="1"/>
        <v>18900.7504</v>
      </c>
      <c r="L151" s="4">
        <f t="shared" si="2"/>
        <v>0.2905075134</v>
      </c>
    </row>
    <row r="152">
      <c r="A152" s="3" t="s">
        <v>58</v>
      </c>
      <c r="B152" s="3">
        <v>60.8</v>
      </c>
      <c r="C152" s="3">
        <v>3.12</v>
      </c>
      <c r="D152" s="3">
        <v>119.0</v>
      </c>
      <c r="E152" s="3">
        <v>4.27</v>
      </c>
      <c r="F152" s="3">
        <v>0.0</v>
      </c>
      <c r="G152" s="3">
        <v>146.18</v>
      </c>
      <c r="H152" s="3">
        <v>0.0</v>
      </c>
      <c r="I152" s="3">
        <v>574.33</v>
      </c>
      <c r="J152" s="3">
        <v>0.0</v>
      </c>
      <c r="K152" s="4">
        <f t="shared" si="1"/>
        <v>21368.5924</v>
      </c>
      <c r="L152" s="4">
        <f t="shared" si="2"/>
        <v>0.6627015825</v>
      </c>
    </row>
    <row r="153">
      <c r="A153" s="3" t="s">
        <v>58</v>
      </c>
      <c r="B153" s="3">
        <v>60.8</v>
      </c>
      <c r="C153" s="3">
        <v>4.01</v>
      </c>
      <c r="D153" s="3">
        <v>141.0</v>
      </c>
      <c r="E153" s="3">
        <v>3.76</v>
      </c>
      <c r="F153" s="3">
        <v>0.0</v>
      </c>
      <c r="G153" s="3">
        <v>157.86</v>
      </c>
      <c r="H153" s="3">
        <v>0.0</v>
      </c>
      <c r="I153" s="3">
        <v>548.02</v>
      </c>
      <c r="J153" s="3">
        <v>0.0</v>
      </c>
      <c r="K153" s="4">
        <f t="shared" si="1"/>
        <v>24919.7796</v>
      </c>
      <c r="L153" s="4">
        <f t="shared" si="2"/>
        <v>0.7977999934</v>
      </c>
    </row>
    <row r="154">
      <c r="A154" s="3" t="s">
        <v>58</v>
      </c>
      <c r="B154" s="3">
        <v>60.8</v>
      </c>
      <c r="C154" s="3">
        <v>4.9</v>
      </c>
      <c r="D154" s="3">
        <v>195.0</v>
      </c>
      <c r="E154" s="3">
        <v>4.54</v>
      </c>
      <c r="F154" s="3">
        <v>0.0</v>
      </c>
      <c r="G154" s="3">
        <v>175.79</v>
      </c>
      <c r="H154" s="3">
        <v>0.0</v>
      </c>
      <c r="I154" s="3">
        <v>524.14</v>
      </c>
      <c r="J154" s="3">
        <v>0.0</v>
      </c>
      <c r="K154" s="4">
        <f t="shared" si="1"/>
        <v>30902.1241</v>
      </c>
      <c r="L154" s="4">
        <f t="shared" si="2"/>
        <v>1.230497938</v>
      </c>
    </row>
    <row r="155">
      <c r="A155" s="3" t="s">
        <v>58</v>
      </c>
      <c r="B155" s="3">
        <v>60.8</v>
      </c>
      <c r="C155" s="3">
        <v>5.79</v>
      </c>
      <c r="D155" s="3">
        <v>227.0</v>
      </c>
      <c r="E155" s="3">
        <v>4.2</v>
      </c>
      <c r="F155" s="3">
        <v>0.0</v>
      </c>
      <c r="G155" s="3">
        <v>199.19</v>
      </c>
      <c r="H155" s="3">
        <v>0.0</v>
      </c>
      <c r="I155" s="3">
        <v>483.52</v>
      </c>
      <c r="J155" s="3">
        <v>0.0</v>
      </c>
      <c r="K155" s="4">
        <f t="shared" si="1"/>
        <v>39676.6561</v>
      </c>
      <c r="L155" s="4">
        <f t="shared" si="2"/>
        <v>1.298723357</v>
      </c>
    </row>
    <row r="156">
      <c r="A156" s="3" t="s">
        <v>58</v>
      </c>
      <c r="B156" s="3">
        <v>60.8</v>
      </c>
      <c r="C156" s="3">
        <v>6.69</v>
      </c>
      <c r="D156" s="3">
        <v>246.0</v>
      </c>
      <c r="E156" s="3">
        <v>4.24</v>
      </c>
      <c r="F156" s="3">
        <v>0.0</v>
      </c>
      <c r="G156" s="3">
        <v>217.87</v>
      </c>
      <c r="H156" s="3">
        <v>0.0</v>
      </c>
      <c r="I156" s="3">
        <v>426.75</v>
      </c>
      <c r="J156" s="3">
        <v>0.0</v>
      </c>
      <c r="K156" s="4">
        <f t="shared" si="1"/>
        <v>47467.3369</v>
      </c>
      <c r="L156" s="4">
        <f t="shared" si="2"/>
        <v>1.274897729</v>
      </c>
    </row>
    <row r="157">
      <c r="A157" s="3" t="s">
        <v>58</v>
      </c>
      <c r="B157" s="3">
        <v>60.8</v>
      </c>
      <c r="C157" s="3">
        <v>7.58</v>
      </c>
      <c r="D157" s="3">
        <v>268.0</v>
      </c>
      <c r="E157" s="3">
        <v>5.56</v>
      </c>
      <c r="F157" s="3">
        <v>0.0</v>
      </c>
      <c r="G157" s="3">
        <v>228.65</v>
      </c>
      <c r="H157" s="3">
        <v>0.0</v>
      </c>
      <c r="I157" s="3">
        <v>376.92</v>
      </c>
      <c r="J157" s="3">
        <v>0.0</v>
      </c>
      <c r="K157" s="4">
        <f t="shared" si="1"/>
        <v>52280.8225</v>
      </c>
      <c r="L157" s="4">
        <f t="shared" si="2"/>
        <v>1.373811592</v>
      </c>
    </row>
    <row r="158">
      <c r="A158" s="3" t="s">
        <v>58</v>
      </c>
      <c r="B158" s="3">
        <v>60.8</v>
      </c>
      <c r="C158" s="3">
        <v>8.47</v>
      </c>
      <c r="D158" s="3">
        <v>283.0</v>
      </c>
      <c r="E158" s="3">
        <v>2.96</v>
      </c>
      <c r="F158" s="3">
        <v>0.0</v>
      </c>
      <c r="G158" s="3">
        <v>241.76</v>
      </c>
      <c r="H158" s="3">
        <v>0.0</v>
      </c>
      <c r="I158" s="3">
        <v>345.98</v>
      </c>
      <c r="J158" s="3">
        <v>0.0</v>
      </c>
      <c r="K158" s="4">
        <f t="shared" si="1"/>
        <v>58447.8976</v>
      </c>
      <c r="L158" s="4">
        <f t="shared" si="2"/>
        <v>1.370263145</v>
      </c>
    </row>
    <row r="159">
      <c r="A159" s="3" t="s">
        <v>58</v>
      </c>
      <c r="B159" s="3">
        <v>60.8</v>
      </c>
      <c r="C159" s="3">
        <v>10.23</v>
      </c>
      <c r="D159" s="3">
        <v>291.0</v>
      </c>
      <c r="E159" s="3">
        <v>9.81</v>
      </c>
      <c r="F159" s="3">
        <v>0.0</v>
      </c>
      <c r="G159" s="3">
        <v>260.94</v>
      </c>
      <c r="H159" s="3">
        <v>0.0</v>
      </c>
      <c r="I159" s="3">
        <v>282.74</v>
      </c>
      <c r="J159" s="3">
        <v>0.0</v>
      </c>
      <c r="K159" s="4">
        <f t="shared" si="1"/>
        <v>68089.6836</v>
      </c>
      <c r="L159" s="4">
        <f t="shared" si="2"/>
        <v>1.243668578</v>
      </c>
    </row>
    <row r="160">
      <c r="A160" s="3" t="s">
        <v>58</v>
      </c>
      <c r="B160" s="3">
        <v>60.8</v>
      </c>
      <c r="C160" s="3">
        <v>12.06</v>
      </c>
      <c r="D160" s="3">
        <v>310.0</v>
      </c>
      <c r="E160" s="3">
        <v>4.74</v>
      </c>
      <c r="F160" s="3">
        <v>0.04</v>
      </c>
      <c r="G160" s="3">
        <v>275.04</v>
      </c>
      <c r="H160" s="3">
        <v>0.0</v>
      </c>
      <c r="I160" s="3">
        <v>199.54</v>
      </c>
      <c r="J160" s="3">
        <v>0.0</v>
      </c>
      <c r="K160" s="4">
        <f t="shared" si="1"/>
        <v>75647.0032</v>
      </c>
      <c r="L160" s="4">
        <f t="shared" si="2"/>
        <v>1.270374184</v>
      </c>
    </row>
    <row r="161">
      <c r="A161" s="3" t="s">
        <v>58</v>
      </c>
      <c r="B161" s="3">
        <v>60.8</v>
      </c>
      <c r="C161" s="3">
        <v>13.44</v>
      </c>
      <c r="D161" s="3">
        <v>310.0</v>
      </c>
      <c r="E161" s="3">
        <v>20.4</v>
      </c>
      <c r="F161" s="3">
        <v>0.4</v>
      </c>
      <c r="G161" s="3">
        <v>277.98</v>
      </c>
      <c r="H161" s="3">
        <v>0.0</v>
      </c>
      <c r="I161" s="3">
        <v>164.72</v>
      </c>
      <c r="J161" s="3">
        <v>0.0</v>
      </c>
      <c r="K161" s="4">
        <f t="shared" si="1"/>
        <v>77273.0404</v>
      </c>
      <c r="L161" s="4">
        <f t="shared" si="2"/>
        <v>1.243642019</v>
      </c>
    </row>
    <row r="162">
      <c r="A162" s="3" t="s">
        <v>58</v>
      </c>
      <c r="B162" s="3">
        <v>60.8</v>
      </c>
      <c r="C162" s="3">
        <v>15.18</v>
      </c>
      <c r="D162" s="3">
        <v>310.0</v>
      </c>
      <c r="E162" s="3">
        <v>16.1</v>
      </c>
      <c r="F162" s="3">
        <v>3.11</v>
      </c>
      <c r="G162" s="3">
        <v>282.25</v>
      </c>
      <c r="H162" s="3">
        <v>0.0</v>
      </c>
      <c r="I162" s="3">
        <v>131.46</v>
      </c>
      <c r="J162" s="3">
        <v>0.0</v>
      </c>
      <c r="K162" s="4">
        <f t="shared" si="1"/>
        <v>79674.7346</v>
      </c>
      <c r="L162" s="4">
        <f t="shared" si="2"/>
        <v>1.206154002</v>
      </c>
    </row>
    <row r="163">
      <c r="A163" s="3" t="s">
        <v>58</v>
      </c>
      <c r="B163" s="3">
        <v>60.8</v>
      </c>
      <c r="C163" s="3">
        <v>16.83</v>
      </c>
      <c r="D163" s="3">
        <v>314.0</v>
      </c>
      <c r="E163" s="3">
        <v>13.5</v>
      </c>
      <c r="F163" s="3">
        <v>15.18</v>
      </c>
      <c r="G163" s="3">
        <v>283.33</v>
      </c>
      <c r="H163" s="3">
        <v>0.0</v>
      </c>
      <c r="I163" s="3">
        <v>96.52</v>
      </c>
      <c r="J163" s="3">
        <v>0.0</v>
      </c>
      <c r="K163" s="4">
        <f t="shared" si="1"/>
        <v>80506.3213</v>
      </c>
      <c r="L163" s="4">
        <f t="shared" si="2"/>
        <v>1.224698861</v>
      </c>
    </row>
    <row r="164">
      <c r="A164" s="3" t="s">
        <v>58</v>
      </c>
      <c r="B164" s="3">
        <v>60.8</v>
      </c>
      <c r="C164" s="3">
        <v>18.56</v>
      </c>
      <c r="D164" s="3">
        <v>317.0</v>
      </c>
      <c r="E164" s="3">
        <v>12.7</v>
      </c>
      <c r="F164" s="3">
        <v>22.91</v>
      </c>
      <c r="G164" s="3">
        <v>276.47</v>
      </c>
      <c r="H164" s="3">
        <v>0.0</v>
      </c>
      <c r="I164" s="3">
        <v>70.44</v>
      </c>
      <c r="J164" s="3">
        <v>0.0</v>
      </c>
      <c r="K164" s="4">
        <f t="shared" si="1"/>
        <v>76960.529</v>
      </c>
      <c r="L164" s="4">
        <f t="shared" si="2"/>
        <v>1.305721274</v>
      </c>
    </row>
    <row r="165">
      <c r="A165" s="3" t="s">
        <v>58</v>
      </c>
      <c r="B165" s="3">
        <v>60.8</v>
      </c>
      <c r="C165" s="3">
        <v>20.3</v>
      </c>
      <c r="D165" s="3">
        <v>319.0</v>
      </c>
      <c r="E165" s="3">
        <v>10.4</v>
      </c>
      <c r="F165" s="3">
        <v>33.06</v>
      </c>
      <c r="G165" s="3">
        <v>272.19</v>
      </c>
      <c r="H165" s="3">
        <v>0.0</v>
      </c>
      <c r="I165" s="3">
        <v>62.6</v>
      </c>
      <c r="J165" s="3">
        <v>0.0</v>
      </c>
      <c r="K165" s="4">
        <f t="shared" si="1"/>
        <v>75180.3597</v>
      </c>
      <c r="L165" s="4">
        <f t="shared" si="2"/>
        <v>1.353558302</v>
      </c>
    </row>
    <row r="166">
      <c r="A166" s="3" t="s">
        <v>58</v>
      </c>
      <c r="B166" s="3">
        <v>60.8</v>
      </c>
      <c r="C166" s="3">
        <v>21.94</v>
      </c>
      <c r="D166" s="3">
        <v>318.0</v>
      </c>
      <c r="E166" s="3">
        <v>10.8</v>
      </c>
      <c r="F166" s="3">
        <v>33.62</v>
      </c>
      <c r="G166" s="3">
        <v>273.0</v>
      </c>
      <c r="H166" s="3">
        <v>0.0</v>
      </c>
      <c r="I166" s="3">
        <v>50.58</v>
      </c>
      <c r="J166" s="3">
        <v>0.0</v>
      </c>
      <c r="K166" s="4">
        <f t="shared" si="1"/>
        <v>75659.3044</v>
      </c>
      <c r="L166" s="4">
        <f t="shared" si="2"/>
        <v>1.336570575</v>
      </c>
    </row>
    <row r="167">
      <c r="A167" s="3" t="s">
        <v>58</v>
      </c>
      <c r="B167" s="3">
        <v>60.8</v>
      </c>
      <c r="C167" s="3">
        <v>23.68</v>
      </c>
      <c r="D167" s="3">
        <v>317.0</v>
      </c>
      <c r="E167" s="3">
        <v>9.3</v>
      </c>
      <c r="F167" s="3">
        <v>39.67</v>
      </c>
      <c r="G167" s="3">
        <v>271.34</v>
      </c>
      <c r="H167" s="3">
        <v>0.0</v>
      </c>
      <c r="I167" s="3">
        <v>32.65</v>
      </c>
      <c r="J167" s="3">
        <v>0.0</v>
      </c>
      <c r="K167" s="4">
        <f t="shared" si="1"/>
        <v>75199.1045</v>
      </c>
      <c r="L167" s="4">
        <f t="shared" si="2"/>
        <v>1.336305807</v>
      </c>
    </row>
    <row r="168">
      <c r="A168" s="3" t="s">
        <v>58</v>
      </c>
      <c r="B168" s="3">
        <v>60.8</v>
      </c>
      <c r="C168" s="3">
        <v>25.41</v>
      </c>
      <c r="D168" s="3">
        <v>317.0</v>
      </c>
      <c r="E168" s="3">
        <v>7.23</v>
      </c>
      <c r="F168" s="3">
        <v>44.98</v>
      </c>
      <c r="G168" s="3">
        <v>261.62</v>
      </c>
      <c r="H168" s="3">
        <v>0.0</v>
      </c>
      <c r="I168" s="3">
        <v>19.67</v>
      </c>
      <c r="J168" s="3">
        <v>0.0</v>
      </c>
      <c r="K168" s="4">
        <f t="shared" si="1"/>
        <v>70468.2248</v>
      </c>
      <c r="L168" s="4">
        <f t="shared" si="2"/>
        <v>1.42601861</v>
      </c>
    </row>
    <row r="169">
      <c r="A169" s="3" t="s">
        <v>58</v>
      </c>
      <c r="B169" s="3">
        <v>60.8</v>
      </c>
      <c r="C169" s="3">
        <v>27.06</v>
      </c>
      <c r="D169" s="3">
        <v>312.0</v>
      </c>
      <c r="E169" s="3">
        <v>8.39</v>
      </c>
      <c r="F169" s="3">
        <v>46.29</v>
      </c>
      <c r="G169" s="3">
        <v>252.97</v>
      </c>
      <c r="H169" s="3">
        <v>0.0</v>
      </c>
      <c r="I169" s="3">
        <v>13.79</v>
      </c>
      <c r="J169" s="3">
        <v>0.0</v>
      </c>
      <c r="K169" s="4">
        <f t="shared" si="1"/>
        <v>66136.585</v>
      </c>
      <c r="L169" s="4">
        <f t="shared" si="2"/>
        <v>1.471863115</v>
      </c>
    </row>
    <row r="170">
      <c r="A170" s="3" t="s">
        <v>58</v>
      </c>
      <c r="B170" s="3">
        <v>60.8</v>
      </c>
      <c r="C170" s="3">
        <v>28.8</v>
      </c>
      <c r="D170" s="3">
        <v>312.0</v>
      </c>
      <c r="E170" s="3">
        <v>8.37</v>
      </c>
      <c r="F170" s="3">
        <v>43.21</v>
      </c>
      <c r="G170" s="3">
        <v>243.84</v>
      </c>
      <c r="H170" s="3">
        <v>0.0</v>
      </c>
      <c r="I170" s="3">
        <v>7.98</v>
      </c>
      <c r="J170" s="3">
        <v>0.0</v>
      </c>
      <c r="K170" s="4">
        <f t="shared" si="1"/>
        <v>61325.0497</v>
      </c>
      <c r="L170" s="4">
        <f t="shared" si="2"/>
        <v>1.58734482</v>
      </c>
    </row>
    <row r="171">
      <c r="A171" s="3" t="s">
        <v>58</v>
      </c>
      <c r="B171" s="3">
        <v>60.8</v>
      </c>
      <c r="C171" s="3">
        <v>30.53</v>
      </c>
      <c r="D171" s="3">
        <v>311.0</v>
      </c>
      <c r="E171" s="3">
        <v>11.5</v>
      </c>
      <c r="F171" s="3">
        <v>45.08</v>
      </c>
      <c r="G171" s="3">
        <v>233.85</v>
      </c>
      <c r="H171" s="3">
        <v>0.0</v>
      </c>
      <c r="I171" s="3">
        <v>4.31</v>
      </c>
      <c r="J171" s="3">
        <v>0.0</v>
      </c>
      <c r="K171" s="4">
        <f t="shared" si="1"/>
        <v>56718.0289</v>
      </c>
      <c r="L171" s="4">
        <f t="shared" si="2"/>
        <v>1.70529551</v>
      </c>
    </row>
    <row r="172">
      <c r="A172" s="3" t="s">
        <v>58</v>
      </c>
      <c r="B172" s="3">
        <v>60.8</v>
      </c>
      <c r="C172" s="3">
        <v>32.18</v>
      </c>
      <c r="D172" s="3">
        <v>310.0</v>
      </c>
      <c r="E172" s="3">
        <v>14.5</v>
      </c>
      <c r="F172" s="3">
        <v>52.43</v>
      </c>
      <c r="G172" s="3">
        <v>224.75</v>
      </c>
      <c r="H172" s="3">
        <v>0.0</v>
      </c>
      <c r="I172" s="3">
        <v>2.73</v>
      </c>
      <c r="J172" s="3">
        <v>0.0</v>
      </c>
      <c r="K172" s="4">
        <f t="shared" si="1"/>
        <v>53261.4674</v>
      </c>
      <c r="L172" s="4">
        <f t="shared" si="2"/>
        <v>1.804306278</v>
      </c>
    </row>
    <row r="173">
      <c r="A173" s="3" t="s">
        <v>58</v>
      </c>
      <c r="B173" s="3">
        <v>60.8</v>
      </c>
      <c r="C173" s="3">
        <v>33.91</v>
      </c>
      <c r="D173" s="3">
        <v>313.0</v>
      </c>
      <c r="E173" s="3">
        <v>15.9</v>
      </c>
      <c r="F173" s="3">
        <v>59.7</v>
      </c>
      <c r="G173" s="3">
        <v>216.21</v>
      </c>
      <c r="H173" s="3">
        <v>0.0</v>
      </c>
      <c r="I173" s="3">
        <v>1.63</v>
      </c>
      <c r="J173" s="3">
        <v>0.0</v>
      </c>
      <c r="K173" s="4">
        <f t="shared" si="1"/>
        <v>50310.8541</v>
      </c>
      <c r="L173" s="4">
        <f t="shared" si="2"/>
        <v>1.94727364</v>
      </c>
    </row>
    <row r="174">
      <c r="A174" s="3" t="s">
        <v>58</v>
      </c>
      <c r="B174" s="3">
        <v>60.8</v>
      </c>
      <c r="C174" s="3">
        <v>35.65</v>
      </c>
      <c r="D174" s="3">
        <v>320.0</v>
      </c>
      <c r="E174" s="3">
        <v>8.83</v>
      </c>
      <c r="F174" s="3">
        <v>61.56</v>
      </c>
      <c r="G174" s="3">
        <v>208.83</v>
      </c>
      <c r="H174" s="3">
        <v>0.0</v>
      </c>
      <c r="I174" s="3">
        <v>1.34</v>
      </c>
      <c r="J174" s="3">
        <v>0.0</v>
      </c>
      <c r="K174" s="4">
        <f t="shared" si="1"/>
        <v>47399.6025</v>
      </c>
      <c r="L174" s="4">
        <f t="shared" si="2"/>
        <v>2.16035567</v>
      </c>
    </row>
    <row r="175">
      <c r="A175" s="3" t="s">
        <v>58</v>
      </c>
      <c r="B175" s="3">
        <v>60.8</v>
      </c>
      <c r="C175" s="3">
        <v>37.3</v>
      </c>
      <c r="D175" s="3">
        <v>321.0</v>
      </c>
      <c r="E175" s="3">
        <v>7.88</v>
      </c>
      <c r="F175" s="3">
        <v>63.33</v>
      </c>
      <c r="G175" s="3">
        <v>202.65</v>
      </c>
      <c r="H175" s="3">
        <v>0.0</v>
      </c>
      <c r="I175" s="3">
        <v>0.94</v>
      </c>
      <c r="J175" s="3">
        <v>0.0</v>
      </c>
      <c r="K175" s="4">
        <f t="shared" si="1"/>
        <v>45077.7114</v>
      </c>
      <c r="L175" s="4">
        <f t="shared" si="2"/>
        <v>2.285852516</v>
      </c>
    </row>
    <row r="176">
      <c r="A176" s="3" t="s">
        <v>58</v>
      </c>
      <c r="B176" s="3">
        <v>60.8</v>
      </c>
      <c r="C176" s="3">
        <v>39.03</v>
      </c>
      <c r="D176" s="3">
        <v>320.0</v>
      </c>
      <c r="E176" s="3">
        <v>8.0</v>
      </c>
      <c r="F176" s="3">
        <v>62.96</v>
      </c>
      <c r="G176" s="3">
        <v>196.77</v>
      </c>
      <c r="H176" s="3">
        <v>0.0</v>
      </c>
      <c r="I176" s="3">
        <v>0.72</v>
      </c>
      <c r="J176" s="3">
        <v>0.0</v>
      </c>
      <c r="K176" s="4">
        <f t="shared" si="1"/>
        <v>42682.3945</v>
      </c>
      <c r="L176" s="4">
        <f t="shared" si="2"/>
        <v>2.399115635</v>
      </c>
    </row>
    <row r="177">
      <c r="A177" s="3" t="s">
        <v>58</v>
      </c>
      <c r="B177" s="3">
        <v>60.8</v>
      </c>
      <c r="C177" s="3">
        <v>40.76</v>
      </c>
      <c r="D177" s="3">
        <v>315.0</v>
      </c>
      <c r="E177" s="3">
        <v>9.82</v>
      </c>
      <c r="F177" s="3">
        <v>62.4</v>
      </c>
      <c r="G177" s="3">
        <v>191.39</v>
      </c>
      <c r="H177" s="3">
        <v>0.0</v>
      </c>
      <c r="I177" s="3">
        <v>0.59</v>
      </c>
      <c r="J177" s="3">
        <v>0.0</v>
      </c>
      <c r="K177" s="4">
        <f t="shared" si="1"/>
        <v>40523.8921</v>
      </c>
      <c r="L177" s="4">
        <f t="shared" si="2"/>
        <v>2.448555528</v>
      </c>
    </row>
    <row r="178">
      <c r="A178" s="3" t="s">
        <v>58</v>
      </c>
      <c r="B178" s="3">
        <v>60.8</v>
      </c>
      <c r="C178" s="3">
        <v>42.41</v>
      </c>
      <c r="D178" s="3">
        <v>312.0</v>
      </c>
      <c r="E178" s="3">
        <v>9.07</v>
      </c>
      <c r="F178" s="3">
        <v>62.21</v>
      </c>
      <c r="G178" s="3">
        <v>186.89</v>
      </c>
      <c r="H178" s="3">
        <v>0.0</v>
      </c>
      <c r="I178" s="3">
        <v>0.59</v>
      </c>
      <c r="J178" s="3">
        <v>0.0</v>
      </c>
      <c r="K178" s="4">
        <f t="shared" si="1"/>
        <v>38797.9562</v>
      </c>
      <c r="L178" s="4">
        <f t="shared" si="2"/>
        <v>2.508998142</v>
      </c>
    </row>
    <row r="179">
      <c r="A179" s="3" t="s">
        <v>59</v>
      </c>
      <c r="B179" s="3">
        <v>66.4</v>
      </c>
      <c r="C179" s="3">
        <v>1.61</v>
      </c>
      <c r="D179" s="3">
        <v>23.4</v>
      </c>
      <c r="E179" s="3">
        <v>10.0</v>
      </c>
      <c r="F179" s="3">
        <v>5.21</v>
      </c>
      <c r="G179" s="3">
        <v>28.61</v>
      </c>
      <c r="H179" s="3">
        <v>0.0</v>
      </c>
      <c r="I179" s="3">
        <v>43.88</v>
      </c>
      <c r="J179" s="3">
        <v>0.0</v>
      </c>
      <c r="K179" s="4">
        <f t="shared" si="1"/>
        <v>845.6762</v>
      </c>
      <c r="L179" s="4">
        <f t="shared" si="2"/>
        <v>0.6474818613</v>
      </c>
    </row>
    <row r="180">
      <c r="A180" s="3" t="s">
        <v>59</v>
      </c>
      <c r="B180" s="3">
        <v>66.4</v>
      </c>
      <c r="C180" s="3">
        <v>3.23</v>
      </c>
      <c r="D180" s="3">
        <v>40.6</v>
      </c>
      <c r="E180" s="3">
        <v>5.0</v>
      </c>
      <c r="F180" s="3">
        <v>10.57</v>
      </c>
      <c r="G180" s="3">
        <v>37.58</v>
      </c>
      <c r="H180" s="3">
        <v>0.0</v>
      </c>
      <c r="I180" s="3">
        <v>19.59</v>
      </c>
      <c r="J180" s="3">
        <v>0.0</v>
      </c>
      <c r="K180" s="4">
        <f t="shared" si="1"/>
        <v>1523.9813</v>
      </c>
      <c r="L180" s="4">
        <f t="shared" si="2"/>
        <v>1.081614322</v>
      </c>
    </row>
    <row r="181">
      <c r="A181" s="3" t="s">
        <v>59</v>
      </c>
      <c r="B181" s="3">
        <v>66.4</v>
      </c>
      <c r="C181" s="3">
        <v>4.84</v>
      </c>
      <c r="D181" s="3">
        <v>45.5</v>
      </c>
      <c r="E181" s="3">
        <v>5.0</v>
      </c>
      <c r="F181" s="3">
        <v>15.71</v>
      </c>
      <c r="G181" s="3">
        <v>39.1</v>
      </c>
      <c r="H181" s="3">
        <v>0.0</v>
      </c>
      <c r="I181" s="3">
        <v>14.19</v>
      </c>
      <c r="J181" s="3">
        <v>0.0</v>
      </c>
      <c r="K181" s="4">
        <f t="shared" si="1"/>
        <v>1775.6141</v>
      </c>
      <c r="L181" s="4">
        <f t="shared" si="2"/>
        <v>1.165934648</v>
      </c>
    </row>
    <row r="182">
      <c r="A182" s="3" t="s">
        <v>59</v>
      </c>
      <c r="B182" s="3">
        <v>66.4</v>
      </c>
      <c r="C182" s="3">
        <v>6.45</v>
      </c>
      <c r="D182" s="3">
        <v>49.2</v>
      </c>
      <c r="E182" s="3">
        <v>5.0</v>
      </c>
      <c r="F182" s="3">
        <v>20.94</v>
      </c>
      <c r="G182" s="3">
        <v>44.01</v>
      </c>
      <c r="H182" s="3">
        <v>0.0</v>
      </c>
      <c r="I182" s="3">
        <v>11.07</v>
      </c>
      <c r="J182" s="3">
        <v>0.0</v>
      </c>
      <c r="K182" s="4">
        <f t="shared" si="1"/>
        <v>2375.3637</v>
      </c>
      <c r="L182" s="4">
        <f t="shared" si="2"/>
        <v>1.019060786</v>
      </c>
    </row>
    <row r="183">
      <c r="A183" s="3" t="s">
        <v>59</v>
      </c>
      <c r="B183" s="3">
        <v>66.4</v>
      </c>
      <c r="C183" s="3">
        <v>8.06</v>
      </c>
      <c r="D183" s="3">
        <v>50.4</v>
      </c>
      <c r="E183" s="3">
        <v>5.0</v>
      </c>
      <c r="F183" s="3">
        <v>25.97</v>
      </c>
      <c r="G183" s="3">
        <v>48.52</v>
      </c>
      <c r="H183" s="3">
        <v>0.0</v>
      </c>
      <c r="I183" s="3">
        <v>7.95</v>
      </c>
      <c r="J183" s="3">
        <v>0.0</v>
      </c>
      <c r="K183" s="4">
        <f t="shared" si="1"/>
        <v>3028.6313</v>
      </c>
      <c r="L183" s="4">
        <f t="shared" si="2"/>
        <v>0.838715495</v>
      </c>
    </row>
    <row r="184">
      <c r="A184" s="3" t="s">
        <v>59</v>
      </c>
      <c r="B184" s="3">
        <v>66.4</v>
      </c>
      <c r="C184" s="3">
        <v>9.66</v>
      </c>
      <c r="D184" s="3">
        <v>50.4</v>
      </c>
      <c r="E184" s="3">
        <v>5.0</v>
      </c>
      <c r="F184" s="3">
        <v>29.26</v>
      </c>
      <c r="G184" s="3">
        <v>49.44</v>
      </c>
      <c r="H184" s="3">
        <v>0.0</v>
      </c>
      <c r="I184" s="3">
        <v>3.35</v>
      </c>
      <c r="J184" s="3">
        <v>0.0</v>
      </c>
      <c r="K184" s="4">
        <f t="shared" si="1"/>
        <v>3300.4612</v>
      </c>
      <c r="L184" s="4">
        <f t="shared" si="2"/>
        <v>0.7696378918</v>
      </c>
    </row>
    <row r="185">
      <c r="A185" s="3" t="s">
        <v>60</v>
      </c>
      <c r="B185" s="3">
        <v>48.9</v>
      </c>
      <c r="C185" s="3">
        <v>1.07</v>
      </c>
      <c r="D185" s="3">
        <v>22.1</v>
      </c>
      <c r="E185" s="3">
        <v>7.17</v>
      </c>
      <c r="F185" s="3">
        <v>1.98</v>
      </c>
      <c r="G185" s="3">
        <v>18.3</v>
      </c>
      <c r="H185" s="3">
        <v>0.0</v>
      </c>
      <c r="I185" s="3">
        <v>33.42</v>
      </c>
      <c r="J185" s="3">
        <v>0.0</v>
      </c>
      <c r="K185" s="4">
        <f t="shared" si="1"/>
        <v>338.8104</v>
      </c>
      <c r="L185" s="4">
        <f t="shared" si="2"/>
        <v>1.441543707</v>
      </c>
    </row>
    <row r="186">
      <c r="A186" s="3" t="s">
        <v>60</v>
      </c>
      <c r="B186" s="3">
        <v>48.9</v>
      </c>
      <c r="C186" s="3">
        <v>1.78</v>
      </c>
      <c r="D186" s="3">
        <v>42.7</v>
      </c>
      <c r="E186" s="3">
        <v>10.66</v>
      </c>
      <c r="F186" s="3">
        <v>4.03</v>
      </c>
      <c r="G186" s="3">
        <v>24.51</v>
      </c>
      <c r="H186" s="3">
        <v>0.0</v>
      </c>
      <c r="I186" s="3">
        <v>20.43</v>
      </c>
      <c r="J186" s="3">
        <v>0.0</v>
      </c>
      <c r="K186" s="4">
        <f t="shared" si="1"/>
        <v>616.981</v>
      </c>
      <c r="L186" s="4">
        <f t="shared" si="2"/>
        <v>2.955180143</v>
      </c>
    </row>
    <row r="187">
      <c r="A187" s="3" t="s">
        <v>60</v>
      </c>
      <c r="B187" s="3">
        <v>48.9</v>
      </c>
      <c r="C187" s="3">
        <v>2.49</v>
      </c>
      <c r="D187" s="3">
        <v>60.6</v>
      </c>
      <c r="E187" s="3">
        <v>7.69</v>
      </c>
      <c r="F187" s="3">
        <v>6.25</v>
      </c>
      <c r="G187" s="3">
        <v>27.45</v>
      </c>
      <c r="H187" s="3">
        <v>0.0</v>
      </c>
      <c r="I187" s="3">
        <v>14.31</v>
      </c>
      <c r="J187" s="3">
        <v>0.0</v>
      </c>
      <c r="K187" s="4">
        <f t="shared" si="1"/>
        <v>792.565</v>
      </c>
      <c r="L187" s="4">
        <f t="shared" si="2"/>
        <v>4.633512709</v>
      </c>
    </row>
    <row r="188">
      <c r="A188" s="3" t="s">
        <v>60</v>
      </c>
      <c r="B188" s="3">
        <v>48.9</v>
      </c>
      <c r="C188" s="3">
        <v>2.97</v>
      </c>
      <c r="D188" s="3">
        <v>76.8</v>
      </c>
      <c r="E188" s="3">
        <v>11.1</v>
      </c>
      <c r="F188" s="3">
        <v>7.78</v>
      </c>
      <c r="G188" s="3">
        <v>28.28</v>
      </c>
      <c r="H188" s="3">
        <v>0.0</v>
      </c>
      <c r="I188" s="3">
        <v>9.63</v>
      </c>
      <c r="J188" s="3">
        <v>0.0</v>
      </c>
      <c r="K188" s="4">
        <f t="shared" si="1"/>
        <v>860.2868</v>
      </c>
      <c r="L188" s="4">
        <f t="shared" si="2"/>
        <v>6.856132164</v>
      </c>
    </row>
    <row r="189">
      <c r="A189" s="3" t="s">
        <v>60</v>
      </c>
      <c r="B189" s="3">
        <v>48.9</v>
      </c>
      <c r="C189" s="3">
        <v>3.04</v>
      </c>
      <c r="D189" s="3">
        <v>81.6</v>
      </c>
      <c r="E189" s="3">
        <v>17.5</v>
      </c>
      <c r="F189" s="3">
        <v>8.01</v>
      </c>
      <c r="G189" s="3">
        <v>28.2</v>
      </c>
      <c r="H189" s="3">
        <v>0.0</v>
      </c>
      <c r="I189" s="3">
        <v>9.31</v>
      </c>
      <c r="J189" s="3">
        <v>0.0</v>
      </c>
      <c r="K189" s="4">
        <f t="shared" si="1"/>
        <v>859.4001</v>
      </c>
      <c r="L189" s="4">
        <f t="shared" si="2"/>
        <v>7.74791625</v>
      </c>
    </row>
    <row r="190">
      <c r="A190" s="3" t="s">
        <v>60</v>
      </c>
      <c r="B190" s="3">
        <v>48.9</v>
      </c>
      <c r="C190" s="3">
        <v>3.19</v>
      </c>
      <c r="D190" s="3">
        <v>87.0</v>
      </c>
      <c r="E190" s="3">
        <v>8.93</v>
      </c>
      <c r="F190" s="3">
        <v>8.49</v>
      </c>
      <c r="G190" s="3">
        <v>28.16</v>
      </c>
      <c r="H190" s="3">
        <v>0.0</v>
      </c>
      <c r="I190" s="3">
        <v>9.15</v>
      </c>
      <c r="J190" s="3">
        <v>0.0</v>
      </c>
      <c r="K190" s="4">
        <f t="shared" si="1"/>
        <v>865.0657</v>
      </c>
      <c r="L190" s="4">
        <f t="shared" si="2"/>
        <v>8.74962445</v>
      </c>
    </row>
    <row r="191">
      <c r="A191" s="3" t="s">
        <v>60</v>
      </c>
      <c r="B191" s="3">
        <v>48.9</v>
      </c>
      <c r="C191" s="3">
        <v>6.95</v>
      </c>
      <c r="D191" s="3">
        <v>90.0</v>
      </c>
      <c r="E191" s="3">
        <v>24.8</v>
      </c>
      <c r="F191" s="3">
        <v>17.83</v>
      </c>
      <c r="G191" s="3">
        <v>29.57</v>
      </c>
      <c r="H191" s="3">
        <v>0.0</v>
      </c>
      <c r="I191" s="3">
        <v>3.35</v>
      </c>
      <c r="J191" s="3">
        <v>0.0</v>
      </c>
      <c r="K191" s="4">
        <f t="shared" si="1"/>
        <v>1192.2938</v>
      </c>
      <c r="L191" s="4">
        <f t="shared" si="2"/>
        <v>6.793627544</v>
      </c>
    </row>
    <row r="192">
      <c r="A192" s="3" t="s">
        <v>60</v>
      </c>
      <c r="B192" s="3">
        <v>48.9</v>
      </c>
      <c r="C192" s="3">
        <v>8.58</v>
      </c>
      <c r="D192" s="3">
        <v>97.8</v>
      </c>
      <c r="E192" s="3">
        <v>9.4</v>
      </c>
      <c r="F192" s="3">
        <v>22.83</v>
      </c>
      <c r="G192" s="3">
        <v>29.09</v>
      </c>
      <c r="H192" s="3">
        <v>0.0</v>
      </c>
      <c r="I192" s="3">
        <v>1.88</v>
      </c>
      <c r="J192" s="3">
        <v>0.0</v>
      </c>
      <c r="K192" s="4">
        <f t="shared" si="1"/>
        <v>1367.437</v>
      </c>
      <c r="L192" s="4">
        <f t="shared" si="2"/>
        <v>6.994720781</v>
      </c>
    </row>
    <row r="193">
      <c r="A193" s="3" t="s">
        <v>60</v>
      </c>
      <c r="B193" s="3">
        <v>48.9</v>
      </c>
      <c r="C193" s="3">
        <v>9.26</v>
      </c>
      <c r="D193" s="3">
        <v>93.7</v>
      </c>
      <c r="E193" s="3">
        <v>25.3</v>
      </c>
      <c r="F193" s="3">
        <v>24.91</v>
      </c>
      <c r="G193" s="3">
        <v>28.73</v>
      </c>
      <c r="H193" s="3">
        <v>0.0</v>
      </c>
      <c r="I193" s="3">
        <v>1.68</v>
      </c>
      <c r="J193" s="3">
        <v>0.0</v>
      </c>
      <c r="K193" s="4">
        <f t="shared" si="1"/>
        <v>1445.921</v>
      </c>
      <c r="L193" s="4">
        <f t="shared" si="2"/>
        <v>6.072039897</v>
      </c>
    </row>
    <row r="194">
      <c r="A194" s="3" t="s">
        <v>60</v>
      </c>
      <c r="B194" s="3">
        <v>48.9</v>
      </c>
      <c r="C194" s="3">
        <v>9.89</v>
      </c>
      <c r="D194" s="3">
        <v>103.0</v>
      </c>
      <c r="E194" s="3">
        <v>23.8</v>
      </c>
      <c r="F194" s="3">
        <v>26.69</v>
      </c>
      <c r="G194" s="3">
        <v>28.7</v>
      </c>
      <c r="H194" s="3">
        <v>0.0</v>
      </c>
      <c r="I194" s="3">
        <v>1.49</v>
      </c>
      <c r="J194" s="3">
        <v>0.0</v>
      </c>
      <c r="K194" s="4">
        <f t="shared" si="1"/>
        <v>1536.0461</v>
      </c>
      <c r="L194" s="4">
        <f t="shared" si="2"/>
        <v>6.906693751</v>
      </c>
    </row>
    <row r="195">
      <c r="A195" s="3" t="s">
        <v>60</v>
      </c>
      <c r="B195" s="3">
        <v>48.9</v>
      </c>
      <c r="C195" s="3">
        <v>10.08</v>
      </c>
      <c r="D195" s="3">
        <v>97.4</v>
      </c>
      <c r="E195" s="3">
        <v>11.0</v>
      </c>
      <c r="F195" s="3">
        <v>27.31</v>
      </c>
      <c r="G195" s="3">
        <v>28.73</v>
      </c>
      <c r="H195" s="3">
        <v>0.0</v>
      </c>
      <c r="I195" s="3">
        <v>1.43</v>
      </c>
      <c r="J195" s="3">
        <v>0.0</v>
      </c>
      <c r="K195" s="4">
        <f t="shared" si="1"/>
        <v>1571.249</v>
      </c>
      <c r="L195" s="4">
        <f t="shared" si="2"/>
        <v>6.037719038</v>
      </c>
    </row>
    <row r="196">
      <c r="A196" s="3" t="s">
        <v>60</v>
      </c>
      <c r="B196" s="3">
        <v>48.9</v>
      </c>
      <c r="C196" s="3">
        <v>11.84</v>
      </c>
      <c r="D196" s="3">
        <v>106.5</v>
      </c>
      <c r="E196" s="3">
        <v>9.48</v>
      </c>
      <c r="F196" s="3">
        <v>30.86</v>
      </c>
      <c r="G196" s="3">
        <v>27.77</v>
      </c>
      <c r="H196" s="3">
        <v>0.0</v>
      </c>
      <c r="I196" s="3">
        <v>0.72</v>
      </c>
      <c r="J196" s="3">
        <v>0.0</v>
      </c>
      <c r="K196" s="4">
        <f t="shared" si="1"/>
        <v>1723.5125</v>
      </c>
      <c r="L196" s="4">
        <f t="shared" si="2"/>
        <v>6.580892219</v>
      </c>
    </row>
    <row r="197">
      <c r="A197" s="3" t="s">
        <v>60</v>
      </c>
      <c r="B197" s="3">
        <v>48.9</v>
      </c>
      <c r="C197" s="3">
        <v>14.56</v>
      </c>
      <c r="D197" s="3">
        <v>112.0</v>
      </c>
      <c r="E197" s="3">
        <v>11.0</v>
      </c>
      <c r="F197" s="3">
        <v>30.44</v>
      </c>
      <c r="G197" s="3">
        <v>25.73</v>
      </c>
      <c r="H197" s="3">
        <v>0.0</v>
      </c>
      <c r="I197" s="3">
        <v>0.36</v>
      </c>
      <c r="J197" s="3">
        <v>0.0</v>
      </c>
      <c r="K197" s="4">
        <f t="shared" si="1"/>
        <v>1588.6265</v>
      </c>
      <c r="L197" s="4">
        <f t="shared" si="2"/>
        <v>7.89612914</v>
      </c>
    </row>
    <row r="198">
      <c r="A198" s="3" t="s">
        <v>60</v>
      </c>
      <c r="B198" s="3">
        <v>48.9</v>
      </c>
      <c r="C198" s="3">
        <v>15.43</v>
      </c>
      <c r="D198" s="3">
        <v>111.5</v>
      </c>
      <c r="E198" s="3">
        <v>9.4</v>
      </c>
      <c r="F198" s="3">
        <v>30.7</v>
      </c>
      <c r="G198" s="3">
        <v>25.11</v>
      </c>
      <c r="H198" s="3">
        <v>0.0</v>
      </c>
      <c r="I198" s="3">
        <v>0.28</v>
      </c>
      <c r="J198" s="3">
        <v>0.0</v>
      </c>
      <c r="K198" s="4">
        <f t="shared" si="1"/>
        <v>1573.0021</v>
      </c>
      <c r="L198" s="4">
        <f t="shared" si="2"/>
        <v>7.903517738</v>
      </c>
    </row>
    <row r="199">
      <c r="A199" s="3" t="s">
        <v>60</v>
      </c>
      <c r="B199" s="3">
        <v>48.9</v>
      </c>
      <c r="C199" s="3">
        <v>17.93</v>
      </c>
      <c r="D199" s="3">
        <v>111.0</v>
      </c>
      <c r="E199" s="3">
        <v>24.3</v>
      </c>
      <c r="F199" s="3">
        <v>33.36</v>
      </c>
      <c r="G199" s="3">
        <v>23.48</v>
      </c>
      <c r="H199" s="3">
        <v>0.0</v>
      </c>
      <c r="I199" s="3">
        <v>0.14</v>
      </c>
      <c r="J199" s="3">
        <v>0.0</v>
      </c>
      <c r="K199" s="4">
        <f t="shared" si="1"/>
        <v>1664.2</v>
      </c>
      <c r="L199" s="4">
        <f t="shared" si="2"/>
        <v>7.403557265</v>
      </c>
    </row>
    <row r="200">
      <c r="A200" s="3" t="s">
        <v>60</v>
      </c>
      <c r="B200" s="3">
        <v>48.9</v>
      </c>
      <c r="C200" s="3">
        <v>19.02</v>
      </c>
      <c r="D200" s="3">
        <v>112.5</v>
      </c>
      <c r="E200" s="3">
        <v>7.75</v>
      </c>
      <c r="F200" s="3">
        <v>34.35</v>
      </c>
      <c r="G200" s="3">
        <v>22.95</v>
      </c>
      <c r="H200" s="3">
        <v>0.0</v>
      </c>
      <c r="I200" s="3">
        <v>0.1</v>
      </c>
      <c r="J200" s="3">
        <v>0.0</v>
      </c>
      <c r="K200" s="4">
        <f t="shared" si="1"/>
        <v>1706.625</v>
      </c>
      <c r="L200" s="4">
        <f t="shared" si="2"/>
        <v>7.415952538</v>
      </c>
    </row>
    <row r="201">
      <c r="A201" s="3" t="s">
        <v>60</v>
      </c>
      <c r="B201" s="3">
        <v>48.9</v>
      </c>
      <c r="C201" s="3">
        <v>20.1</v>
      </c>
      <c r="D201" s="3">
        <v>106.0</v>
      </c>
      <c r="E201" s="3">
        <v>10.7</v>
      </c>
      <c r="F201" s="3">
        <v>35.34</v>
      </c>
      <c r="G201" s="3">
        <v>22.07</v>
      </c>
      <c r="H201" s="3">
        <v>0.0</v>
      </c>
      <c r="I201" s="3">
        <v>0.0</v>
      </c>
      <c r="J201" s="3">
        <v>0.0</v>
      </c>
      <c r="K201" s="4">
        <f t="shared" si="1"/>
        <v>1736.0005</v>
      </c>
      <c r="L201" s="4">
        <f t="shared" si="2"/>
        <v>6.472348366</v>
      </c>
    </row>
    <row r="202">
      <c r="A202" s="3" t="s">
        <v>61</v>
      </c>
      <c r="B202" s="3">
        <v>54.0</v>
      </c>
      <c r="C202" s="3">
        <v>1.31</v>
      </c>
      <c r="D202" s="3">
        <v>12.0</v>
      </c>
      <c r="E202" s="3">
        <v>5.0</v>
      </c>
      <c r="F202" s="3">
        <v>4.66</v>
      </c>
      <c r="G202" s="3">
        <v>11.06</v>
      </c>
      <c r="H202" s="3">
        <v>0.0</v>
      </c>
      <c r="I202" s="3">
        <v>12.6</v>
      </c>
      <c r="J202" s="3">
        <v>0.0</v>
      </c>
      <c r="K202" s="4">
        <f t="shared" si="1"/>
        <v>144.0392</v>
      </c>
      <c r="L202" s="4">
        <f t="shared" si="2"/>
        <v>0.9997278519</v>
      </c>
    </row>
    <row r="203">
      <c r="A203" s="3" t="s">
        <v>61</v>
      </c>
      <c r="B203" s="3">
        <v>54.0</v>
      </c>
      <c r="C203" s="3">
        <v>2.63</v>
      </c>
      <c r="D203" s="3">
        <v>21.7</v>
      </c>
      <c r="E203" s="3">
        <v>5.0</v>
      </c>
      <c r="F203" s="3">
        <v>9.66</v>
      </c>
      <c r="G203" s="3">
        <v>16.85</v>
      </c>
      <c r="H203" s="3">
        <v>0.0</v>
      </c>
      <c r="I203" s="3">
        <v>9.31</v>
      </c>
      <c r="J203" s="3">
        <v>0.0</v>
      </c>
      <c r="K203" s="4">
        <f t="shared" si="1"/>
        <v>377.2381</v>
      </c>
      <c r="L203" s="4">
        <f t="shared" si="2"/>
        <v>1.248256738</v>
      </c>
    </row>
    <row r="204">
      <c r="A204" s="3" t="s">
        <v>61</v>
      </c>
      <c r="B204" s="3">
        <v>54.0</v>
      </c>
      <c r="C204" s="3">
        <v>3.93</v>
      </c>
      <c r="D204" s="3">
        <v>28.6</v>
      </c>
      <c r="E204" s="3">
        <v>5.0</v>
      </c>
      <c r="F204" s="3">
        <v>13.79</v>
      </c>
      <c r="G204" s="3">
        <v>23.41</v>
      </c>
      <c r="H204" s="3">
        <v>0.0</v>
      </c>
      <c r="I204" s="3">
        <v>7.16</v>
      </c>
      <c r="J204" s="3">
        <v>0.0</v>
      </c>
      <c r="K204" s="4">
        <f t="shared" si="1"/>
        <v>738.1922</v>
      </c>
      <c r="L204" s="4">
        <f t="shared" si="2"/>
        <v>1.108058308</v>
      </c>
    </row>
    <row r="205">
      <c r="A205" s="3" t="s">
        <v>61</v>
      </c>
      <c r="B205" s="3">
        <v>54.0</v>
      </c>
      <c r="C205" s="3">
        <v>5.24</v>
      </c>
      <c r="D205" s="3">
        <v>29.5</v>
      </c>
      <c r="E205" s="3">
        <v>5.0</v>
      </c>
      <c r="F205" s="3">
        <v>16.46</v>
      </c>
      <c r="G205" s="3">
        <v>24.18</v>
      </c>
      <c r="H205" s="3">
        <v>0.0</v>
      </c>
      <c r="I205" s="3">
        <v>3.64</v>
      </c>
      <c r="J205" s="3">
        <v>0.0</v>
      </c>
      <c r="K205" s="4">
        <f t="shared" si="1"/>
        <v>855.604</v>
      </c>
      <c r="L205" s="4">
        <f t="shared" si="2"/>
        <v>1.017117732</v>
      </c>
    </row>
    <row r="206">
      <c r="A206" s="3" t="s">
        <v>61</v>
      </c>
      <c r="B206" s="3">
        <v>54.0</v>
      </c>
      <c r="C206" s="3">
        <v>6.55</v>
      </c>
      <c r="D206" s="3">
        <v>28.6</v>
      </c>
      <c r="E206" s="3">
        <v>5.0</v>
      </c>
      <c r="F206" s="3">
        <v>18.52</v>
      </c>
      <c r="G206" s="3">
        <v>23.59</v>
      </c>
      <c r="H206" s="3">
        <v>0.0</v>
      </c>
      <c r="I206" s="3">
        <v>2.39</v>
      </c>
      <c r="J206" s="3">
        <v>0.0</v>
      </c>
      <c r="K206" s="4">
        <f t="shared" si="1"/>
        <v>899.4785</v>
      </c>
      <c r="L206" s="4">
        <f t="shared" si="2"/>
        <v>0.9093713746</v>
      </c>
    </row>
    <row r="207">
      <c r="A207" s="3" t="s">
        <v>61</v>
      </c>
      <c r="B207" s="3">
        <v>54.0</v>
      </c>
      <c r="C207" s="3">
        <v>7.87</v>
      </c>
      <c r="D207" s="3">
        <v>27.3</v>
      </c>
      <c r="E207" s="3">
        <v>5.0</v>
      </c>
      <c r="F207" s="3">
        <v>20.17</v>
      </c>
      <c r="G207" s="3">
        <v>23.33</v>
      </c>
      <c r="H207" s="3">
        <v>0.0</v>
      </c>
      <c r="I207" s="3">
        <v>2.56</v>
      </c>
      <c r="J207" s="3">
        <v>0.0</v>
      </c>
      <c r="K207" s="4">
        <f t="shared" si="1"/>
        <v>951.1178</v>
      </c>
      <c r="L207" s="4">
        <f t="shared" si="2"/>
        <v>0.7835937883</v>
      </c>
    </row>
    <row r="208">
      <c r="A208" s="3" t="s">
        <v>62</v>
      </c>
      <c r="B208" s="3">
        <v>59.7</v>
      </c>
      <c r="C208" s="3">
        <v>0.28</v>
      </c>
      <c r="D208" s="3">
        <v>11.9</v>
      </c>
      <c r="E208" s="3">
        <v>7.89</v>
      </c>
      <c r="F208" s="3">
        <v>0.95</v>
      </c>
      <c r="G208" s="3">
        <v>6.22</v>
      </c>
      <c r="H208" s="3">
        <v>0.0</v>
      </c>
      <c r="I208" s="3">
        <v>68.0</v>
      </c>
      <c r="J208" s="3">
        <v>0.0</v>
      </c>
      <c r="K208" s="4">
        <f t="shared" si="1"/>
        <v>39.5909</v>
      </c>
      <c r="L208" s="4">
        <f t="shared" si="2"/>
        <v>3.57683205</v>
      </c>
    </row>
    <row r="209">
      <c r="A209" s="3" t="s">
        <v>62</v>
      </c>
      <c r="B209" s="3">
        <v>59.7</v>
      </c>
      <c r="C209" s="3">
        <v>0.87</v>
      </c>
      <c r="D209" s="3">
        <v>34.8</v>
      </c>
      <c r="E209" s="3">
        <v>7.89</v>
      </c>
      <c r="F209" s="3">
        <v>2.93</v>
      </c>
      <c r="G209" s="3">
        <v>17.64</v>
      </c>
      <c r="H209" s="3">
        <v>0.0</v>
      </c>
      <c r="I209" s="3">
        <v>60.24</v>
      </c>
      <c r="J209" s="3">
        <v>0.0</v>
      </c>
      <c r="K209" s="4">
        <f t="shared" si="1"/>
        <v>319.7545</v>
      </c>
      <c r="L209" s="4">
        <f t="shared" si="2"/>
        <v>3.78740565</v>
      </c>
    </row>
    <row r="210">
      <c r="A210" s="3" t="s">
        <v>62</v>
      </c>
      <c r="B210" s="3">
        <v>59.7</v>
      </c>
      <c r="C210" s="3">
        <v>1.46</v>
      </c>
      <c r="D210" s="3">
        <v>58.5</v>
      </c>
      <c r="E210" s="3">
        <v>8.68</v>
      </c>
      <c r="F210" s="3">
        <v>4.98</v>
      </c>
      <c r="G210" s="3">
        <v>27.33</v>
      </c>
      <c r="H210" s="3">
        <v>0.0</v>
      </c>
      <c r="I210" s="3">
        <v>50.99</v>
      </c>
      <c r="J210" s="3">
        <v>0.0</v>
      </c>
      <c r="K210" s="4">
        <f t="shared" si="1"/>
        <v>771.7293</v>
      </c>
      <c r="L210" s="4">
        <f t="shared" si="2"/>
        <v>4.434521276</v>
      </c>
    </row>
    <row r="211">
      <c r="A211" s="3" t="s">
        <v>62</v>
      </c>
      <c r="B211" s="3">
        <v>59.7</v>
      </c>
      <c r="C211" s="3">
        <v>2.05</v>
      </c>
      <c r="D211" s="3">
        <v>81.5</v>
      </c>
      <c r="E211" s="3">
        <v>14.2</v>
      </c>
      <c r="F211" s="3">
        <v>7.2</v>
      </c>
      <c r="G211" s="3">
        <v>35.16</v>
      </c>
      <c r="H211" s="3">
        <v>0.0</v>
      </c>
      <c r="I211" s="3">
        <v>39.39</v>
      </c>
      <c r="J211" s="3">
        <v>0.0</v>
      </c>
      <c r="K211" s="4">
        <f t="shared" si="1"/>
        <v>1288.0656</v>
      </c>
      <c r="L211" s="4">
        <f t="shared" si="2"/>
        <v>5.156763755</v>
      </c>
    </row>
    <row r="212">
      <c r="A212" s="3" t="s">
        <v>62</v>
      </c>
      <c r="B212" s="3">
        <v>59.7</v>
      </c>
      <c r="C212" s="3">
        <v>2.35</v>
      </c>
      <c r="D212" s="3">
        <v>91.8</v>
      </c>
      <c r="E212" s="3">
        <v>17.5</v>
      </c>
      <c r="F212" s="3">
        <v>8.24</v>
      </c>
      <c r="G212" s="3">
        <v>37.71</v>
      </c>
      <c r="H212" s="3">
        <v>0.0</v>
      </c>
      <c r="I212" s="3">
        <v>33.19</v>
      </c>
      <c r="J212" s="3">
        <v>0.0</v>
      </c>
      <c r="K212" s="4">
        <f t="shared" si="1"/>
        <v>1489.9417</v>
      </c>
      <c r="L212" s="4">
        <f t="shared" si="2"/>
        <v>5.65608708</v>
      </c>
    </row>
    <row r="213">
      <c r="A213" s="3" t="s">
        <v>62</v>
      </c>
      <c r="B213" s="3">
        <v>59.7</v>
      </c>
      <c r="C213" s="3">
        <v>4.76</v>
      </c>
      <c r="D213" s="3">
        <v>114.0</v>
      </c>
      <c r="E213" s="3">
        <v>8.68</v>
      </c>
      <c r="F213" s="3">
        <v>16.62</v>
      </c>
      <c r="G213" s="3">
        <v>45.06</v>
      </c>
      <c r="H213" s="3">
        <v>0.0</v>
      </c>
      <c r="I213" s="3">
        <v>10.8</v>
      </c>
      <c r="J213" s="3">
        <v>0.0</v>
      </c>
      <c r="K213" s="4">
        <f t="shared" si="1"/>
        <v>2306.628</v>
      </c>
      <c r="L213" s="4">
        <f t="shared" si="2"/>
        <v>5.634198492</v>
      </c>
    </row>
    <row r="214">
      <c r="A214" s="3" t="s">
        <v>62</v>
      </c>
      <c r="B214" s="3">
        <v>59.7</v>
      </c>
      <c r="C214" s="3">
        <v>7.86</v>
      </c>
      <c r="D214" s="3">
        <v>116.0</v>
      </c>
      <c r="E214" s="3">
        <v>8.68</v>
      </c>
      <c r="F214" s="3">
        <v>34.33</v>
      </c>
      <c r="G214" s="3">
        <v>41.16</v>
      </c>
      <c r="H214" s="3">
        <v>0.0</v>
      </c>
      <c r="I214" s="3">
        <v>3.01</v>
      </c>
      <c r="J214" s="3">
        <v>0.0</v>
      </c>
      <c r="K214" s="4">
        <f t="shared" si="1"/>
        <v>2872.6945</v>
      </c>
      <c r="L214" s="4">
        <f t="shared" si="2"/>
        <v>4.68410407</v>
      </c>
    </row>
    <row r="215">
      <c r="A215" s="3" t="s">
        <v>62</v>
      </c>
      <c r="B215" s="3">
        <v>59.7</v>
      </c>
      <c r="C215" s="3">
        <v>8.7</v>
      </c>
      <c r="D215" s="3">
        <v>117.0</v>
      </c>
      <c r="E215" s="3">
        <v>16.6</v>
      </c>
      <c r="F215" s="3">
        <v>39.57</v>
      </c>
      <c r="G215" s="3">
        <v>40.09</v>
      </c>
      <c r="H215" s="3">
        <v>0.0</v>
      </c>
      <c r="I215" s="3">
        <v>2.22</v>
      </c>
      <c r="J215" s="3">
        <v>0.0</v>
      </c>
      <c r="K215" s="4">
        <f t="shared" si="1"/>
        <v>3172.993</v>
      </c>
      <c r="L215" s="4">
        <f t="shared" si="2"/>
        <v>4.314223196</v>
      </c>
    </row>
    <row r="216">
      <c r="A216" s="3" t="s">
        <v>62</v>
      </c>
      <c r="B216" s="3">
        <v>59.7</v>
      </c>
      <c r="C216" s="3">
        <v>10.18</v>
      </c>
      <c r="D216" s="3">
        <v>118.0</v>
      </c>
      <c r="E216" s="3">
        <v>51.9</v>
      </c>
      <c r="F216" s="3">
        <v>39.57</v>
      </c>
      <c r="G216" s="3">
        <v>38.11</v>
      </c>
      <c r="H216" s="3">
        <v>0.0</v>
      </c>
      <c r="I216" s="3">
        <v>1.34</v>
      </c>
      <c r="J216" s="3">
        <v>0.0</v>
      </c>
      <c r="K216" s="4">
        <f t="shared" si="1"/>
        <v>3018.157</v>
      </c>
      <c r="L216" s="4">
        <f t="shared" si="2"/>
        <v>4.61341143</v>
      </c>
    </row>
    <row r="217">
      <c r="A217" s="3" t="s">
        <v>62</v>
      </c>
      <c r="B217" s="3">
        <v>59.7</v>
      </c>
      <c r="C217" s="3">
        <v>10.47</v>
      </c>
      <c r="D217" s="3">
        <v>118.0</v>
      </c>
      <c r="E217" s="3">
        <v>40.3</v>
      </c>
      <c r="F217" s="3">
        <v>39.57</v>
      </c>
      <c r="G217" s="3">
        <v>37.78</v>
      </c>
      <c r="H217" s="3">
        <v>0.0</v>
      </c>
      <c r="I217" s="3">
        <v>1.24</v>
      </c>
      <c r="J217" s="3">
        <v>0.0</v>
      </c>
      <c r="K217" s="4">
        <f t="shared" si="1"/>
        <v>2993.1133</v>
      </c>
      <c r="L217" s="4">
        <f t="shared" si="2"/>
        <v>4.652012338</v>
      </c>
    </row>
    <row r="218">
      <c r="A218" s="3" t="s">
        <v>11</v>
      </c>
      <c r="B218" s="3">
        <v>51.8</v>
      </c>
      <c r="C218" s="3">
        <v>1.26</v>
      </c>
      <c r="D218" s="3">
        <v>21.7</v>
      </c>
      <c r="E218" s="3">
        <v>10.0</v>
      </c>
      <c r="F218" s="3">
        <v>5.7</v>
      </c>
      <c r="G218" s="3">
        <v>11.4</v>
      </c>
      <c r="H218" s="3">
        <v>0.0</v>
      </c>
      <c r="I218" s="3">
        <v>12.58</v>
      </c>
      <c r="J218" s="3">
        <v>0.0</v>
      </c>
      <c r="K218" s="4">
        <f t="shared" si="1"/>
        <v>162.45</v>
      </c>
      <c r="L218" s="4">
        <f t="shared" si="2"/>
        <v>2.898676516</v>
      </c>
    </row>
    <row r="219">
      <c r="A219" s="3" t="s">
        <v>11</v>
      </c>
      <c r="B219" s="3">
        <v>51.8</v>
      </c>
      <c r="C219" s="3">
        <v>2.51</v>
      </c>
      <c r="D219" s="3">
        <v>40.3</v>
      </c>
      <c r="E219" s="3">
        <v>10.0</v>
      </c>
      <c r="F219" s="3">
        <v>10.7</v>
      </c>
      <c r="G219" s="3">
        <v>17.23</v>
      </c>
      <c r="H219" s="3">
        <v>0.0</v>
      </c>
      <c r="I219" s="3">
        <v>5.69</v>
      </c>
      <c r="J219" s="3">
        <v>0.0</v>
      </c>
      <c r="K219" s="4">
        <f t="shared" si="1"/>
        <v>411.3629</v>
      </c>
      <c r="L219" s="4">
        <f t="shared" si="2"/>
        <v>3.948071156</v>
      </c>
    </row>
    <row r="220">
      <c r="A220" s="3" t="s">
        <v>11</v>
      </c>
      <c r="B220" s="3">
        <v>51.8</v>
      </c>
      <c r="C220" s="3">
        <v>3.78</v>
      </c>
      <c r="D220" s="3">
        <v>57.7</v>
      </c>
      <c r="E220" s="3">
        <v>7.0</v>
      </c>
      <c r="F220" s="3">
        <v>14.75</v>
      </c>
      <c r="G220" s="3">
        <v>19.15</v>
      </c>
      <c r="H220" s="3">
        <v>0.0</v>
      </c>
      <c r="I220" s="3">
        <v>4.01</v>
      </c>
      <c r="J220" s="3">
        <v>0.0</v>
      </c>
      <c r="K220" s="4">
        <f t="shared" si="1"/>
        <v>584.285</v>
      </c>
      <c r="L220" s="4">
        <f t="shared" si="2"/>
        <v>5.698058311</v>
      </c>
    </row>
    <row r="221">
      <c r="A221" s="3" t="s">
        <v>11</v>
      </c>
      <c r="B221" s="3">
        <v>51.8</v>
      </c>
      <c r="C221" s="3">
        <v>5.03</v>
      </c>
      <c r="D221" s="3">
        <v>68.5</v>
      </c>
      <c r="E221" s="3">
        <v>7.0</v>
      </c>
      <c r="F221" s="3">
        <v>18.18</v>
      </c>
      <c r="G221" s="3">
        <v>18.51</v>
      </c>
      <c r="H221" s="3">
        <v>0.0</v>
      </c>
      <c r="I221" s="3">
        <v>1.6</v>
      </c>
      <c r="J221" s="3">
        <v>0.0</v>
      </c>
      <c r="K221" s="4">
        <f t="shared" si="1"/>
        <v>673.1325</v>
      </c>
      <c r="L221" s="4">
        <f t="shared" si="2"/>
        <v>6.970767271</v>
      </c>
    </row>
    <row r="222">
      <c r="A222" s="3" t="s">
        <v>11</v>
      </c>
      <c r="B222" s="3">
        <v>51.8</v>
      </c>
      <c r="C222" s="3">
        <v>6.29</v>
      </c>
      <c r="D222" s="3">
        <v>73.5</v>
      </c>
      <c r="E222" s="3">
        <v>7.0</v>
      </c>
      <c r="F222" s="3">
        <v>21.5</v>
      </c>
      <c r="G222" s="3">
        <v>20.41</v>
      </c>
      <c r="H222" s="3">
        <v>0.0</v>
      </c>
      <c r="I222" s="3">
        <v>1.58</v>
      </c>
      <c r="J222" s="3">
        <v>0.0</v>
      </c>
      <c r="K222" s="4">
        <f t="shared" si="1"/>
        <v>878.8181</v>
      </c>
      <c r="L222" s="4">
        <f t="shared" si="2"/>
        <v>6.147176532</v>
      </c>
    </row>
    <row r="223">
      <c r="A223" s="3" t="s">
        <v>11</v>
      </c>
      <c r="B223" s="3">
        <v>51.8</v>
      </c>
      <c r="C223" s="3">
        <v>7.54</v>
      </c>
      <c r="D223" s="3">
        <v>78.5</v>
      </c>
      <c r="E223" s="3">
        <v>5.0</v>
      </c>
      <c r="F223" s="3">
        <v>24.72</v>
      </c>
      <c r="G223" s="3">
        <v>20.52</v>
      </c>
      <c r="H223" s="3">
        <v>0.0</v>
      </c>
      <c r="I223" s="3">
        <v>0.6</v>
      </c>
      <c r="J223" s="3">
        <v>0.0</v>
      </c>
      <c r="K223" s="4">
        <f t="shared" si="1"/>
        <v>1032.1488</v>
      </c>
      <c r="L223" s="4">
        <f t="shared" si="2"/>
        <v>5.970311645</v>
      </c>
    </row>
    <row r="224">
      <c r="A224" s="3" t="s">
        <v>11</v>
      </c>
      <c r="B224" s="3">
        <v>51.8</v>
      </c>
      <c r="C224" s="3">
        <v>8.8</v>
      </c>
      <c r="D224" s="3">
        <v>83.1</v>
      </c>
      <c r="E224" s="3">
        <v>6.0</v>
      </c>
      <c r="F224" s="3">
        <v>27.11</v>
      </c>
      <c r="G224" s="3">
        <v>18.68</v>
      </c>
      <c r="H224" s="3">
        <v>0.0</v>
      </c>
      <c r="I224" s="3">
        <v>0.21</v>
      </c>
      <c r="J224" s="3">
        <v>0.0</v>
      </c>
      <c r="K224" s="4">
        <f t="shared" si="1"/>
        <v>1083.8945</v>
      </c>
      <c r="L224" s="4">
        <f t="shared" si="2"/>
        <v>6.371108996</v>
      </c>
    </row>
    <row r="225">
      <c r="A225" s="3" t="s">
        <v>63</v>
      </c>
      <c r="B225" s="3">
        <v>79.0</v>
      </c>
      <c r="C225" s="3">
        <v>1.92</v>
      </c>
      <c r="D225" s="3">
        <v>26.9</v>
      </c>
      <c r="E225" s="3">
        <v>8.0</v>
      </c>
      <c r="F225" s="3">
        <v>-8.25</v>
      </c>
      <c r="G225" s="3">
        <v>24.52</v>
      </c>
      <c r="H225" s="3">
        <v>0.0</v>
      </c>
      <c r="I225" s="3">
        <v>22.17</v>
      </c>
      <c r="J225" s="3">
        <v>0.0</v>
      </c>
      <c r="K225" s="4">
        <f t="shared" si="1"/>
        <v>669.2929</v>
      </c>
      <c r="L225" s="4">
        <f t="shared" si="2"/>
        <v>1.081155948</v>
      </c>
    </row>
    <row r="226">
      <c r="A226" s="3" t="s">
        <v>63</v>
      </c>
      <c r="B226" s="3">
        <v>79.0</v>
      </c>
      <c r="C226" s="3">
        <v>3.83</v>
      </c>
      <c r="D226" s="3">
        <v>46.8</v>
      </c>
      <c r="E226" s="3">
        <v>5.0</v>
      </c>
      <c r="F226" s="3">
        <v>-11.91</v>
      </c>
      <c r="G226" s="3">
        <v>32.41</v>
      </c>
      <c r="H226" s="3">
        <v>0.0</v>
      </c>
      <c r="I226" s="3">
        <v>10.5</v>
      </c>
      <c r="J226" s="3">
        <v>0.0</v>
      </c>
      <c r="K226" s="4">
        <f t="shared" si="1"/>
        <v>1192.2562</v>
      </c>
      <c r="L226" s="4">
        <f t="shared" si="2"/>
        <v>1.837054821</v>
      </c>
    </row>
    <row r="227">
      <c r="A227" s="3" t="s">
        <v>63</v>
      </c>
      <c r="B227" s="3">
        <v>79.0</v>
      </c>
      <c r="C227" s="3">
        <v>5.75</v>
      </c>
      <c r="D227" s="3">
        <v>47.6</v>
      </c>
      <c r="E227" s="3">
        <v>5.0</v>
      </c>
      <c r="F227" s="3">
        <v>-2.02</v>
      </c>
      <c r="G227" s="3">
        <v>32.86</v>
      </c>
      <c r="H227" s="3">
        <v>0.0</v>
      </c>
      <c r="I227" s="3">
        <v>5.0</v>
      </c>
      <c r="J227" s="3">
        <v>0.0</v>
      </c>
      <c r="K227" s="4">
        <f t="shared" si="1"/>
        <v>1083.86</v>
      </c>
      <c r="L227" s="4">
        <f t="shared" si="2"/>
        <v>2.090454487</v>
      </c>
    </row>
    <row r="228">
      <c r="A228" s="3" t="s">
        <v>63</v>
      </c>
      <c r="B228" s="3">
        <v>79.0</v>
      </c>
      <c r="C228" s="3">
        <v>7.67</v>
      </c>
      <c r="D228" s="3">
        <v>48.1</v>
      </c>
      <c r="E228" s="3">
        <v>8.0</v>
      </c>
      <c r="F228" s="3">
        <v>17.45</v>
      </c>
      <c r="G228" s="3">
        <v>32.97</v>
      </c>
      <c r="H228" s="3">
        <v>0.0</v>
      </c>
      <c r="I228" s="3">
        <v>3.29</v>
      </c>
      <c r="J228" s="3">
        <v>0.0</v>
      </c>
      <c r="K228" s="4">
        <f t="shared" si="1"/>
        <v>1391.5234</v>
      </c>
      <c r="L228" s="4">
        <f t="shared" si="2"/>
        <v>1.662645414</v>
      </c>
    </row>
    <row r="229">
      <c r="A229" s="3" t="s">
        <v>63</v>
      </c>
      <c r="B229" s="3">
        <v>79.0</v>
      </c>
      <c r="C229" s="3">
        <v>9.59</v>
      </c>
      <c r="D229" s="3">
        <v>52.2</v>
      </c>
      <c r="E229" s="3">
        <v>10.0</v>
      </c>
      <c r="F229" s="3">
        <v>24.22</v>
      </c>
      <c r="G229" s="3">
        <v>33.05</v>
      </c>
      <c r="H229" s="3">
        <v>0.0</v>
      </c>
      <c r="I229" s="3">
        <v>1.99</v>
      </c>
      <c r="J229" s="3">
        <v>0.0</v>
      </c>
      <c r="K229" s="4">
        <f t="shared" si="1"/>
        <v>1678.9109</v>
      </c>
      <c r="L229" s="4">
        <f t="shared" si="2"/>
        <v>1.622980707</v>
      </c>
    </row>
    <row r="230">
      <c r="A230" s="3" t="s">
        <v>64</v>
      </c>
      <c r="B230" s="3">
        <v>90.7</v>
      </c>
      <c r="C230" s="3">
        <v>0.44</v>
      </c>
      <c r="D230" s="3">
        <v>15.7</v>
      </c>
      <c r="E230" s="3">
        <v>9.1</v>
      </c>
      <c r="F230" s="3">
        <v>-2.08</v>
      </c>
      <c r="G230" s="3">
        <v>12.26</v>
      </c>
      <c r="H230" s="3">
        <v>0.0</v>
      </c>
      <c r="I230" s="3">
        <v>98.11</v>
      </c>
      <c r="J230" s="3">
        <v>0.0</v>
      </c>
      <c r="K230" s="4">
        <f t="shared" si="1"/>
        <v>154.634</v>
      </c>
      <c r="L230" s="4">
        <f t="shared" si="2"/>
        <v>1.594022013</v>
      </c>
    </row>
    <row r="231">
      <c r="A231" s="3" t="s">
        <v>64</v>
      </c>
      <c r="B231" s="3">
        <v>90.7</v>
      </c>
      <c r="C231" s="3">
        <v>1.32</v>
      </c>
      <c r="D231" s="3">
        <v>44.5</v>
      </c>
      <c r="E231" s="3">
        <v>9.1</v>
      </c>
      <c r="F231" s="3">
        <v>-5.39</v>
      </c>
      <c r="G231" s="3">
        <v>28.49</v>
      </c>
      <c r="H231" s="3">
        <v>0.0</v>
      </c>
      <c r="I231" s="3">
        <v>57.84</v>
      </c>
      <c r="J231" s="3">
        <v>0.0</v>
      </c>
      <c r="K231" s="4">
        <f t="shared" si="1"/>
        <v>840.7322</v>
      </c>
      <c r="L231" s="4">
        <f t="shared" si="2"/>
        <v>2.355387364</v>
      </c>
    </row>
    <row r="232">
      <c r="A232" s="3" t="s">
        <v>64</v>
      </c>
      <c r="B232" s="3">
        <v>90.7</v>
      </c>
      <c r="C232" s="3">
        <v>2.2</v>
      </c>
      <c r="D232" s="3">
        <v>69.4</v>
      </c>
      <c r="E232" s="3">
        <v>9.1</v>
      </c>
      <c r="F232" s="3">
        <v>-6.26</v>
      </c>
      <c r="G232" s="3">
        <v>35.84</v>
      </c>
      <c r="H232" s="3">
        <v>0.0</v>
      </c>
      <c r="I232" s="3">
        <v>38.81</v>
      </c>
      <c r="J232" s="3">
        <v>0.0</v>
      </c>
      <c r="K232" s="4">
        <f t="shared" si="1"/>
        <v>1323.6932</v>
      </c>
      <c r="L232" s="4">
        <f t="shared" si="2"/>
        <v>3.638577278</v>
      </c>
    </row>
    <row r="233">
      <c r="A233" s="3" t="s">
        <v>64</v>
      </c>
      <c r="B233" s="3">
        <v>90.7</v>
      </c>
      <c r="C233" s="3">
        <v>3.08</v>
      </c>
      <c r="D233" s="3">
        <v>90.0</v>
      </c>
      <c r="E233" s="3">
        <v>11.4</v>
      </c>
      <c r="F233" s="3">
        <v>-3.53</v>
      </c>
      <c r="G233" s="3">
        <v>40.15</v>
      </c>
      <c r="H233" s="3">
        <v>0.0</v>
      </c>
      <c r="I233" s="3">
        <v>24.49</v>
      </c>
      <c r="J233" s="3">
        <v>0.0</v>
      </c>
      <c r="K233" s="4">
        <f t="shared" si="1"/>
        <v>1624.4834</v>
      </c>
      <c r="L233" s="4">
        <f t="shared" si="2"/>
        <v>4.986200536</v>
      </c>
    </row>
    <row r="234">
      <c r="A234" s="3" t="s">
        <v>64</v>
      </c>
      <c r="B234" s="3">
        <v>90.7</v>
      </c>
      <c r="C234" s="3">
        <v>3.96</v>
      </c>
      <c r="D234" s="3">
        <v>105.0</v>
      </c>
      <c r="E234" s="3">
        <v>9.88</v>
      </c>
      <c r="F234" s="3">
        <v>1.83</v>
      </c>
      <c r="G234" s="3">
        <v>41.23</v>
      </c>
      <c r="H234" s="3">
        <v>0.0</v>
      </c>
      <c r="I234" s="3">
        <v>19.47</v>
      </c>
      <c r="J234" s="3">
        <v>0.0</v>
      </c>
      <c r="K234" s="4">
        <f t="shared" si="1"/>
        <v>1703.2618</v>
      </c>
      <c r="L234" s="4">
        <f t="shared" si="2"/>
        <v>6.472874575</v>
      </c>
    </row>
    <row r="235">
      <c r="A235" s="3" t="s">
        <v>64</v>
      </c>
      <c r="B235" s="3">
        <v>90.7</v>
      </c>
      <c r="C235" s="3">
        <v>4.84</v>
      </c>
      <c r="D235" s="3">
        <v>113.0</v>
      </c>
      <c r="E235" s="3">
        <v>16.2</v>
      </c>
      <c r="F235" s="3">
        <v>8.4</v>
      </c>
      <c r="G235" s="3">
        <v>42.44</v>
      </c>
      <c r="H235" s="3">
        <v>0.0</v>
      </c>
      <c r="I235" s="3">
        <v>16.02</v>
      </c>
      <c r="J235" s="3">
        <v>0.0</v>
      </c>
      <c r="K235" s="4">
        <f t="shared" si="1"/>
        <v>1871.7136</v>
      </c>
      <c r="L235" s="4">
        <f t="shared" si="2"/>
        <v>6.82209073</v>
      </c>
    </row>
    <row r="236">
      <c r="A236" s="3" t="s">
        <v>64</v>
      </c>
      <c r="B236" s="3">
        <v>90.7</v>
      </c>
      <c r="C236" s="3">
        <v>5.53</v>
      </c>
      <c r="D236" s="3">
        <v>117.0</v>
      </c>
      <c r="E236" s="3">
        <v>24.8</v>
      </c>
      <c r="F236" s="3">
        <v>13.64</v>
      </c>
      <c r="G236" s="3">
        <v>43.19</v>
      </c>
      <c r="H236" s="3">
        <v>0.0</v>
      </c>
      <c r="I236" s="3">
        <v>13.79</v>
      </c>
      <c r="J236" s="3">
        <v>0.0</v>
      </c>
      <c r="K236" s="4">
        <f t="shared" si="1"/>
        <v>2051.4257</v>
      </c>
      <c r="L236" s="4">
        <f t="shared" si="2"/>
        <v>6.672920204</v>
      </c>
    </row>
    <row r="237">
      <c r="A237" s="3" t="s">
        <v>64</v>
      </c>
      <c r="B237" s="3">
        <v>90.7</v>
      </c>
      <c r="C237" s="3">
        <v>7.48</v>
      </c>
      <c r="D237" s="3">
        <v>124.0</v>
      </c>
      <c r="E237" s="3">
        <v>9.1</v>
      </c>
      <c r="F237" s="3">
        <v>27.27</v>
      </c>
      <c r="G237" s="3">
        <v>47.2</v>
      </c>
      <c r="H237" s="3">
        <v>0.0</v>
      </c>
      <c r="I237" s="3">
        <v>10.81</v>
      </c>
      <c r="J237" s="3">
        <v>0.0</v>
      </c>
      <c r="K237" s="4">
        <f t="shared" si="1"/>
        <v>2971.4929</v>
      </c>
      <c r="L237" s="4">
        <f t="shared" si="2"/>
        <v>5.174503362</v>
      </c>
    </row>
    <row r="238">
      <c r="A238" s="3" t="s">
        <v>64</v>
      </c>
      <c r="B238" s="3">
        <v>90.7</v>
      </c>
      <c r="C238" s="3">
        <v>8.37</v>
      </c>
      <c r="D238" s="3">
        <v>127.0</v>
      </c>
      <c r="E238" s="3">
        <v>9.1</v>
      </c>
      <c r="F238" s="3">
        <v>32.13</v>
      </c>
      <c r="G238" s="3">
        <v>48.6</v>
      </c>
      <c r="H238" s="3">
        <v>0.0</v>
      </c>
      <c r="I238" s="3">
        <v>8.48</v>
      </c>
      <c r="J238" s="3">
        <v>0.0</v>
      </c>
      <c r="K238" s="4">
        <f t="shared" si="1"/>
        <v>3394.2969</v>
      </c>
      <c r="L238" s="4">
        <f t="shared" si="2"/>
        <v>4.751794105</v>
      </c>
    </row>
    <row r="239">
      <c r="A239" s="3" t="s">
        <v>64</v>
      </c>
      <c r="B239" s="3">
        <v>90.7</v>
      </c>
      <c r="C239" s="3">
        <v>9.24</v>
      </c>
      <c r="D239" s="3">
        <v>130.0</v>
      </c>
      <c r="E239" s="3">
        <v>9.1</v>
      </c>
      <c r="F239" s="3">
        <v>36.26</v>
      </c>
      <c r="G239" s="3">
        <v>48.96</v>
      </c>
      <c r="H239" s="3">
        <v>0.0</v>
      </c>
      <c r="I239" s="3">
        <v>6.88</v>
      </c>
      <c r="J239" s="3">
        <v>0.0</v>
      </c>
      <c r="K239" s="4">
        <f t="shared" si="1"/>
        <v>3711.8692</v>
      </c>
      <c r="L239" s="4">
        <f t="shared" si="2"/>
        <v>4.552962157</v>
      </c>
    </row>
    <row r="240">
      <c r="A240" s="3" t="s">
        <v>64</v>
      </c>
      <c r="B240" s="3">
        <v>90.7</v>
      </c>
      <c r="C240" s="3">
        <v>10.13</v>
      </c>
      <c r="D240" s="3">
        <v>133.0</v>
      </c>
      <c r="E240" s="3">
        <v>9.1</v>
      </c>
      <c r="F240" s="3">
        <v>39.77</v>
      </c>
      <c r="G240" s="3">
        <v>48.92</v>
      </c>
      <c r="H240" s="3">
        <v>0.0</v>
      </c>
      <c r="I240" s="3">
        <v>5.7</v>
      </c>
      <c r="J240" s="3">
        <v>0.0</v>
      </c>
      <c r="K240" s="4">
        <f t="shared" si="1"/>
        <v>3974.8193</v>
      </c>
      <c r="L240" s="4">
        <f t="shared" si="2"/>
        <v>4.450265198</v>
      </c>
    </row>
    <row r="241">
      <c r="A241" s="3" t="s">
        <v>64</v>
      </c>
      <c r="B241" s="3">
        <v>90.7</v>
      </c>
      <c r="C241" s="3">
        <v>13.23</v>
      </c>
      <c r="D241" s="3">
        <v>142.0</v>
      </c>
      <c r="E241" s="3">
        <v>23.8</v>
      </c>
      <c r="F241" s="3">
        <v>47.41</v>
      </c>
      <c r="G241" s="3">
        <v>49.96</v>
      </c>
      <c r="H241" s="3">
        <v>0.0</v>
      </c>
      <c r="I241" s="3">
        <v>3.23</v>
      </c>
      <c r="J241" s="3">
        <v>0.0</v>
      </c>
      <c r="K241" s="4">
        <f t="shared" si="1"/>
        <v>4743.7097</v>
      </c>
      <c r="L241" s="4">
        <f t="shared" si="2"/>
        <v>4.250681697</v>
      </c>
    </row>
    <row r="242">
      <c r="A242" s="3" t="s">
        <v>65</v>
      </c>
      <c r="B242" s="3">
        <v>82.4</v>
      </c>
      <c r="C242" s="3">
        <v>0.64</v>
      </c>
      <c r="D242" s="3">
        <v>12.4</v>
      </c>
      <c r="E242" s="3">
        <v>8.6</v>
      </c>
      <c r="F242" s="3">
        <v>1.18</v>
      </c>
      <c r="G242" s="3">
        <v>13.56</v>
      </c>
      <c r="H242" s="3">
        <v>0.0</v>
      </c>
      <c r="I242" s="3">
        <v>67.54</v>
      </c>
      <c r="J242" s="3">
        <v>0.0</v>
      </c>
      <c r="K242" s="4">
        <f t="shared" si="1"/>
        <v>185.266</v>
      </c>
      <c r="L242" s="4">
        <f t="shared" si="2"/>
        <v>0.8299418134</v>
      </c>
    </row>
    <row r="243">
      <c r="A243" s="3" t="s">
        <v>65</v>
      </c>
      <c r="B243" s="3">
        <v>82.4</v>
      </c>
      <c r="C243" s="3">
        <v>1.18</v>
      </c>
      <c r="D243" s="3">
        <v>21.9</v>
      </c>
      <c r="E243" s="3">
        <v>6.2</v>
      </c>
      <c r="F243" s="3">
        <v>1.55</v>
      </c>
      <c r="G243" s="3">
        <v>21.17</v>
      </c>
      <c r="H243" s="3">
        <v>0.0</v>
      </c>
      <c r="I243" s="3">
        <v>56.11</v>
      </c>
      <c r="J243" s="3">
        <v>0.0</v>
      </c>
      <c r="K243" s="4">
        <f t="shared" si="1"/>
        <v>450.5714</v>
      </c>
      <c r="L243" s="4">
        <f t="shared" si="2"/>
        <v>1.064448387</v>
      </c>
    </row>
    <row r="244">
      <c r="A244" s="3" t="s">
        <v>65</v>
      </c>
      <c r="B244" s="3">
        <v>82.4</v>
      </c>
      <c r="C244" s="3">
        <v>1.8</v>
      </c>
      <c r="D244" s="3">
        <v>32.3</v>
      </c>
      <c r="E244" s="3">
        <v>1.88</v>
      </c>
      <c r="F244" s="3">
        <v>1.6</v>
      </c>
      <c r="G244" s="3">
        <v>27.72</v>
      </c>
      <c r="H244" s="3">
        <v>0.0</v>
      </c>
      <c r="I244" s="3">
        <v>46.3</v>
      </c>
      <c r="J244" s="3">
        <v>0.0</v>
      </c>
      <c r="K244" s="4">
        <f t="shared" si="1"/>
        <v>770.9584</v>
      </c>
      <c r="L244" s="4">
        <f t="shared" si="2"/>
        <v>1.353237736</v>
      </c>
    </row>
    <row r="245">
      <c r="A245" s="3" t="s">
        <v>65</v>
      </c>
      <c r="B245" s="3">
        <v>82.4</v>
      </c>
      <c r="C245" s="3">
        <v>2.03</v>
      </c>
      <c r="D245" s="3">
        <v>37.9</v>
      </c>
      <c r="E245" s="3">
        <v>6.2</v>
      </c>
      <c r="F245" s="3">
        <v>1.54</v>
      </c>
      <c r="G245" s="3">
        <v>29.76</v>
      </c>
      <c r="H245" s="3">
        <v>0.0</v>
      </c>
      <c r="I245" s="3">
        <v>44.1</v>
      </c>
      <c r="J245" s="3">
        <v>0.0</v>
      </c>
      <c r="K245" s="4">
        <f t="shared" si="1"/>
        <v>888.0292</v>
      </c>
      <c r="L245" s="4">
        <f t="shared" si="2"/>
        <v>1.61752564</v>
      </c>
    </row>
    <row r="246">
      <c r="A246" s="3" t="s">
        <v>65</v>
      </c>
      <c r="B246" s="3">
        <v>82.4</v>
      </c>
      <c r="C246" s="3">
        <v>2.78</v>
      </c>
      <c r="D246" s="3">
        <v>53.1</v>
      </c>
      <c r="E246" s="3">
        <v>9.5</v>
      </c>
      <c r="F246" s="3">
        <v>1.46</v>
      </c>
      <c r="G246" s="3">
        <v>36.4</v>
      </c>
      <c r="H246" s="3">
        <v>0.0</v>
      </c>
      <c r="I246" s="3">
        <v>37.67</v>
      </c>
      <c r="J246" s="3">
        <v>0.0</v>
      </c>
      <c r="K246" s="4">
        <f t="shared" si="1"/>
        <v>1327.0916</v>
      </c>
      <c r="L246" s="4">
        <f t="shared" si="2"/>
        <v>2.124653641</v>
      </c>
    </row>
    <row r="247">
      <c r="A247" s="3" t="s">
        <v>65</v>
      </c>
      <c r="B247" s="3">
        <v>82.4</v>
      </c>
      <c r="C247" s="3">
        <v>3.0</v>
      </c>
      <c r="D247" s="3">
        <v>62.4</v>
      </c>
      <c r="E247" s="3">
        <v>11.0</v>
      </c>
      <c r="F247" s="3">
        <v>1.62</v>
      </c>
      <c r="G247" s="3">
        <v>38.08</v>
      </c>
      <c r="H247" s="3">
        <v>0.0</v>
      </c>
      <c r="I247" s="3">
        <v>35.56</v>
      </c>
      <c r="J247" s="3">
        <v>0.0</v>
      </c>
      <c r="K247" s="4">
        <f t="shared" si="1"/>
        <v>1452.7108</v>
      </c>
      <c r="L247" s="4">
        <f t="shared" si="2"/>
        <v>2.680340781</v>
      </c>
    </row>
    <row r="248">
      <c r="A248" s="3" t="s">
        <v>65</v>
      </c>
      <c r="B248" s="3">
        <v>82.4</v>
      </c>
      <c r="C248" s="3">
        <v>3.64</v>
      </c>
      <c r="D248" s="3">
        <v>68.0</v>
      </c>
      <c r="E248" s="3">
        <v>6.2</v>
      </c>
      <c r="F248" s="3">
        <v>2.96</v>
      </c>
      <c r="G248" s="3">
        <v>42.4</v>
      </c>
      <c r="H248" s="3">
        <v>0.0</v>
      </c>
      <c r="I248" s="3">
        <v>30.26</v>
      </c>
      <c r="J248" s="3">
        <v>0.0</v>
      </c>
      <c r="K248" s="4">
        <f t="shared" si="1"/>
        <v>1806.5216</v>
      </c>
      <c r="L248" s="4">
        <f t="shared" si="2"/>
        <v>2.559615119</v>
      </c>
    </row>
    <row r="249">
      <c r="A249" s="3" t="s">
        <v>65</v>
      </c>
      <c r="B249" s="3">
        <v>82.4</v>
      </c>
      <c r="C249" s="3">
        <v>4.19</v>
      </c>
      <c r="D249" s="3">
        <v>78.0</v>
      </c>
      <c r="E249" s="3">
        <v>7.98</v>
      </c>
      <c r="F249" s="3">
        <v>5.28</v>
      </c>
      <c r="G249" s="3">
        <v>45.43</v>
      </c>
      <c r="H249" s="3">
        <v>0.0</v>
      </c>
      <c r="I249" s="3">
        <v>25.29</v>
      </c>
      <c r="J249" s="3">
        <v>0.0</v>
      </c>
      <c r="K249" s="4">
        <f t="shared" si="1"/>
        <v>2091.7633</v>
      </c>
      <c r="L249" s="4">
        <f t="shared" si="2"/>
        <v>2.908550886</v>
      </c>
    </row>
    <row r="250">
      <c r="A250" s="3" t="s">
        <v>65</v>
      </c>
      <c r="B250" s="3">
        <v>82.4</v>
      </c>
      <c r="C250" s="3">
        <v>4.6</v>
      </c>
      <c r="D250" s="3">
        <v>82.3</v>
      </c>
      <c r="E250" s="3">
        <v>6.2</v>
      </c>
      <c r="F250" s="3">
        <v>6.86</v>
      </c>
      <c r="G250" s="3">
        <v>46.43</v>
      </c>
      <c r="H250" s="3">
        <v>0.0</v>
      </c>
      <c r="I250" s="3">
        <v>21.07</v>
      </c>
      <c r="J250" s="3">
        <v>0.0</v>
      </c>
      <c r="K250" s="4">
        <f t="shared" si="1"/>
        <v>2202.8045</v>
      </c>
      <c r="L250" s="4">
        <f t="shared" si="2"/>
        <v>3.074848449</v>
      </c>
    </row>
    <row r="251">
      <c r="A251" s="3" t="s">
        <v>65</v>
      </c>
      <c r="B251" s="3">
        <v>82.4</v>
      </c>
      <c r="C251" s="3">
        <v>5.14</v>
      </c>
      <c r="D251" s="3">
        <v>85.7</v>
      </c>
      <c r="E251" s="3">
        <v>6.3</v>
      </c>
      <c r="F251" s="3">
        <v>8.92</v>
      </c>
      <c r="G251" s="3">
        <v>47.19</v>
      </c>
      <c r="H251" s="3">
        <v>0.0</v>
      </c>
      <c r="I251" s="3">
        <v>19.58</v>
      </c>
      <c r="J251" s="3">
        <v>0.0</v>
      </c>
      <c r="K251" s="4">
        <f t="shared" si="1"/>
        <v>2306.4625</v>
      </c>
      <c r="L251" s="4">
        <f t="shared" si="2"/>
        <v>3.184309305</v>
      </c>
    </row>
    <row r="252">
      <c r="A252" s="3" t="s">
        <v>65</v>
      </c>
      <c r="B252" s="3">
        <v>82.4</v>
      </c>
      <c r="C252" s="3">
        <v>5.39</v>
      </c>
      <c r="D252" s="3">
        <v>85.5</v>
      </c>
      <c r="E252" s="3">
        <v>6.51</v>
      </c>
      <c r="F252" s="3">
        <v>9.95</v>
      </c>
      <c r="G252" s="3">
        <v>47.91</v>
      </c>
      <c r="H252" s="3">
        <v>0.0</v>
      </c>
      <c r="I252" s="3">
        <v>19.11</v>
      </c>
      <c r="J252" s="3">
        <v>0.0</v>
      </c>
      <c r="K252" s="4">
        <f t="shared" si="1"/>
        <v>2394.3706</v>
      </c>
      <c r="L252" s="4">
        <f t="shared" si="2"/>
        <v>3.053098798</v>
      </c>
    </row>
    <row r="253">
      <c r="A253" s="3" t="s">
        <v>65</v>
      </c>
      <c r="B253" s="3">
        <v>82.4</v>
      </c>
      <c r="C253" s="3">
        <v>6.31</v>
      </c>
      <c r="D253" s="3">
        <v>89.5</v>
      </c>
      <c r="E253" s="3">
        <v>15.6</v>
      </c>
      <c r="F253" s="3">
        <v>14.48</v>
      </c>
      <c r="G253" s="3">
        <v>50.48</v>
      </c>
      <c r="H253" s="3">
        <v>0.0</v>
      </c>
      <c r="I253" s="3">
        <v>14.95</v>
      </c>
      <c r="J253" s="3">
        <v>0.0</v>
      </c>
      <c r="K253" s="4">
        <f t="shared" si="1"/>
        <v>2757.9008</v>
      </c>
      <c r="L253" s="4">
        <f t="shared" si="2"/>
        <v>2.904473576</v>
      </c>
    </row>
    <row r="254">
      <c r="A254" s="3" t="s">
        <v>65</v>
      </c>
      <c r="B254" s="3">
        <v>82.4</v>
      </c>
      <c r="C254" s="3">
        <v>9.1</v>
      </c>
      <c r="D254" s="3">
        <v>95.2</v>
      </c>
      <c r="E254" s="3">
        <v>15.5</v>
      </c>
      <c r="F254" s="3">
        <v>26.69</v>
      </c>
      <c r="G254" s="3">
        <v>51.31</v>
      </c>
      <c r="H254" s="3">
        <v>0.0</v>
      </c>
      <c r="I254" s="3">
        <v>7.98</v>
      </c>
      <c r="J254" s="3">
        <v>0.0</v>
      </c>
      <c r="K254" s="4">
        <f t="shared" si="1"/>
        <v>3345.0722</v>
      </c>
      <c r="L254" s="4">
        <f t="shared" si="2"/>
        <v>2.709370518</v>
      </c>
    </row>
    <row r="255">
      <c r="A255" s="3" t="s">
        <v>65</v>
      </c>
      <c r="B255" s="3">
        <v>82.4</v>
      </c>
      <c r="C255" s="3">
        <v>10.17</v>
      </c>
      <c r="D255" s="3">
        <v>97.5</v>
      </c>
      <c r="E255" s="3">
        <v>6.2</v>
      </c>
      <c r="F255" s="3">
        <v>29.9</v>
      </c>
      <c r="G255" s="3">
        <v>52.01</v>
      </c>
      <c r="H255" s="3">
        <v>0.0</v>
      </c>
      <c r="I255" s="3">
        <v>6.77</v>
      </c>
      <c r="J255" s="3">
        <v>0.0</v>
      </c>
      <c r="K255" s="4">
        <f t="shared" si="1"/>
        <v>3599.0501</v>
      </c>
      <c r="L255" s="4">
        <f t="shared" si="2"/>
        <v>2.641321942</v>
      </c>
    </row>
    <row r="256">
      <c r="A256" s="3" t="s">
        <v>65</v>
      </c>
      <c r="B256" s="3">
        <v>82.4</v>
      </c>
      <c r="C256" s="3">
        <v>11.99</v>
      </c>
      <c r="D256" s="3">
        <v>101.0</v>
      </c>
      <c r="E256" s="3">
        <v>10.2</v>
      </c>
      <c r="F256" s="3">
        <v>33.72</v>
      </c>
      <c r="G256" s="3">
        <v>51.6</v>
      </c>
      <c r="H256" s="3">
        <v>0.0</v>
      </c>
      <c r="I256" s="3">
        <v>4.47</v>
      </c>
      <c r="J256" s="3">
        <v>0.0</v>
      </c>
      <c r="K256" s="4">
        <f t="shared" si="1"/>
        <v>3799.5984</v>
      </c>
      <c r="L256" s="4">
        <f t="shared" si="2"/>
        <v>2.684757421</v>
      </c>
    </row>
    <row r="257">
      <c r="A257" s="3" t="s">
        <v>65</v>
      </c>
      <c r="B257" s="3">
        <v>82.4</v>
      </c>
      <c r="C257" s="3">
        <v>14.02</v>
      </c>
      <c r="D257" s="3">
        <v>107.0</v>
      </c>
      <c r="E257" s="3">
        <v>10.7</v>
      </c>
      <c r="F257" s="3">
        <v>36.41</v>
      </c>
      <c r="G257" s="3">
        <v>50.13</v>
      </c>
      <c r="H257" s="3">
        <v>0.0</v>
      </c>
      <c r="I257" s="3">
        <v>3.11</v>
      </c>
      <c r="J257" s="3">
        <v>0.0</v>
      </c>
      <c r="K257" s="4">
        <f t="shared" si="1"/>
        <v>3838.705</v>
      </c>
      <c r="L257" s="4">
        <f t="shared" si="2"/>
        <v>2.982516239</v>
      </c>
    </row>
    <row r="258">
      <c r="A258" s="3" t="s">
        <v>65</v>
      </c>
      <c r="B258" s="3">
        <v>82.4</v>
      </c>
      <c r="C258" s="3">
        <v>15.94</v>
      </c>
      <c r="D258" s="3">
        <v>117.0</v>
      </c>
      <c r="E258" s="3">
        <v>11.7</v>
      </c>
      <c r="F258" s="3">
        <v>38.69</v>
      </c>
      <c r="G258" s="3">
        <v>49.27</v>
      </c>
      <c r="H258" s="3">
        <v>0.0</v>
      </c>
      <c r="I258" s="3">
        <v>2.41</v>
      </c>
      <c r="J258" s="3">
        <v>0.0</v>
      </c>
      <c r="K258" s="4">
        <f t="shared" si="1"/>
        <v>3924.449</v>
      </c>
      <c r="L258" s="4">
        <f t="shared" si="2"/>
        <v>3.488132984</v>
      </c>
    </row>
    <row r="259">
      <c r="A259" s="3" t="s">
        <v>65</v>
      </c>
      <c r="B259" s="3">
        <v>82.4</v>
      </c>
      <c r="C259" s="3">
        <v>17.98</v>
      </c>
      <c r="D259" s="3">
        <v>120.0</v>
      </c>
      <c r="E259" s="3">
        <v>12.0</v>
      </c>
      <c r="F259" s="3">
        <v>39.0</v>
      </c>
      <c r="G259" s="3">
        <v>48.97</v>
      </c>
      <c r="H259" s="3">
        <v>0.0</v>
      </c>
      <c r="I259" s="3">
        <v>1.66</v>
      </c>
      <c r="J259" s="3">
        <v>0.0</v>
      </c>
      <c r="K259" s="4">
        <f t="shared" si="1"/>
        <v>3919.0609</v>
      </c>
      <c r="L259" s="4">
        <f t="shared" si="2"/>
        <v>3.674349638</v>
      </c>
    </row>
    <row r="260">
      <c r="A260" s="3" t="s">
        <v>66</v>
      </c>
      <c r="B260" s="3">
        <v>80.6</v>
      </c>
      <c r="C260" s="3">
        <v>0.39</v>
      </c>
      <c r="D260" s="3">
        <v>17.4</v>
      </c>
      <c r="E260" s="3">
        <v>30.4</v>
      </c>
      <c r="F260" s="3">
        <v>-1.11</v>
      </c>
      <c r="G260" s="3">
        <v>12.25</v>
      </c>
      <c r="H260" s="3">
        <v>0.0</v>
      </c>
      <c r="I260" s="3">
        <v>99.83</v>
      </c>
      <c r="J260" s="3">
        <v>0.0</v>
      </c>
      <c r="K260" s="4">
        <f t="shared" si="1"/>
        <v>151.2946</v>
      </c>
      <c r="L260" s="4">
        <f t="shared" si="2"/>
        <v>2.001128923</v>
      </c>
    </row>
    <row r="261">
      <c r="A261" s="3" t="s">
        <v>66</v>
      </c>
      <c r="B261" s="3">
        <v>80.6</v>
      </c>
      <c r="C261" s="3">
        <v>1.18</v>
      </c>
      <c r="D261" s="3">
        <v>46.3</v>
      </c>
      <c r="E261" s="3">
        <v>37.1</v>
      </c>
      <c r="F261" s="3">
        <v>-2.76</v>
      </c>
      <c r="G261" s="3">
        <v>28.99</v>
      </c>
      <c r="H261" s="3">
        <v>0.0</v>
      </c>
      <c r="I261" s="3">
        <v>60.79</v>
      </c>
      <c r="J261" s="3">
        <v>0.0</v>
      </c>
      <c r="K261" s="4">
        <f t="shared" si="1"/>
        <v>848.0377</v>
      </c>
      <c r="L261" s="4">
        <f t="shared" si="2"/>
        <v>2.52782394</v>
      </c>
    </row>
    <row r="262">
      <c r="A262" s="3" t="s">
        <v>66</v>
      </c>
      <c r="B262" s="3">
        <v>80.6</v>
      </c>
      <c r="C262" s="3">
        <v>1.95</v>
      </c>
      <c r="D262" s="3">
        <v>69.1</v>
      </c>
      <c r="E262" s="3">
        <v>13.1</v>
      </c>
      <c r="F262" s="3">
        <v>-2.63</v>
      </c>
      <c r="G262" s="3">
        <v>34.78</v>
      </c>
      <c r="H262" s="3">
        <v>0.0</v>
      </c>
      <c r="I262" s="3">
        <v>34.2</v>
      </c>
      <c r="J262" s="3">
        <v>0.0</v>
      </c>
      <c r="K262" s="4">
        <f t="shared" si="1"/>
        <v>1216.5653</v>
      </c>
      <c r="L262" s="4">
        <f t="shared" si="2"/>
        <v>3.924828367</v>
      </c>
    </row>
    <row r="263">
      <c r="A263" s="3" t="s">
        <v>66</v>
      </c>
      <c r="B263" s="3">
        <v>80.6</v>
      </c>
      <c r="C263" s="3">
        <v>2.74</v>
      </c>
      <c r="D263" s="3">
        <v>85.2</v>
      </c>
      <c r="E263" s="3">
        <v>6.2</v>
      </c>
      <c r="F263" s="3">
        <v>-0.03</v>
      </c>
      <c r="G263" s="3">
        <v>37.08</v>
      </c>
      <c r="H263" s="3">
        <v>0.0</v>
      </c>
      <c r="I263" s="3">
        <v>27.14</v>
      </c>
      <c r="J263" s="3">
        <v>0.0</v>
      </c>
      <c r="K263" s="4">
        <f t="shared" si="1"/>
        <v>1374.9273</v>
      </c>
      <c r="L263" s="4">
        <f t="shared" si="2"/>
        <v>5.279580964</v>
      </c>
    </row>
    <row r="264">
      <c r="A264" s="3" t="s">
        <v>66</v>
      </c>
      <c r="B264" s="3">
        <v>80.6</v>
      </c>
      <c r="C264" s="3">
        <v>3.53</v>
      </c>
      <c r="D264" s="3">
        <v>93.2</v>
      </c>
      <c r="E264" s="3">
        <v>6.2</v>
      </c>
      <c r="F264" s="3">
        <v>3.84</v>
      </c>
      <c r="G264" s="3">
        <v>41.2</v>
      </c>
      <c r="H264" s="3">
        <v>0.0</v>
      </c>
      <c r="I264" s="3">
        <v>22.68</v>
      </c>
      <c r="J264" s="3">
        <v>0.0</v>
      </c>
      <c r="K264" s="4">
        <f t="shared" si="1"/>
        <v>1712.1856</v>
      </c>
      <c r="L264" s="4">
        <f t="shared" si="2"/>
        <v>5.073188327</v>
      </c>
    </row>
    <row r="265">
      <c r="A265" s="3" t="s">
        <v>66</v>
      </c>
      <c r="B265" s="3">
        <v>80.6</v>
      </c>
      <c r="C265" s="3">
        <v>4.3</v>
      </c>
      <c r="D265" s="3">
        <v>100.0</v>
      </c>
      <c r="E265" s="3">
        <v>12.4</v>
      </c>
      <c r="F265" s="3">
        <v>7.34</v>
      </c>
      <c r="G265" s="3">
        <v>44.37</v>
      </c>
      <c r="H265" s="3">
        <v>0.0</v>
      </c>
      <c r="I265" s="3">
        <v>16.78</v>
      </c>
      <c r="J265" s="3">
        <v>0.0</v>
      </c>
      <c r="K265" s="4">
        <f t="shared" si="1"/>
        <v>2022.5725</v>
      </c>
      <c r="L265" s="4">
        <f t="shared" si="2"/>
        <v>4.944198539</v>
      </c>
    </row>
    <row r="266">
      <c r="A266" s="3" t="s">
        <v>66</v>
      </c>
      <c r="B266" s="3">
        <v>80.6</v>
      </c>
      <c r="C266" s="3">
        <v>5.09</v>
      </c>
      <c r="D266" s="3">
        <v>108.0</v>
      </c>
      <c r="E266" s="3">
        <v>6.2</v>
      </c>
      <c r="F266" s="3">
        <v>9.92</v>
      </c>
      <c r="G266" s="3">
        <v>45.35</v>
      </c>
      <c r="H266" s="3">
        <v>0.0</v>
      </c>
      <c r="I266" s="3">
        <v>11.52</v>
      </c>
      <c r="J266" s="3">
        <v>0.0</v>
      </c>
      <c r="K266" s="4">
        <f t="shared" si="1"/>
        <v>2155.0289</v>
      </c>
      <c r="L266" s="4">
        <f t="shared" si="2"/>
        <v>5.412456418</v>
      </c>
    </row>
    <row r="267">
      <c r="A267" s="3" t="s">
        <v>66</v>
      </c>
      <c r="B267" s="3">
        <v>80.6</v>
      </c>
      <c r="C267" s="3">
        <v>5.87</v>
      </c>
      <c r="D267" s="3">
        <v>112.0</v>
      </c>
      <c r="E267" s="3">
        <v>6.2</v>
      </c>
      <c r="F267" s="3">
        <v>12.15</v>
      </c>
      <c r="G267" s="3">
        <v>44.94</v>
      </c>
      <c r="H267" s="3">
        <v>0.0</v>
      </c>
      <c r="I267" s="3">
        <v>9.36</v>
      </c>
      <c r="J267" s="3">
        <v>0.0</v>
      </c>
      <c r="K267" s="4">
        <f t="shared" si="1"/>
        <v>2167.2261</v>
      </c>
      <c r="L267" s="4">
        <f t="shared" si="2"/>
        <v>5.788043989</v>
      </c>
    </row>
    <row r="268">
      <c r="A268" s="3" t="s">
        <v>66</v>
      </c>
      <c r="B268" s="3">
        <v>80.6</v>
      </c>
      <c r="C268" s="3">
        <v>6.4</v>
      </c>
      <c r="D268" s="3">
        <v>113.0</v>
      </c>
      <c r="E268" s="3">
        <v>24.9</v>
      </c>
      <c r="F268" s="3">
        <v>13.65</v>
      </c>
      <c r="G268" s="3">
        <v>45.12</v>
      </c>
      <c r="H268" s="3">
        <v>0.0</v>
      </c>
      <c r="I268" s="3">
        <v>8.08</v>
      </c>
      <c r="J268" s="3">
        <v>0.0</v>
      </c>
      <c r="K268" s="4">
        <f t="shared" si="1"/>
        <v>2222.1369</v>
      </c>
      <c r="L268" s="4">
        <f t="shared" si="2"/>
        <v>5.746270628</v>
      </c>
    </row>
    <row r="269">
      <c r="A269" s="3" t="s">
        <v>66</v>
      </c>
      <c r="B269" s="3">
        <v>80.6</v>
      </c>
      <c r="C269" s="3">
        <v>7.44</v>
      </c>
      <c r="D269" s="3">
        <v>113.0</v>
      </c>
      <c r="E269" s="3">
        <v>15.5</v>
      </c>
      <c r="F269" s="3">
        <v>17.06</v>
      </c>
      <c r="G269" s="3">
        <v>45.76</v>
      </c>
      <c r="H269" s="3">
        <v>0.0</v>
      </c>
      <c r="I269" s="3">
        <v>6.21</v>
      </c>
      <c r="J269" s="3">
        <v>0.0</v>
      </c>
      <c r="K269" s="4">
        <f t="shared" si="1"/>
        <v>2385.0212</v>
      </c>
      <c r="L269" s="4">
        <f t="shared" si="2"/>
        <v>5.353830817</v>
      </c>
    </row>
    <row r="270">
      <c r="A270" s="3" t="s">
        <v>66</v>
      </c>
      <c r="B270" s="3">
        <v>80.6</v>
      </c>
      <c r="C270" s="3">
        <v>8.21</v>
      </c>
      <c r="D270" s="3">
        <v>112.0</v>
      </c>
      <c r="E270" s="3">
        <v>13.1</v>
      </c>
      <c r="F270" s="3">
        <v>19.87</v>
      </c>
      <c r="G270" s="3">
        <v>46.01</v>
      </c>
      <c r="H270" s="3">
        <v>0.0</v>
      </c>
      <c r="I270" s="3">
        <v>4.32</v>
      </c>
      <c r="J270" s="3">
        <v>0.0</v>
      </c>
      <c r="K270" s="4">
        <f t="shared" si="1"/>
        <v>2511.737</v>
      </c>
      <c r="L270" s="4">
        <f t="shared" si="2"/>
        <v>4.994153448</v>
      </c>
    </row>
    <row r="271">
      <c r="A271" s="3" t="s">
        <v>66</v>
      </c>
      <c r="B271" s="3">
        <v>80.6</v>
      </c>
      <c r="C271" s="3">
        <v>9.0</v>
      </c>
      <c r="D271" s="3">
        <v>111.0</v>
      </c>
      <c r="E271" s="3">
        <v>26.4</v>
      </c>
      <c r="F271" s="3">
        <v>22.99</v>
      </c>
      <c r="G271" s="3">
        <v>44.52</v>
      </c>
      <c r="H271" s="3">
        <v>0.0</v>
      </c>
      <c r="I271" s="3">
        <v>3.01</v>
      </c>
      <c r="J271" s="3">
        <v>0.0</v>
      </c>
      <c r="K271" s="4">
        <f t="shared" si="1"/>
        <v>2510.5705</v>
      </c>
      <c r="L271" s="4">
        <f t="shared" si="2"/>
        <v>4.907649476</v>
      </c>
    </row>
    <row r="272">
      <c r="A272" s="3" t="s">
        <v>66</v>
      </c>
      <c r="B272" s="3">
        <v>80.6</v>
      </c>
      <c r="C272" s="3">
        <v>9.72</v>
      </c>
      <c r="D272" s="3">
        <v>111.0</v>
      </c>
      <c r="E272" s="3">
        <v>19.4</v>
      </c>
      <c r="F272" s="3">
        <v>26.1</v>
      </c>
      <c r="G272" s="3">
        <v>43.69</v>
      </c>
      <c r="H272" s="3">
        <v>0.0</v>
      </c>
      <c r="I272" s="3">
        <v>2.45</v>
      </c>
      <c r="J272" s="3">
        <v>0.0</v>
      </c>
      <c r="K272" s="4">
        <f t="shared" si="1"/>
        <v>2590.0261</v>
      </c>
      <c r="L272" s="4">
        <f t="shared" si="2"/>
        <v>4.757094919</v>
      </c>
    </row>
    <row r="273">
      <c r="A273" s="3" t="s">
        <v>66</v>
      </c>
      <c r="B273" s="3">
        <v>80.6</v>
      </c>
      <c r="C273" s="3">
        <v>11.79</v>
      </c>
      <c r="D273" s="3">
        <v>113.0</v>
      </c>
      <c r="E273" s="3">
        <v>12.5</v>
      </c>
      <c r="F273" s="3">
        <v>34.23</v>
      </c>
      <c r="G273" s="3">
        <v>40.77</v>
      </c>
      <c r="H273" s="3">
        <v>0.0</v>
      </c>
      <c r="I273" s="3">
        <v>1.17</v>
      </c>
      <c r="J273" s="3">
        <v>0.0</v>
      </c>
      <c r="K273" s="4">
        <f t="shared" si="1"/>
        <v>2833.8858</v>
      </c>
      <c r="L273" s="4">
        <f t="shared" si="2"/>
        <v>4.505827299</v>
      </c>
    </row>
    <row r="274">
      <c r="A274" s="3" t="s">
        <v>66</v>
      </c>
      <c r="B274" s="3">
        <v>80.6</v>
      </c>
      <c r="C274" s="3">
        <v>17.63</v>
      </c>
      <c r="D274" s="3">
        <v>118.0</v>
      </c>
      <c r="E274" s="3">
        <v>14.6</v>
      </c>
      <c r="F274" s="3">
        <v>36.03</v>
      </c>
      <c r="G274" s="3">
        <v>33.12</v>
      </c>
      <c r="H274" s="3">
        <v>0.0</v>
      </c>
      <c r="I274" s="3">
        <v>0.0</v>
      </c>
      <c r="J274" s="3">
        <v>0.0</v>
      </c>
      <c r="K274" s="4">
        <f t="shared" si="1"/>
        <v>2395.0953</v>
      </c>
      <c r="L274" s="4">
        <f t="shared" si="2"/>
        <v>5.813547377</v>
      </c>
    </row>
    <row r="275">
      <c r="A275" s="3" t="s">
        <v>67</v>
      </c>
      <c r="B275" s="3">
        <v>53.3</v>
      </c>
      <c r="C275" s="3">
        <v>0.22</v>
      </c>
      <c r="D275" s="3">
        <v>12.4</v>
      </c>
      <c r="E275" s="3">
        <v>7.0</v>
      </c>
      <c r="F275" s="3">
        <v>0.92</v>
      </c>
      <c r="G275" s="3">
        <v>38.29</v>
      </c>
      <c r="H275" s="3">
        <v>0.0</v>
      </c>
      <c r="I275" s="3">
        <v>1846.57</v>
      </c>
      <c r="J275" s="3">
        <v>0.0</v>
      </c>
      <c r="K275" s="4">
        <f t="shared" si="1"/>
        <v>1466.9705</v>
      </c>
      <c r="L275" s="4">
        <f t="shared" si="2"/>
        <v>0.1048146503</v>
      </c>
    </row>
    <row r="276">
      <c r="A276" s="3" t="s">
        <v>67</v>
      </c>
      <c r="B276" s="3">
        <v>53.3</v>
      </c>
      <c r="C276" s="3">
        <v>0.78</v>
      </c>
      <c r="D276" s="3">
        <v>37.5</v>
      </c>
      <c r="E276" s="3">
        <v>4.0</v>
      </c>
      <c r="F276" s="3">
        <v>2.67</v>
      </c>
      <c r="G276" s="3">
        <v>85.69</v>
      </c>
      <c r="H276" s="3">
        <v>0.0</v>
      </c>
      <c r="I276" s="3">
        <v>705.48</v>
      </c>
      <c r="J276" s="3">
        <v>0.0</v>
      </c>
      <c r="K276" s="4">
        <f t="shared" si="1"/>
        <v>7349.905</v>
      </c>
      <c r="L276" s="4">
        <f t="shared" si="2"/>
        <v>0.1913290036</v>
      </c>
    </row>
    <row r="277">
      <c r="A277" s="3" t="s">
        <v>67</v>
      </c>
      <c r="B277" s="3">
        <v>53.3</v>
      </c>
      <c r="C277" s="3">
        <v>1.33</v>
      </c>
      <c r="D277" s="3">
        <v>56.5</v>
      </c>
      <c r="E277" s="3">
        <v>4.0</v>
      </c>
      <c r="F277" s="3">
        <v>3.9</v>
      </c>
      <c r="G277" s="3">
        <v>104.0</v>
      </c>
      <c r="H277" s="3">
        <v>0.0</v>
      </c>
      <c r="I277" s="3">
        <v>403.21</v>
      </c>
      <c r="J277" s="3">
        <v>0.0</v>
      </c>
      <c r="K277" s="4">
        <f t="shared" si="1"/>
        <v>10831.21</v>
      </c>
      <c r="L277" s="4">
        <f t="shared" si="2"/>
        <v>0.2947269973</v>
      </c>
    </row>
    <row r="278">
      <c r="A278" s="3" t="s">
        <v>67</v>
      </c>
      <c r="B278" s="3">
        <v>53.3</v>
      </c>
      <c r="C278" s="3">
        <v>2.33</v>
      </c>
      <c r="D278" s="3">
        <v>69.1</v>
      </c>
      <c r="E278" s="3">
        <v>4.0</v>
      </c>
      <c r="F278" s="3">
        <v>5.34</v>
      </c>
      <c r="G278" s="3">
        <v>114.45</v>
      </c>
      <c r="H278" s="3">
        <v>0.0</v>
      </c>
      <c r="I278" s="3">
        <v>121.25</v>
      </c>
      <c r="J278" s="3">
        <v>0.0</v>
      </c>
      <c r="K278" s="4">
        <f t="shared" si="1"/>
        <v>13127.3181</v>
      </c>
      <c r="L278" s="4">
        <f t="shared" si="2"/>
        <v>0.3637308065</v>
      </c>
    </row>
    <row r="279">
      <c r="A279" s="3" t="s">
        <v>67</v>
      </c>
      <c r="B279" s="3">
        <v>53.3</v>
      </c>
      <c r="C279" s="3">
        <v>3.44</v>
      </c>
      <c r="D279" s="3">
        <v>85.5</v>
      </c>
      <c r="E279" s="3">
        <v>7.5</v>
      </c>
      <c r="F279" s="3">
        <v>7.09</v>
      </c>
      <c r="G279" s="3">
        <v>107.32</v>
      </c>
      <c r="H279" s="3">
        <v>0.0</v>
      </c>
      <c r="I279" s="3">
        <v>35.98</v>
      </c>
      <c r="J279" s="3">
        <v>0.0</v>
      </c>
      <c r="K279" s="4">
        <f t="shared" si="1"/>
        <v>11567.8505</v>
      </c>
      <c r="L279" s="4">
        <f t="shared" si="2"/>
        <v>0.6319454077</v>
      </c>
    </row>
    <row r="280">
      <c r="A280" s="3" t="s">
        <v>67</v>
      </c>
      <c r="B280" s="3">
        <v>53.3</v>
      </c>
      <c r="C280" s="3">
        <v>3.78</v>
      </c>
      <c r="D280" s="3">
        <v>87.1</v>
      </c>
      <c r="E280" s="3">
        <v>8.4</v>
      </c>
      <c r="F280" s="3">
        <v>7.29</v>
      </c>
      <c r="G280" s="3">
        <v>103.7</v>
      </c>
      <c r="H280" s="3">
        <v>0.0</v>
      </c>
      <c r="I280" s="3">
        <v>25.02</v>
      </c>
      <c r="J280" s="3">
        <v>0.0</v>
      </c>
      <c r="K280" s="4">
        <f t="shared" si="1"/>
        <v>10806.8341</v>
      </c>
      <c r="L280" s="4">
        <f t="shared" si="2"/>
        <v>0.7020011531</v>
      </c>
    </row>
    <row r="281">
      <c r="A281" s="3" t="s">
        <v>67</v>
      </c>
      <c r="B281" s="3">
        <v>53.3</v>
      </c>
      <c r="C281" s="3">
        <v>4.77</v>
      </c>
      <c r="D281" s="3">
        <v>105.0</v>
      </c>
      <c r="E281" s="3">
        <v>4.0</v>
      </c>
      <c r="F281" s="3">
        <v>8.42</v>
      </c>
      <c r="G281" s="3">
        <v>92.03</v>
      </c>
      <c r="H281" s="3">
        <v>0.0</v>
      </c>
      <c r="I281" s="3">
        <v>8.51</v>
      </c>
      <c r="J281" s="3">
        <v>0.0</v>
      </c>
      <c r="K281" s="4">
        <f t="shared" si="1"/>
        <v>8540.4173</v>
      </c>
      <c r="L281" s="4">
        <f t="shared" si="2"/>
        <v>1.290920527</v>
      </c>
    </row>
    <row r="282">
      <c r="A282" s="3" t="s">
        <v>67</v>
      </c>
      <c r="B282" s="3">
        <v>53.3</v>
      </c>
      <c r="C282" s="3">
        <v>5.44</v>
      </c>
      <c r="D282" s="3">
        <v>112.0</v>
      </c>
      <c r="E282" s="3">
        <v>6.7</v>
      </c>
      <c r="F282" s="3">
        <v>8.94</v>
      </c>
      <c r="G282" s="3">
        <v>86.43</v>
      </c>
      <c r="H282" s="3">
        <v>0.0</v>
      </c>
      <c r="I282" s="3">
        <v>6.64</v>
      </c>
      <c r="J282" s="3">
        <v>0.0</v>
      </c>
      <c r="K282" s="4">
        <f t="shared" si="1"/>
        <v>7550.0685</v>
      </c>
      <c r="L282" s="4">
        <f t="shared" si="2"/>
        <v>1.66144188</v>
      </c>
    </row>
    <row r="283">
      <c r="A283" s="3" t="s">
        <v>67</v>
      </c>
      <c r="B283" s="3">
        <v>53.3</v>
      </c>
      <c r="C283" s="3">
        <v>6.11</v>
      </c>
      <c r="D283" s="3">
        <v>116.0</v>
      </c>
      <c r="E283" s="3">
        <v>4.0</v>
      </c>
      <c r="F283" s="3">
        <v>9.45</v>
      </c>
      <c r="G283" s="3">
        <v>81.42</v>
      </c>
      <c r="H283" s="3">
        <v>0.0</v>
      </c>
      <c r="I283" s="3">
        <v>6.17</v>
      </c>
      <c r="J283" s="3">
        <v>0.0</v>
      </c>
      <c r="K283" s="4">
        <f t="shared" si="1"/>
        <v>6718.5189</v>
      </c>
      <c r="L283" s="4">
        <f t="shared" si="2"/>
        <v>2.002822378</v>
      </c>
    </row>
    <row r="284">
      <c r="A284" s="3" t="s">
        <v>67</v>
      </c>
      <c r="B284" s="3">
        <v>53.3</v>
      </c>
      <c r="C284" s="3">
        <v>7.22</v>
      </c>
      <c r="D284" s="3">
        <v>124.0</v>
      </c>
      <c r="E284" s="3">
        <v>4.0</v>
      </c>
      <c r="F284" s="3">
        <v>10.47</v>
      </c>
      <c r="G284" s="3">
        <v>76.23</v>
      </c>
      <c r="H284" s="3">
        <v>0.0</v>
      </c>
      <c r="I284" s="3">
        <v>5.4</v>
      </c>
      <c r="J284" s="3">
        <v>0.0</v>
      </c>
      <c r="K284" s="4">
        <f t="shared" si="1"/>
        <v>5920.6338</v>
      </c>
      <c r="L284" s="4">
        <f t="shared" si="2"/>
        <v>2.597019258</v>
      </c>
    </row>
    <row r="285">
      <c r="A285" s="3" t="s">
        <v>67</v>
      </c>
      <c r="B285" s="3">
        <v>53.3</v>
      </c>
      <c r="C285" s="3">
        <v>9.33</v>
      </c>
      <c r="D285" s="3">
        <v>135.0</v>
      </c>
      <c r="E285" s="3">
        <v>4.0</v>
      </c>
      <c r="F285" s="3">
        <v>11.28</v>
      </c>
      <c r="G285" s="3">
        <v>68.45</v>
      </c>
      <c r="H285" s="3">
        <v>0.0</v>
      </c>
      <c r="I285" s="3">
        <v>2.8</v>
      </c>
      <c r="J285" s="3">
        <v>0.0</v>
      </c>
      <c r="K285" s="4">
        <f t="shared" si="1"/>
        <v>4812.6409</v>
      </c>
      <c r="L285" s="4">
        <f t="shared" si="2"/>
        <v>3.786902114</v>
      </c>
    </row>
    <row r="286">
      <c r="A286" s="3" t="s">
        <v>67</v>
      </c>
      <c r="B286" s="3">
        <v>53.3</v>
      </c>
      <c r="C286" s="3">
        <v>11.1</v>
      </c>
      <c r="D286" s="3">
        <v>140.0</v>
      </c>
      <c r="E286" s="3">
        <v>4.0</v>
      </c>
      <c r="F286" s="3">
        <v>11.8</v>
      </c>
      <c r="G286" s="3">
        <v>64.24</v>
      </c>
      <c r="H286" s="3">
        <v>0.0</v>
      </c>
      <c r="I286" s="3">
        <v>1.77</v>
      </c>
      <c r="J286" s="3">
        <v>0.0</v>
      </c>
      <c r="K286" s="4">
        <f t="shared" si="1"/>
        <v>4266.0176</v>
      </c>
      <c r="L286" s="4">
        <f t="shared" si="2"/>
        <v>4.594448931</v>
      </c>
    </row>
    <row r="287">
      <c r="A287" s="3" t="s">
        <v>67</v>
      </c>
      <c r="B287" s="3">
        <v>53.3</v>
      </c>
      <c r="C287" s="3">
        <v>15.55</v>
      </c>
      <c r="D287" s="3">
        <v>144.0</v>
      </c>
      <c r="E287" s="3">
        <v>5.0</v>
      </c>
      <c r="F287" s="3">
        <v>11.28</v>
      </c>
      <c r="G287" s="3">
        <v>55.43</v>
      </c>
      <c r="H287" s="3">
        <v>0.0</v>
      </c>
      <c r="I287" s="3">
        <v>0.0</v>
      </c>
      <c r="J287" s="3">
        <v>0.0</v>
      </c>
      <c r="K287" s="4">
        <f t="shared" si="1"/>
        <v>3199.7233</v>
      </c>
      <c r="L287" s="4">
        <f t="shared" si="2"/>
        <v>6.480560366</v>
      </c>
    </row>
    <row r="288">
      <c r="A288" s="3" t="s">
        <v>68</v>
      </c>
      <c r="B288" s="3">
        <v>80.1</v>
      </c>
      <c r="C288" s="3">
        <v>1.95</v>
      </c>
      <c r="D288" s="3">
        <v>32.0</v>
      </c>
      <c r="E288" s="3">
        <v>10.0</v>
      </c>
      <c r="F288" s="3">
        <v>7.85</v>
      </c>
      <c r="G288" s="3">
        <v>23.82</v>
      </c>
      <c r="H288" s="3">
        <v>0.0</v>
      </c>
      <c r="I288" s="3">
        <v>23.44</v>
      </c>
      <c r="J288" s="3">
        <v>0.0</v>
      </c>
      <c r="K288" s="4">
        <f t="shared" si="1"/>
        <v>629.0149</v>
      </c>
      <c r="L288" s="4">
        <f t="shared" si="2"/>
        <v>1.627942359</v>
      </c>
    </row>
    <row r="289">
      <c r="A289" s="3" t="s">
        <v>68</v>
      </c>
      <c r="B289" s="3">
        <v>80.1</v>
      </c>
      <c r="C289" s="3">
        <v>3.88</v>
      </c>
      <c r="D289" s="3">
        <v>57.6</v>
      </c>
      <c r="E289" s="3">
        <v>10.0</v>
      </c>
      <c r="F289" s="3">
        <v>15.1</v>
      </c>
      <c r="G289" s="3">
        <v>35.57</v>
      </c>
      <c r="H289" s="3">
        <v>0.0</v>
      </c>
      <c r="I289" s="3">
        <v>10.77</v>
      </c>
      <c r="J289" s="3">
        <v>0.0</v>
      </c>
      <c r="K289" s="4">
        <f t="shared" si="1"/>
        <v>1493.2349</v>
      </c>
      <c r="L289" s="4">
        <f t="shared" si="2"/>
        <v>2.22186074</v>
      </c>
    </row>
    <row r="290">
      <c r="A290" s="3" t="s">
        <v>68</v>
      </c>
      <c r="B290" s="3">
        <v>80.1</v>
      </c>
      <c r="C290" s="3">
        <v>5.83</v>
      </c>
      <c r="D290" s="3">
        <v>70.9</v>
      </c>
      <c r="E290" s="3">
        <v>7.0</v>
      </c>
      <c r="F290" s="3">
        <v>20.84</v>
      </c>
      <c r="G290" s="3">
        <v>33.21</v>
      </c>
      <c r="H290" s="3">
        <v>0.0</v>
      </c>
      <c r="I290" s="3">
        <v>4.16</v>
      </c>
      <c r="J290" s="3">
        <v>0.0</v>
      </c>
      <c r="K290" s="4">
        <f t="shared" si="1"/>
        <v>1537.2097</v>
      </c>
      <c r="L290" s="4">
        <f t="shared" si="2"/>
        <v>3.270087354</v>
      </c>
    </row>
    <row r="291">
      <c r="A291" s="3" t="s">
        <v>68</v>
      </c>
      <c r="B291" s="3">
        <v>80.1</v>
      </c>
      <c r="C291" s="3">
        <v>7.78</v>
      </c>
      <c r="D291" s="3">
        <v>77.0</v>
      </c>
      <c r="E291" s="3">
        <v>6.0</v>
      </c>
      <c r="F291" s="3">
        <v>25.68</v>
      </c>
      <c r="G291" s="3">
        <v>32.58</v>
      </c>
      <c r="H291" s="3">
        <v>0.0</v>
      </c>
      <c r="I291" s="3">
        <v>2.09</v>
      </c>
      <c r="J291" s="3">
        <v>0.0</v>
      </c>
      <c r="K291" s="4">
        <f t="shared" si="1"/>
        <v>1720.9188</v>
      </c>
      <c r="L291" s="4">
        <f t="shared" si="2"/>
        <v>3.445252617</v>
      </c>
    </row>
    <row r="292">
      <c r="A292" s="3" t="s">
        <v>68</v>
      </c>
      <c r="B292" s="3">
        <v>80.1</v>
      </c>
      <c r="C292" s="3">
        <v>9.72</v>
      </c>
      <c r="D292" s="3">
        <v>82.5</v>
      </c>
      <c r="E292" s="3">
        <v>6.0</v>
      </c>
      <c r="F292" s="3">
        <v>29.5</v>
      </c>
      <c r="G292" s="3">
        <v>31.97</v>
      </c>
      <c r="H292" s="3">
        <v>0.0</v>
      </c>
      <c r="I292" s="3">
        <v>1.23</v>
      </c>
      <c r="J292" s="3">
        <v>0.0</v>
      </c>
      <c r="K292" s="4">
        <f t="shared" si="1"/>
        <v>1892.3309</v>
      </c>
      <c r="L292" s="4">
        <f t="shared" si="2"/>
        <v>3.596754669</v>
      </c>
    </row>
    <row r="293">
      <c r="A293" s="3" t="s">
        <v>68</v>
      </c>
      <c r="B293" s="3">
        <v>80.1</v>
      </c>
      <c r="C293" s="3">
        <v>11.66</v>
      </c>
      <c r="D293" s="3">
        <v>84.3</v>
      </c>
      <c r="E293" s="3">
        <v>6.0</v>
      </c>
      <c r="F293" s="3">
        <v>30.81</v>
      </c>
      <c r="G293" s="3">
        <v>29.08</v>
      </c>
      <c r="H293" s="3">
        <v>0.0</v>
      </c>
      <c r="I293" s="3">
        <v>0.46</v>
      </c>
      <c r="J293" s="3">
        <v>0.0</v>
      </c>
      <c r="K293" s="4">
        <f t="shared" si="1"/>
        <v>1794.9025</v>
      </c>
      <c r="L293" s="4">
        <f t="shared" si="2"/>
        <v>3.959262411</v>
      </c>
    </row>
    <row r="294">
      <c r="A294" s="3" t="s">
        <v>68</v>
      </c>
      <c r="B294" s="3">
        <v>80.1</v>
      </c>
      <c r="C294" s="3">
        <v>13.59</v>
      </c>
      <c r="D294" s="3">
        <v>83.9</v>
      </c>
      <c r="E294" s="3">
        <v>6.0</v>
      </c>
      <c r="F294" s="3">
        <v>28.8</v>
      </c>
      <c r="G294" s="3">
        <v>26.58</v>
      </c>
      <c r="H294" s="3">
        <v>0.0</v>
      </c>
      <c r="I294" s="3">
        <v>0.0</v>
      </c>
      <c r="J294" s="3">
        <v>0.0</v>
      </c>
      <c r="K294" s="4">
        <f t="shared" si="1"/>
        <v>1535.9364</v>
      </c>
      <c r="L294" s="4">
        <f t="shared" si="2"/>
        <v>4.583008776</v>
      </c>
    </row>
    <row r="295">
      <c r="A295" s="3" t="s">
        <v>69</v>
      </c>
      <c r="B295" s="3">
        <v>96.8</v>
      </c>
      <c r="C295" s="3">
        <v>0.47</v>
      </c>
      <c r="D295" s="3">
        <v>15.3</v>
      </c>
      <c r="E295" s="3">
        <v>4.4</v>
      </c>
      <c r="F295" s="3">
        <v>0.25</v>
      </c>
      <c r="G295" s="3">
        <v>12.99</v>
      </c>
      <c r="H295" s="3">
        <v>0.0</v>
      </c>
      <c r="I295" s="3">
        <v>104.59</v>
      </c>
      <c r="J295" s="3">
        <v>0.0</v>
      </c>
      <c r="K295" s="4">
        <f t="shared" si="1"/>
        <v>168.8026</v>
      </c>
      <c r="L295" s="4">
        <f t="shared" si="2"/>
        <v>1.386767739</v>
      </c>
    </row>
    <row r="296">
      <c r="A296" s="3" t="s">
        <v>69</v>
      </c>
      <c r="B296" s="3">
        <v>96.8</v>
      </c>
      <c r="C296" s="3">
        <v>1.41</v>
      </c>
      <c r="D296" s="3">
        <v>41.0</v>
      </c>
      <c r="E296" s="3">
        <v>4.36</v>
      </c>
      <c r="F296" s="3">
        <v>0.88</v>
      </c>
      <c r="G296" s="3">
        <v>32.88</v>
      </c>
      <c r="H296" s="3">
        <v>0.0</v>
      </c>
      <c r="I296" s="3">
        <v>69.17</v>
      </c>
      <c r="J296" s="3">
        <v>0.0</v>
      </c>
      <c r="K296" s="4">
        <f t="shared" si="1"/>
        <v>1081.8688</v>
      </c>
      <c r="L296" s="4">
        <f t="shared" si="2"/>
        <v>1.553792844</v>
      </c>
    </row>
    <row r="297">
      <c r="A297" s="3" t="s">
        <v>69</v>
      </c>
      <c r="B297" s="3">
        <v>96.8</v>
      </c>
      <c r="C297" s="3">
        <v>2.35</v>
      </c>
      <c r="D297" s="3">
        <v>60.7</v>
      </c>
      <c r="E297" s="3">
        <v>4.4</v>
      </c>
      <c r="F297" s="3">
        <v>1.88</v>
      </c>
      <c r="G297" s="3">
        <v>41.13</v>
      </c>
      <c r="H297" s="3">
        <v>0.0</v>
      </c>
      <c r="I297" s="3">
        <v>36.87</v>
      </c>
      <c r="J297" s="3">
        <v>0.0</v>
      </c>
      <c r="K297" s="4">
        <f t="shared" si="1"/>
        <v>1695.2113</v>
      </c>
      <c r="L297" s="4">
        <f t="shared" si="2"/>
        <v>2.173469467</v>
      </c>
    </row>
    <row r="298">
      <c r="A298" s="3" t="s">
        <v>69</v>
      </c>
      <c r="B298" s="3">
        <v>96.8</v>
      </c>
      <c r="C298" s="3">
        <v>3.29</v>
      </c>
      <c r="D298" s="3">
        <v>74.9</v>
      </c>
      <c r="E298" s="3">
        <v>4.4</v>
      </c>
      <c r="F298" s="3">
        <v>3.41</v>
      </c>
      <c r="G298" s="3">
        <v>42.43</v>
      </c>
      <c r="H298" s="3">
        <v>0.0</v>
      </c>
      <c r="I298" s="3">
        <v>24.85</v>
      </c>
      <c r="J298" s="3">
        <v>0.0</v>
      </c>
      <c r="K298" s="4">
        <f t="shared" si="1"/>
        <v>1811.933</v>
      </c>
      <c r="L298" s="4">
        <f t="shared" si="2"/>
        <v>3.096146491</v>
      </c>
    </row>
    <row r="299">
      <c r="A299" s="3" t="s">
        <v>69</v>
      </c>
      <c r="B299" s="3">
        <v>96.8</v>
      </c>
      <c r="C299" s="3">
        <v>4.22</v>
      </c>
      <c r="D299" s="3">
        <v>83.0</v>
      </c>
      <c r="E299" s="3">
        <v>6.28</v>
      </c>
      <c r="F299" s="3">
        <v>5.43</v>
      </c>
      <c r="G299" s="3">
        <v>44.37</v>
      </c>
      <c r="H299" s="3">
        <v>0.0</v>
      </c>
      <c r="I299" s="3">
        <v>21.2</v>
      </c>
      <c r="J299" s="3">
        <v>0.0</v>
      </c>
      <c r="K299" s="4">
        <f t="shared" si="1"/>
        <v>1998.1818</v>
      </c>
      <c r="L299" s="4">
        <f t="shared" si="2"/>
        <v>3.447634244</v>
      </c>
    </row>
    <row r="300">
      <c r="A300" s="3" t="s">
        <v>69</v>
      </c>
      <c r="B300" s="3">
        <v>96.8</v>
      </c>
      <c r="C300" s="3">
        <v>5.17</v>
      </c>
      <c r="D300" s="3">
        <v>86.8</v>
      </c>
      <c r="E300" s="3">
        <v>4.4</v>
      </c>
      <c r="F300" s="3">
        <v>7.8</v>
      </c>
      <c r="G300" s="3">
        <v>46.69</v>
      </c>
      <c r="H300" s="3">
        <v>0.0</v>
      </c>
      <c r="I300" s="3">
        <v>16.81</v>
      </c>
      <c r="J300" s="3">
        <v>0.0</v>
      </c>
      <c r="K300" s="4">
        <f t="shared" si="1"/>
        <v>2240.7961</v>
      </c>
      <c r="L300" s="4">
        <f t="shared" si="2"/>
        <v>3.362305031</v>
      </c>
    </row>
    <row r="301">
      <c r="A301" s="3" t="s">
        <v>69</v>
      </c>
      <c r="B301" s="3">
        <v>96.8</v>
      </c>
      <c r="C301" s="3">
        <v>6.11</v>
      </c>
      <c r="D301" s="3">
        <v>89.4</v>
      </c>
      <c r="E301" s="3">
        <v>4.4</v>
      </c>
      <c r="F301" s="3">
        <v>10.44</v>
      </c>
      <c r="G301" s="3">
        <v>48.85</v>
      </c>
      <c r="H301" s="3">
        <v>0.0</v>
      </c>
      <c r="I301" s="3">
        <v>13.72</v>
      </c>
      <c r="J301" s="3">
        <v>0.0</v>
      </c>
      <c r="K301" s="4">
        <f t="shared" si="1"/>
        <v>2495.3161</v>
      </c>
      <c r="L301" s="4">
        <f t="shared" si="2"/>
        <v>3.202944909</v>
      </c>
    </row>
    <row r="302">
      <c r="A302" s="3" t="s">
        <v>69</v>
      </c>
      <c r="B302" s="3">
        <v>96.8</v>
      </c>
      <c r="C302" s="3">
        <v>7.05</v>
      </c>
      <c r="D302" s="3">
        <v>92.5</v>
      </c>
      <c r="E302" s="3">
        <v>4.4</v>
      </c>
      <c r="F302" s="3">
        <v>13.15</v>
      </c>
      <c r="G302" s="3">
        <v>49.34</v>
      </c>
      <c r="H302" s="3">
        <v>0.0</v>
      </c>
      <c r="I302" s="3">
        <v>10.54</v>
      </c>
      <c r="J302" s="3">
        <v>0.0</v>
      </c>
      <c r="K302" s="4">
        <f t="shared" si="1"/>
        <v>2607.3581</v>
      </c>
      <c r="L302" s="4">
        <f t="shared" si="2"/>
        <v>3.281578392</v>
      </c>
    </row>
    <row r="303">
      <c r="A303" s="3" t="s">
        <v>69</v>
      </c>
      <c r="B303" s="3">
        <v>96.8</v>
      </c>
      <c r="C303" s="3">
        <v>7.99</v>
      </c>
      <c r="D303" s="3">
        <v>94.7</v>
      </c>
      <c r="E303" s="3">
        <v>4.4</v>
      </c>
      <c r="F303" s="3">
        <v>16.07</v>
      </c>
      <c r="G303" s="3">
        <v>50.15</v>
      </c>
      <c r="H303" s="3">
        <v>0.0</v>
      </c>
      <c r="I303" s="3">
        <v>8.66</v>
      </c>
      <c r="J303" s="3">
        <v>0.0</v>
      </c>
      <c r="K303" s="4">
        <f t="shared" si="1"/>
        <v>2773.2674</v>
      </c>
      <c r="L303" s="4">
        <f t="shared" si="2"/>
        <v>3.233763178</v>
      </c>
    </row>
    <row r="304">
      <c r="A304" s="3" t="s">
        <v>69</v>
      </c>
      <c r="B304" s="3">
        <v>96.8</v>
      </c>
      <c r="C304" s="3">
        <v>8.92</v>
      </c>
      <c r="D304" s="3">
        <v>96.3</v>
      </c>
      <c r="E304" s="3">
        <v>4.4</v>
      </c>
      <c r="F304" s="3">
        <v>18.98</v>
      </c>
      <c r="G304" s="3">
        <v>49.17</v>
      </c>
      <c r="H304" s="3">
        <v>0.0</v>
      </c>
      <c r="I304" s="3">
        <v>6.85</v>
      </c>
      <c r="J304" s="3">
        <v>0.0</v>
      </c>
      <c r="K304" s="4">
        <f t="shared" si="1"/>
        <v>2777.9293</v>
      </c>
      <c r="L304" s="4">
        <f t="shared" si="2"/>
        <v>3.3383463</v>
      </c>
    </row>
    <row r="305">
      <c r="A305" s="3" t="s">
        <v>69</v>
      </c>
      <c r="B305" s="3">
        <v>96.8</v>
      </c>
      <c r="C305" s="3">
        <v>9.87</v>
      </c>
      <c r="D305" s="3">
        <v>97.8</v>
      </c>
      <c r="E305" s="3">
        <v>4.4</v>
      </c>
      <c r="F305" s="3">
        <v>21.99</v>
      </c>
      <c r="G305" s="3">
        <v>49.76</v>
      </c>
      <c r="H305" s="3">
        <v>0.0</v>
      </c>
      <c r="I305" s="3">
        <v>6.33</v>
      </c>
      <c r="J305" s="3">
        <v>0.0</v>
      </c>
      <c r="K305" s="4">
        <f t="shared" si="1"/>
        <v>2959.6177</v>
      </c>
      <c r="L305" s="4">
        <f t="shared" si="2"/>
        <v>3.231782267</v>
      </c>
    </row>
    <row r="306">
      <c r="A306" s="3" t="s">
        <v>69</v>
      </c>
      <c r="B306" s="3">
        <v>96.8</v>
      </c>
      <c r="C306" s="3">
        <v>10.79</v>
      </c>
      <c r="D306" s="3">
        <v>98.8</v>
      </c>
      <c r="E306" s="3">
        <v>4.62</v>
      </c>
      <c r="F306" s="3">
        <v>25.0</v>
      </c>
      <c r="G306" s="3">
        <v>50.33</v>
      </c>
      <c r="H306" s="3">
        <v>0.0</v>
      </c>
      <c r="I306" s="3">
        <v>5.29</v>
      </c>
      <c r="J306" s="3">
        <v>0.0</v>
      </c>
      <c r="K306" s="4">
        <f t="shared" si="1"/>
        <v>3158.1089</v>
      </c>
      <c r="L306" s="4">
        <f t="shared" si="2"/>
        <v>3.090913046</v>
      </c>
    </row>
    <row r="307">
      <c r="A307" s="3" t="s">
        <v>69</v>
      </c>
      <c r="B307" s="3">
        <v>96.8</v>
      </c>
      <c r="C307" s="3">
        <v>11.8</v>
      </c>
      <c r="D307" s="3">
        <v>99.5</v>
      </c>
      <c r="E307" s="3">
        <v>4.4</v>
      </c>
      <c r="F307" s="3">
        <v>27.82</v>
      </c>
      <c r="G307" s="3">
        <v>50.68</v>
      </c>
      <c r="H307" s="3">
        <v>0.0</v>
      </c>
      <c r="I307" s="3">
        <v>4.09</v>
      </c>
      <c r="J307" s="3">
        <v>0.0</v>
      </c>
      <c r="K307" s="4">
        <f t="shared" si="1"/>
        <v>3342.4148</v>
      </c>
      <c r="L307" s="4">
        <f t="shared" si="2"/>
        <v>2.962005195</v>
      </c>
    </row>
    <row r="308">
      <c r="A308" s="3" t="s">
        <v>69</v>
      </c>
      <c r="B308" s="3">
        <v>96.8</v>
      </c>
      <c r="C308" s="3">
        <v>12.6</v>
      </c>
      <c r="D308" s="3">
        <v>99.7</v>
      </c>
      <c r="E308" s="3">
        <v>5.14</v>
      </c>
      <c r="F308" s="3">
        <v>30.02</v>
      </c>
      <c r="G308" s="3">
        <v>50.19</v>
      </c>
      <c r="H308" s="3">
        <v>0.0</v>
      </c>
      <c r="I308" s="3">
        <v>3.23</v>
      </c>
      <c r="J308" s="3">
        <v>0.0</v>
      </c>
      <c r="K308" s="4">
        <f t="shared" si="1"/>
        <v>3420.2365</v>
      </c>
      <c r="L308" s="4">
        <f t="shared" si="2"/>
        <v>2.906258091</v>
      </c>
    </row>
    <row r="309">
      <c r="A309" s="3" t="s">
        <v>70</v>
      </c>
      <c r="B309" s="3">
        <v>89.1</v>
      </c>
      <c r="C309" s="3">
        <v>2.17</v>
      </c>
      <c r="D309" s="3">
        <v>12.6</v>
      </c>
      <c r="E309" s="3">
        <v>10.0</v>
      </c>
      <c r="F309" s="3">
        <v>-8.64</v>
      </c>
      <c r="G309" s="3">
        <v>21.61</v>
      </c>
      <c r="H309" s="3">
        <v>0.0</v>
      </c>
      <c r="I309" s="3">
        <v>19.17</v>
      </c>
      <c r="J309" s="3">
        <v>0.0</v>
      </c>
      <c r="K309" s="4">
        <f t="shared" si="1"/>
        <v>541.6417</v>
      </c>
      <c r="L309" s="4">
        <f t="shared" si="2"/>
        <v>0.2931088947</v>
      </c>
    </row>
    <row r="310">
      <c r="A310" s="3" t="s">
        <v>70</v>
      </c>
      <c r="B310" s="3">
        <v>89.1</v>
      </c>
      <c r="C310" s="3">
        <v>4.32</v>
      </c>
      <c r="D310" s="3">
        <v>23.0</v>
      </c>
      <c r="E310" s="3">
        <v>10.0</v>
      </c>
      <c r="F310" s="3">
        <v>-7.74</v>
      </c>
      <c r="G310" s="3">
        <v>27.24</v>
      </c>
      <c r="H310" s="3">
        <v>0.0</v>
      </c>
      <c r="I310" s="3">
        <v>9.84</v>
      </c>
      <c r="J310" s="3">
        <v>0.0</v>
      </c>
      <c r="K310" s="4">
        <f t="shared" si="1"/>
        <v>801.9252</v>
      </c>
      <c r="L310" s="4">
        <f t="shared" si="2"/>
        <v>0.6596625221</v>
      </c>
    </row>
    <row r="311">
      <c r="A311" s="3" t="s">
        <v>70</v>
      </c>
      <c r="B311" s="3">
        <v>89.1</v>
      </c>
      <c r="C311" s="3">
        <v>6.49</v>
      </c>
      <c r="D311" s="3">
        <v>30.0</v>
      </c>
      <c r="E311" s="3">
        <v>8.0</v>
      </c>
      <c r="F311" s="3">
        <v>15.6</v>
      </c>
      <c r="G311" s="3">
        <v>34.0</v>
      </c>
      <c r="H311" s="3">
        <v>0.0</v>
      </c>
      <c r="I311" s="3">
        <v>6.78</v>
      </c>
      <c r="J311" s="3">
        <v>0.0</v>
      </c>
      <c r="K311" s="4">
        <f t="shared" si="1"/>
        <v>1399.36</v>
      </c>
      <c r="L311" s="4">
        <f t="shared" si="2"/>
        <v>0.6431511548</v>
      </c>
    </row>
    <row r="312">
      <c r="A312" s="3" t="s">
        <v>70</v>
      </c>
      <c r="B312" s="3">
        <v>89.1</v>
      </c>
      <c r="C312" s="3">
        <v>8.65</v>
      </c>
      <c r="D312" s="3">
        <v>36.0</v>
      </c>
      <c r="E312" s="3">
        <v>8.0</v>
      </c>
      <c r="F312" s="3">
        <v>23.65</v>
      </c>
      <c r="G312" s="3">
        <v>34.44</v>
      </c>
      <c r="H312" s="3">
        <v>0.0</v>
      </c>
      <c r="I312" s="3">
        <v>4.16</v>
      </c>
      <c r="J312" s="3">
        <v>0.0</v>
      </c>
      <c r="K312" s="4">
        <f t="shared" si="1"/>
        <v>1745.4361</v>
      </c>
      <c r="L312" s="4">
        <f t="shared" si="2"/>
        <v>0.7425078466</v>
      </c>
    </row>
    <row r="313">
      <c r="A313" s="3" t="s">
        <v>70</v>
      </c>
      <c r="B313" s="3">
        <v>89.1</v>
      </c>
      <c r="C313" s="3">
        <v>10.83</v>
      </c>
      <c r="D313" s="3">
        <v>40.0</v>
      </c>
      <c r="E313" s="3">
        <v>8.0</v>
      </c>
      <c r="F313" s="3">
        <v>28.17</v>
      </c>
      <c r="G313" s="3">
        <v>36.32</v>
      </c>
      <c r="H313" s="3">
        <v>0.0</v>
      </c>
      <c r="I313" s="3">
        <v>2.72</v>
      </c>
      <c r="J313" s="3">
        <v>0.0</v>
      </c>
      <c r="K313" s="4">
        <f t="shared" si="1"/>
        <v>2112.6913</v>
      </c>
      <c r="L313" s="4">
        <f t="shared" si="2"/>
        <v>0.757327869</v>
      </c>
    </row>
    <row r="314">
      <c r="A314" s="3" t="s">
        <v>71</v>
      </c>
      <c r="B314" s="3">
        <v>89.5</v>
      </c>
      <c r="C314" s="3">
        <v>0.42</v>
      </c>
      <c r="D314" s="3">
        <v>35.7</v>
      </c>
      <c r="E314" s="3">
        <v>9.1</v>
      </c>
      <c r="F314" s="3">
        <v>-1.7</v>
      </c>
      <c r="G314" s="3">
        <v>15.39</v>
      </c>
      <c r="H314" s="3">
        <v>0.0</v>
      </c>
      <c r="I314" s="3">
        <v>166.94</v>
      </c>
      <c r="J314" s="3">
        <v>0.0</v>
      </c>
      <c r="K314" s="4">
        <f t="shared" si="1"/>
        <v>239.7421</v>
      </c>
      <c r="L314" s="4">
        <f t="shared" si="2"/>
        <v>5.316087579</v>
      </c>
    </row>
    <row r="315">
      <c r="A315" s="3" t="s">
        <v>71</v>
      </c>
      <c r="B315" s="3">
        <v>89.5</v>
      </c>
      <c r="C315" s="3">
        <v>1.47</v>
      </c>
      <c r="D315" s="3">
        <v>83.3</v>
      </c>
      <c r="E315" s="3">
        <v>9.3</v>
      </c>
      <c r="F315" s="3">
        <v>-4.3</v>
      </c>
      <c r="G315" s="3">
        <v>40.7</v>
      </c>
      <c r="H315" s="3">
        <v>0.0</v>
      </c>
      <c r="I315" s="3">
        <v>105.56</v>
      </c>
      <c r="J315" s="3">
        <v>0.0</v>
      </c>
      <c r="K315" s="4">
        <f t="shared" si="1"/>
        <v>1674.98</v>
      </c>
      <c r="L315" s="4">
        <f t="shared" si="2"/>
        <v>4.14267036</v>
      </c>
    </row>
    <row r="316">
      <c r="A316" s="3" t="s">
        <v>71</v>
      </c>
      <c r="B316" s="3">
        <v>89.5</v>
      </c>
      <c r="C316" s="3">
        <v>2.11</v>
      </c>
      <c r="D316" s="3">
        <v>94.2</v>
      </c>
      <c r="E316" s="3">
        <v>10.4</v>
      </c>
      <c r="F316" s="3">
        <v>-3.8</v>
      </c>
      <c r="G316" s="3">
        <v>48.7</v>
      </c>
      <c r="H316" s="3">
        <v>0.0</v>
      </c>
      <c r="I316" s="3">
        <v>77.92</v>
      </c>
      <c r="J316" s="3">
        <v>0.0</v>
      </c>
      <c r="K316" s="4">
        <f t="shared" si="1"/>
        <v>2386.13</v>
      </c>
      <c r="L316" s="4">
        <f t="shared" si="2"/>
        <v>3.718841807</v>
      </c>
    </row>
    <row r="317">
      <c r="A317" s="3" t="s">
        <v>71</v>
      </c>
      <c r="B317" s="3">
        <v>89.5</v>
      </c>
      <c r="C317" s="3">
        <v>2.84</v>
      </c>
      <c r="D317" s="3">
        <v>97.6</v>
      </c>
      <c r="E317" s="3">
        <v>9.1</v>
      </c>
      <c r="F317" s="3">
        <v>-0.8</v>
      </c>
      <c r="G317" s="3">
        <v>53.6</v>
      </c>
      <c r="H317" s="3">
        <v>0.0</v>
      </c>
      <c r="I317" s="3">
        <v>57.77</v>
      </c>
      <c r="J317" s="3">
        <v>0.0</v>
      </c>
      <c r="K317" s="4">
        <f t="shared" si="1"/>
        <v>2873.6</v>
      </c>
      <c r="L317" s="4">
        <f t="shared" si="2"/>
        <v>3.314922049</v>
      </c>
    </row>
    <row r="318">
      <c r="A318" s="3" t="s">
        <v>71</v>
      </c>
      <c r="B318" s="3">
        <v>89.5</v>
      </c>
      <c r="C318" s="3">
        <v>3.9</v>
      </c>
      <c r="D318" s="3">
        <v>101.0</v>
      </c>
      <c r="E318" s="3">
        <v>9.1</v>
      </c>
      <c r="F318" s="3">
        <v>5.9</v>
      </c>
      <c r="G318" s="3">
        <v>57.61</v>
      </c>
      <c r="H318" s="3">
        <v>0.0</v>
      </c>
      <c r="I318" s="3">
        <v>47.14</v>
      </c>
      <c r="J318" s="3">
        <v>0.0</v>
      </c>
      <c r="K318" s="4">
        <f t="shared" si="1"/>
        <v>3353.7221</v>
      </c>
      <c r="L318" s="4">
        <f t="shared" si="2"/>
        <v>3.041695077</v>
      </c>
    </row>
    <row r="319">
      <c r="A319" s="3" t="s">
        <v>71</v>
      </c>
      <c r="B319" s="3">
        <v>89.5</v>
      </c>
      <c r="C319" s="3">
        <v>4.74</v>
      </c>
      <c r="D319" s="3">
        <v>105.0</v>
      </c>
      <c r="E319" s="3">
        <v>16.7</v>
      </c>
      <c r="F319" s="3">
        <v>10.47</v>
      </c>
      <c r="G319" s="3">
        <v>63.1</v>
      </c>
      <c r="H319" s="3">
        <v>0.0</v>
      </c>
      <c r="I319" s="3">
        <v>41.35</v>
      </c>
      <c r="J319" s="3">
        <v>0.0</v>
      </c>
      <c r="K319" s="4">
        <f t="shared" si="1"/>
        <v>4091.2309</v>
      </c>
      <c r="L319" s="4">
        <f t="shared" si="2"/>
        <v>2.694788016</v>
      </c>
    </row>
    <row r="320">
      <c r="A320" s="3" t="s">
        <v>71</v>
      </c>
      <c r="B320" s="3">
        <v>89.5</v>
      </c>
      <c r="C320" s="3">
        <v>5.69</v>
      </c>
      <c r="D320" s="3">
        <v>106.0</v>
      </c>
      <c r="E320" s="3">
        <v>9.1</v>
      </c>
      <c r="F320" s="3">
        <v>13.24</v>
      </c>
      <c r="G320" s="3">
        <v>67.96</v>
      </c>
      <c r="H320" s="3">
        <v>0.0</v>
      </c>
      <c r="I320" s="3">
        <v>32.17</v>
      </c>
      <c r="J320" s="3">
        <v>0.0</v>
      </c>
      <c r="K320" s="4">
        <f t="shared" si="1"/>
        <v>4793.8592</v>
      </c>
      <c r="L320" s="4">
        <f t="shared" si="2"/>
        <v>2.343831876</v>
      </c>
    </row>
    <row r="321">
      <c r="A321" s="3" t="s">
        <v>71</v>
      </c>
      <c r="B321" s="3">
        <v>89.5</v>
      </c>
      <c r="C321" s="3">
        <v>6.32</v>
      </c>
      <c r="D321" s="3">
        <v>108.0</v>
      </c>
      <c r="E321" s="3">
        <v>11.5</v>
      </c>
      <c r="F321" s="3">
        <v>14.88</v>
      </c>
      <c r="G321" s="3">
        <v>69.85</v>
      </c>
      <c r="H321" s="3">
        <v>0.0</v>
      </c>
      <c r="I321" s="3">
        <v>27.41</v>
      </c>
      <c r="J321" s="3">
        <v>0.0</v>
      </c>
      <c r="K321" s="4">
        <f t="shared" si="1"/>
        <v>5100.4369</v>
      </c>
      <c r="L321" s="4">
        <f t="shared" si="2"/>
        <v>2.286862916</v>
      </c>
    </row>
    <row r="322">
      <c r="A322" s="3" t="s">
        <v>71</v>
      </c>
      <c r="B322" s="3">
        <v>89.5</v>
      </c>
      <c r="C322" s="3">
        <v>7.37</v>
      </c>
      <c r="D322" s="3">
        <v>110.0</v>
      </c>
      <c r="E322" s="3">
        <v>23.0</v>
      </c>
      <c r="F322" s="3">
        <v>17.96</v>
      </c>
      <c r="G322" s="3">
        <v>72.36</v>
      </c>
      <c r="H322" s="3">
        <v>0.0</v>
      </c>
      <c r="I322" s="3">
        <v>20.81</v>
      </c>
      <c r="J322" s="3">
        <v>0.0</v>
      </c>
      <c r="K322" s="4">
        <f t="shared" si="1"/>
        <v>5558.5312</v>
      </c>
      <c r="L322" s="4">
        <f t="shared" si="2"/>
        <v>2.176834053</v>
      </c>
    </row>
    <row r="323">
      <c r="A323" s="3" t="s">
        <v>71</v>
      </c>
      <c r="B323" s="3">
        <v>89.5</v>
      </c>
      <c r="C323" s="3">
        <v>8.21</v>
      </c>
      <c r="D323" s="3">
        <v>112.0</v>
      </c>
      <c r="E323" s="3">
        <v>19.7</v>
      </c>
      <c r="F323" s="3">
        <v>20.83</v>
      </c>
      <c r="G323" s="3">
        <v>72.55</v>
      </c>
      <c r="H323" s="3">
        <v>0.0</v>
      </c>
      <c r="I323" s="3">
        <v>16.56</v>
      </c>
      <c r="J323" s="3">
        <v>0.0</v>
      </c>
      <c r="K323" s="4">
        <f t="shared" si="1"/>
        <v>5697.3914</v>
      </c>
      <c r="L323" s="4">
        <f t="shared" si="2"/>
        <v>2.201709365</v>
      </c>
    </row>
    <row r="324">
      <c r="A324" s="3" t="s">
        <v>71</v>
      </c>
      <c r="B324" s="3">
        <v>89.5</v>
      </c>
      <c r="C324" s="3">
        <v>9.16</v>
      </c>
      <c r="D324" s="3">
        <v>113.0</v>
      </c>
      <c r="E324" s="3">
        <v>9.1</v>
      </c>
      <c r="F324" s="3">
        <v>23.19</v>
      </c>
      <c r="G324" s="3">
        <v>73.73</v>
      </c>
      <c r="H324" s="3">
        <v>0.0</v>
      </c>
      <c r="I324" s="3">
        <v>13.22</v>
      </c>
      <c r="J324" s="3">
        <v>0.0</v>
      </c>
      <c r="K324" s="4">
        <f t="shared" si="1"/>
        <v>5973.889</v>
      </c>
      <c r="L324" s="4">
        <f t="shared" si="2"/>
        <v>2.137468574</v>
      </c>
    </row>
    <row r="325">
      <c r="A325" s="3" t="s">
        <v>71</v>
      </c>
      <c r="B325" s="3">
        <v>89.5</v>
      </c>
      <c r="C325" s="3">
        <v>10.85</v>
      </c>
      <c r="D325" s="3">
        <v>114.0</v>
      </c>
      <c r="E325" s="3">
        <v>9.1</v>
      </c>
      <c r="F325" s="3">
        <v>26.37</v>
      </c>
      <c r="G325" s="3">
        <v>73.37</v>
      </c>
      <c r="H325" s="3">
        <v>0.0</v>
      </c>
      <c r="I325" s="3">
        <v>7.53</v>
      </c>
      <c r="J325" s="3">
        <v>0.0</v>
      </c>
      <c r="K325" s="4">
        <f t="shared" si="1"/>
        <v>6078.5338</v>
      </c>
      <c r="L325" s="4">
        <f t="shared" si="2"/>
        <v>2.138015585</v>
      </c>
    </row>
    <row r="326">
      <c r="A326" s="3" t="s">
        <v>71</v>
      </c>
      <c r="B326" s="3">
        <v>89.5</v>
      </c>
      <c r="C326" s="3">
        <v>12.21</v>
      </c>
      <c r="D326" s="3">
        <v>114.0</v>
      </c>
      <c r="E326" s="3">
        <v>9.1</v>
      </c>
      <c r="F326" s="3">
        <v>28.32</v>
      </c>
      <c r="G326" s="3">
        <v>69.96</v>
      </c>
      <c r="H326" s="3">
        <v>0.0</v>
      </c>
      <c r="I326" s="3">
        <v>4.36</v>
      </c>
      <c r="J326" s="3">
        <v>0.0</v>
      </c>
      <c r="K326" s="4">
        <f t="shared" si="1"/>
        <v>5696.424</v>
      </c>
      <c r="L326" s="4">
        <f t="shared" si="2"/>
        <v>2.281431298</v>
      </c>
    </row>
    <row r="327">
      <c r="A327" s="3" t="s">
        <v>71</v>
      </c>
      <c r="B327" s="3">
        <v>89.5</v>
      </c>
      <c r="C327" s="3">
        <v>15.16</v>
      </c>
      <c r="D327" s="3">
        <v>114.0</v>
      </c>
      <c r="E327" s="3">
        <v>11.2</v>
      </c>
      <c r="F327" s="3">
        <v>33.04</v>
      </c>
      <c r="G327" s="3">
        <v>63.57</v>
      </c>
      <c r="H327" s="3">
        <v>0.0</v>
      </c>
      <c r="I327" s="3">
        <v>1.75</v>
      </c>
      <c r="J327" s="3">
        <v>0.0</v>
      </c>
      <c r="K327" s="4">
        <f t="shared" si="1"/>
        <v>5132.7865</v>
      </c>
      <c r="L327" s="4">
        <f t="shared" si="2"/>
        <v>2.531958031</v>
      </c>
    </row>
    <row r="328">
      <c r="A328" s="3" t="s">
        <v>12</v>
      </c>
      <c r="B328" s="3">
        <v>35.4</v>
      </c>
      <c r="C328" s="3">
        <v>0.26</v>
      </c>
      <c r="D328" s="3">
        <v>14.6</v>
      </c>
      <c r="E328" s="3">
        <v>13.0</v>
      </c>
      <c r="F328" s="3">
        <v>-0.5</v>
      </c>
      <c r="G328" s="3">
        <v>5.06</v>
      </c>
      <c r="H328" s="3">
        <v>0.0</v>
      </c>
      <c r="I328" s="3">
        <v>34.28</v>
      </c>
      <c r="J328" s="3">
        <v>0.0</v>
      </c>
      <c r="K328" s="4">
        <f t="shared" si="1"/>
        <v>25.8536</v>
      </c>
      <c r="L328" s="4">
        <f t="shared" si="2"/>
        <v>8.244886592</v>
      </c>
    </row>
    <row r="329">
      <c r="A329" s="3" t="s">
        <v>12</v>
      </c>
      <c r="B329" s="3">
        <v>35.4</v>
      </c>
      <c r="C329" s="3">
        <v>0.44</v>
      </c>
      <c r="D329" s="3">
        <v>10.0</v>
      </c>
      <c r="E329" s="3">
        <v>7.0</v>
      </c>
      <c r="F329" s="3">
        <v>-0.86</v>
      </c>
      <c r="G329" s="3">
        <v>8.17</v>
      </c>
      <c r="H329" s="3">
        <v>0.0</v>
      </c>
      <c r="I329" s="3">
        <v>31.74</v>
      </c>
      <c r="J329" s="3">
        <v>0.0</v>
      </c>
      <c r="K329" s="4">
        <f t="shared" si="1"/>
        <v>67.4885</v>
      </c>
      <c r="L329" s="4">
        <f t="shared" si="2"/>
        <v>1.481733925</v>
      </c>
    </row>
    <row r="330">
      <c r="A330" s="3" t="s">
        <v>12</v>
      </c>
      <c r="B330" s="3">
        <v>35.4</v>
      </c>
      <c r="C330" s="3">
        <v>0.77</v>
      </c>
      <c r="D330" s="3">
        <v>10.7</v>
      </c>
      <c r="E330" s="3">
        <v>7.13</v>
      </c>
      <c r="F330" s="3">
        <v>-1.55</v>
      </c>
      <c r="G330" s="3">
        <v>13.14</v>
      </c>
      <c r="H330" s="3">
        <v>0.0</v>
      </c>
      <c r="I330" s="3">
        <v>26.03</v>
      </c>
      <c r="J330" s="3">
        <v>0.0</v>
      </c>
      <c r="K330" s="4">
        <f t="shared" si="1"/>
        <v>175.0621</v>
      </c>
      <c r="L330" s="4">
        <f t="shared" si="2"/>
        <v>0.6539964961</v>
      </c>
    </row>
    <row r="331">
      <c r="A331" s="3" t="s">
        <v>12</v>
      </c>
      <c r="B331" s="3">
        <v>35.4</v>
      </c>
      <c r="C331" s="3">
        <v>0.89</v>
      </c>
      <c r="D331" s="3">
        <v>17.4</v>
      </c>
      <c r="E331" s="3">
        <v>9.6</v>
      </c>
      <c r="F331" s="3">
        <v>-1.78</v>
      </c>
      <c r="G331" s="3">
        <v>14.55</v>
      </c>
      <c r="H331" s="3">
        <v>0.0</v>
      </c>
      <c r="I331" s="3">
        <v>23.16</v>
      </c>
      <c r="J331" s="3">
        <v>0.0</v>
      </c>
      <c r="K331" s="4">
        <f t="shared" si="1"/>
        <v>214.8709</v>
      </c>
      <c r="L331" s="4">
        <f t="shared" si="2"/>
        <v>1.409032121</v>
      </c>
    </row>
    <row r="332">
      <c r="A332" s="3" t="s">
        <v>12</v>
      </c>
      <c r="B332" s="3">
        <v>35.4</v>
      </c>
      <c r="C332" s="3">
        <v>1.22</v>
      </c>
      <c r="D332" s="3">
        <v>23.5</v>
      </c>
      <c r="E332" s="3">
        <v>11.2</v>
      </c>
      <c r="F332" s="3">
        <v>-2.43</v>
      </c>
      <c r="G332" s="3">
        <v>17.29</v>
      </c>
      <c r="H332" s="3">
        <v>0.0</v>
      </c>
      <c r="I332" s="3">
        <v>17.48</v>
      </c>
      <c r="J332" s="3">
        <v>0.0</v>
      </c>
      <c r="K332" s="4">
        <f t="shared" si="1"/>
        <v>304.849</v>
      </c>
      <c r="L332" s="4">
        <f t="shared" si="2"/>
        <v>1.811552605</v>
      </c>
    </row>
    <row r="333">
      <c r="A333" s="3" t="s">
        <v>12</v>
      </c>
      <c r="B333" s="3">
        <v>35.4</v>
      </c>
      <c r="C333" s="3">
        <v>1.55</v>
      </c>
      <c r="D333" s="3">
        <v>31.0</v>
      </c>
      <c r="E333" s="3">
        <v>5.2</v>
      </c>
      <c r="F333" s="3">
        <v>-2.98</v>
      </c>
      <c r="G333" s="3">
        <v>18.37</v>
      </c>
      <c r="H333" s="3">
        <v>0.0</v>
      </c>
      <c r="I333" s="3">
        <v>11.3</v>
      </c>
      <c r="J333" s="3">
        <v>0.0</v>
      </c>
      <c r="K333" s="4">
        <f t="shared" si="1"/>
        <v>346.3373</v>
      </c>
      <c r="L333" s="4">
        <f t="shared" si="2"/>
        <v>2.774751666</v>
      </c>
    </row>
    <row r="334">
      <c r="A334" s="3" t="s">
        <v>12</v>
      </c>
      <c r="B334" s="3">
        <v>35.4</v>
      </c>
      <c r="C334" s="3">
        <v>1.8</v>
      </c>
      <c r="D334" s="3">
        <v>32.3</v>
      </c>
      <c r="E334" s="3">
        <v>2.41</v>
      </c>
      <c r="F334" s="3">
        <v>-3.18</v>
      </c>
      <c r="G334" s="3">
        <v>18.25</v>
      </c>
      <c r="H334" s="3">
        <v>0.0</v>
      </c>
      <c r="I334" s="3">
        <v>10.51</v>
      </c>
      <c r="J334" s="3">
        <v>0.0</v>
      </c>
      <c r="K334" s="4">
        <f t="shared" si="1"/>
        <v>343.1749</v>
      </c>
      <c r="L334" s="4">
        <f t="shared" si="2"/>
        <v>3.040111617</v>
      </c>
    </row>
    <row r="335">
      <c r="A335" s="3" t="s">
        <v>12</v>
      </c>
      <c r="B335" s="3">
        <v>35.4</v>
      </c>
      <c r="C335" s="3">
        <v>2.21</v>
      </c>
      <c r="D335" s="3">
        <v>40.9</v>
      </c>
      <c r="E335" s="3">
        <v>5.9</v>
      </c>
      <c r="F335" s="3">
        <v>-3.53</v>
      </c>
      <c r="G335" s="3">
        <v>19.06</v>
      </c>
      <c r="H335" s="3">
        <v>0.0</v>
      </c>
      <c r="I335" s="3">
        <v>10.14</v>
      </c>
      <c r="J335" s="3">
        <v>0.0</v>
      </c>
      <c r="K335" s="4">
        <f t="shared" si="1"/>
        <v>375.7445</v>
      </c>
      <c r="L335" s="4">
        <f t="shared" si="2"/>
        <v>4.451987987</v>
      </c>
    </row>
    <row r="336">
      <c r="A336" s="3" t="s">
        <v>12</v>
      </c>
      <c r="B336" s="3">
        <v>35.4</v>
      </c>
      <c r="C336" s="3">
        <v>2.31</v>
      </c>
      <c r="D336" s="3">
        <v>43.8</v>
      </c>
      <c r="E336" s="3">
        <v>4.26</v>
      </c>
      <c r="F336" s="3">
        <v>-3.66</v>
      </c>
      <c r="G336" s="3">
        <v>19.39</v>
      </c>
      <c r="H336" s="3">
        <v>0.0</v>
      </c>
      <c r="I336" s="3">
        <v>9.91</v>
      </c>
      <c r="J336" s="3">
        <v>0.0</v>
      </c>
      <c r="K336" s="4">
        <f t="shared" si="1"/>
        <v>389.3677</v>
      </c>
      <c r="L336" s="4">
        <f t="shared" si="2"/>
        <v>4.927065085</v>
      </c>
    </row>
    <row r="337">
      <c r="A337" s="3" t="s">
        <v>12</v>
      </c>
      <c r="B337" s="3">
        <v>35.4</v>
      </c>
      <c r="C337" s="3">
        <v>2.54</v>
      </c>
      <c r="D337" s="3">
        <v>44.8</v>
      </c>
      <c r="E337" s="3">
        <v>4.5</v>
      </c>
      <c r="F337" s="3">
        <v>-4.08</v>
      </c>
      <c r="G337" s="3">
        <v>20.16</v>
      </c>
      <c r="H337" s="3">
        <v>0.0</v>
      </c>
      <c r="I337" s="3">
        <v>9.2</v>
      </c>
      <c r="J337" s="3">
        <v>0.0</v>
      </c>
      <c r="K337" s="4">
        <f t="shared" si="1"/>
        <v>423.072</v>
      </c>
      <c r="L337" s="4">
        <f t="shared" si="2"/>
        <v>4.74396793</v>
      </c>
    </row>
    <row r="338">
      <c r="A338" s="3" t="s">
        <v>12</v>
      </c>
      <c r="B338" s="3">
        <v>35.4</v>
      </c>
      <c r="C338" s="3">
        <v>3.1</v>
      </c>
      <c r="D338" s="3">
        <v>51.7</v>
      </c>
      <c r="E338" s="3">
        <v>12.7</v>
      </c>
      <c r="F338" s="3">
        <v>-5.16</v>
      </c>
      <c r="G338" s="3">
        <v>22.16</v>
      </c>
      <c r="H338" s="3">
        <v>0.0</v>
      </c>
      <c r="I338" s="3">
        <v>8.56</v>
      </c>
      <c r="J338" s="3">
        <v>0.0</v>
      </c>
      <c r="K338" s="4">
        <f t="shared" si="1"/>
        <v>517.6912</v>
      </c>
      <c r="L338" s="4">
        <f t="shared" si="2"/>
        <v>5.163097229</v>
      </c>
    </row>
    <row r="339">
      <c r="A339" s="3" t="s">
        <v>12</v>
      </c>
      <c r="B339" s="3">
        <v>35.4</v>
      </c>
      <c r="C339" s="3">
        <v>3.43</v>
      </c>
      <c r="D339" s="3">
        <v>55.7</v>
      </c>
      <c r="E339" s="3">
        <v>4.5</v>
      </c>
      <c r="F339" s="3">
        <v>-4.94</v>
      </c>
      <c r="G339" s="3">
        <v>23.71</v>
      </c>
      <c r="H339" s="3">
        <v>0.0</v>
      </c>
      <c r="I339" s="3">
        <v>7.6</v>
      </c>
      <c r="J339" s="3">
        <v>0.0</v>
      </c>
      <c r="K339" s="4">
        <f t="shared" si="1"/>
        <v>586.5677</v>
      </c>
      <c r="L339" s="4">
        <f t="shared" si="2"/>
        <v>5.289227484</v>
      </c>
    </row>
    <row r="340">
      <c r="A340" s="3" t="s">
        <v>12</v>
      </c>
      <c r="B340" s="3">
        <v>35.4</v>
      </c>
      <c r="C340" s="3">
        <v>3.86</v>
      </c>
      <c r="D340" s="3">
        <v>59.4</v>
      </c>
      <c r="E340" s="3">
        <v>9.85</v>
      </c>
      <c r="F340" s="3">
        <v>-3.07</v>
      </c>
      <c r="G340" s="3">
        <v>24.94</v>
      </c>
      <c r="H340" s="3">
        <v>0.0</v>
      </c>
      <c r="I340" s="3">
        <v>6.05</v>
      </c>
      <c r="J340" s="3">
        <v>0.0</v>
      </c>
      <c r="K340" s="4">
        <f t="shared" si="1"/>
        <v>631.4285</v>
      </c>
      <c r="L340" s="4">
        <f t="shared" si="2"/>
        <v>5.587901085</v>
      </c>
    </row>
    <row r="341">
      <c r="A341" s="3" t="s">
        <v>12</v>
      </c>
      <c r="B341" s="3">
        <v>35.4</v>
      </c>
      <c r="C341" s="3">
        <v>4.09</v>
      </c>
      <c r="D341" s="3">
        <v>62.0</v>
      </c>
      <c r="E341" s="3">
        <v>4.5</v>
      </c>
      <c r="F341" s="3">
        <v>1.31</v>
      </c>
      <c r="G341" s="3">
        <v>25.34</v>
      </c>
      <c r="H341" s="3">
        <v>0.0</v>
      </c>
      <c r="I341" s="3">
        <v>5.43</v>
      </c>
      <c r="J341" s="3">
        <v>0.0</v>
      </c>
      <c r="K341" s="4">
        <f t="shared" si="1"/>
        <v>643.8317</v>
      </c>
      <c r="L341" s="4">
        <f t="shared" si="2"/>
        <v>5.970504404</v>
      </c>
    </row>
    <row r="342">
      <c r="A342" s="3" t="s">
        <v>12</v>
      </c>
      <c r="B342" s="3">
        <v>35.4</v>
      </c>
      <c r="C342" s="3">
        <v>4.37</v>
      </c>
      <c r="D342" s="3">
        <v>63.0</v>
      </c>
      <c r="E342" s="3">
        <v>3.2</v>
      </c>
      <c r="F342" s="3">
        <v>4.42</v>
      </c>
      <c r="G342" s="3">
        <v>25.74</v>
      </c>
      <c r="H342" s="3">
        <v>0.0</v>
      </c>
      <c r="I342" s="3">
        <v>4.75</v>
      </c>
      <c r="J342" s="3">
        <v>0.0</v>
      </c>
      <c r="K342" s="4">
        <f t="shared" si="1"/>
        <v>682.084</v>
      </c>
      <c r="L342" s="4">
        <f t="shared" si="2"/>
        <v>5.818931393</v>
      </c>
    </row>
    <row r="343">
      <c r="A343" s="3" t="s">
        <v>12</v>
      </c>
      <c r="B343" s="3">
        <v>35.4</v>
      </c>
      <c r="C343" s="3">
        <v>4.76</v>
      </c>
      <c r="D343" s="3">
        <v>66.6</v>
      </c>
      <c r="E343" s="3">
        <v>6.9</v>
      </c>
      <c r="F343" s="3">
        <v>7.13</v>
      </c>
      <c r="G343" s="3">
        <v>26.09</v>
      </c>
      <c r="H343" s="3">
        <v>0.0</v>
      </c>
      <c r="I343" s="3">
        <v>3.9</v>
      </c>
      <c r="J343" s="3">
        <v>0.0</v>
      </c>
      <c r="K343" s="4">
        <f t="shared" si="1"/>
        <v>731.525</v>
      </c>
      <c r="L343" s="4">
        <f t="shared" si="2"/>
        <v>6.063442808</v>
      </c>
    </row>
    <row r="344">
      <c r="A344" s="3" t="s">
        <v>12</v>
      </c>
      <c r="B344" s="3">
        <v>35.4</v>
      </c>
      <c r="C344" s="3">
        <v>5.4</v>
      </c>
      <c r="D344" s="3">
        <v>71.3</v>
      </c>
      <c r="E344" s="3">
        <v>2.95</v>
      </c>
      <c r="F344" s="3">
        <v>11.25</v>
      </c>
      <c r="G344" s="3">
        <v>26.17</v>
      </c>
      <c r="H344" s="3">
        <v>0.0</v>
      </c>
      <c r="I344" s="3">
        <v>2.77</v>
      </c>
      <c r="J344" s="3">
        <v>0.0</v>
      </c>
      <c r="K344" s="4">
        <f t="shared" si="1"/>
        <v>811.4314</v>
      </c>
      <c r="L344" s="4">
        <f t="shared" si="2"/>
        <v>6.265089076</v>
      </c>
    </row>
    <row r="345">
      <c r="A345" s="3" t="s">
        <v>12</v>
      </c>
      <c r="B345" s="3">
        <v>35.4</v>
      </c>
      <c r="C345" s="3">
        <v>5.86</v>
      </c>
      <c r="D345" s="3">
        <v>72.3</v>
      </c>
      <c r="E345" s="3">
        <v>15.5</v>
      </c>
      <c r="F345" s="3">
        <v>13.88</v>
      </c>
      <c r="G345" s="3">
        <v>25.92</v>
      </c>
      <c r="H345" s="3">
        <v>0.0</v>
      </c>
      <c r="I345" s="3">
        <v>2.15</v>
      </c>
      <c r="J345" s="3">
        <v>0.0</v>
      </c>
      <c r="K345" s="4">
        <f t="shared" si="1"/>
        <v>864.5008</v>
      </c>
      <c r="L345" s="4">
        <f t="shared" si="2"/>
        <v>6.046599379</v>
      </c>
    </row>
    <row r="346">
      <c r="A346" s="3" t="s">
        <v>12</v>
      </c>
      <c r="B346" s="3">
        <v>35.4</v>
      </c>
      <c r="C346" s="3">
        <v>6.08</v>
      </c>
      <c r="D346" s="3">
        <v>73.4</v>
      </c>
      <c r="E346" s="3">
        <v>6.0</v>
      </c>
      <c r="F346" s="3">
        <v>14.94</v>
      </c>
      <c r="G346" s="3">
        <v>25.73</v>
      </c>
      <c r="H346" s="3">
        <v>0.0</v>
      </c>
      <c r="I346" s="3">
        <v>1.92</v>
      </c>
      <c r="J346" s="3">
        <v>0.0</v>
      </c>
      <c r="K346" s="4">
        <f t="shared" si="1"/>
        <v>885.2365</v>
      </c>
      <c r="L346" s="4">
        <f t="shared" si="2"/>
        <v>6.086012043</v>
      </c>
    </row>
    <row r="347">
      <c r="A347" s="3" t="s">
        <v>12</v>
      </c>
      <c r="B347" s="3">
        <v>35.4</v>
      </c>
      <c r="C347" s="3">
        <v>6.43</v>
      </c>
      <c r="D347" s="3">
        <v>72.4</v>
      </c>
      <c r="E347" s="3">
        <v>5.81</v>
      </c>
      <c r="F347" s="3">
        <v>16.72</v>
      </c>
      <c r="G347" s="3">
        <v>25.39</v>
      </c>
      <c r="H347" s="3">
        <v>0.0</v>
      </c>
      <c r="I347" s="3">
        <v>1.61</v>
      </c>
      <c r="J347" s="3">
        <v>0.0</v>
      </c>
      <c r="K347" s="4">
        <f t="shared" si="1"/>
        <v>924.2105</v>
      </c>
      <c r="L347" s="4">
        <f t="shared" si="2"/>
        <v>5.671608362</v>
      </c>
    </row>
    <row r="348">
      <c r="A348" s="3" t="s">
        <v>12</v>
      </c>
      <c r="B348" s="3">
        <v>35.4</v>
      </c>
      <c r="C348" s="3">
        <v>6.97</v>
      </c>
      <c r="D348" s="3">
        <v>77.1</v>
      </c>
      <c r="E348" s="3">
        <v>12.1</v>
      </c>
      <c r="F348" s="3">
        <v>19.67</v>
      </c>
      <c r="G348" s="3">
        <v>24.74</v>
      </c>
      <c r="H348" s="3">
        <v>0.0</v>
      </c>
      <c r="I348" s="3">
        <v>1.25</v>
      </c>
      <c r="J348" s="3">
        <v>0.0</v>
      </c>
      <c r="K348" s="4">
        <f t="shared" si="1"/>
        <v>998.9765</v>
      </c>
      <c r="L348" s="4">
        <f t="shared" si="2"/>
        <v>5.950500337</v>
      </c>
    </row>
    <row r="349">
      <c r="A349" s="3" t="s">
        <v>12</v>
      </c>
      <c r="B349" s="3">
        <v>35.4</v>
      </c>
      <c r="C349" s="3">
        <v>7.96</v>
      </c>
      <c r="D349" s="3">
        <v>80.3</v>
      </c>
      <c r="E349" s="3">
        <v>13.5</v>
      </c>
      <c r="F349" s="3">
        <v>24.09</v>
      </c>
      <c r="G349" s="3">
        <v>23.76</v>
      </c>
      <c r="H349" s="3">
        <v>0.0</v>
      </c>
      <c r="I349" s="3">
        <v>0.92</v>
      </c>
      <c r="J349" s="3">
        <v>0.0</v>
      </c>
      <c r="K349" s="4">
        <f t="shared" si="1"/>
        <v>1144.8657</v>
      </c>
      <c r="L349" s="4">
        <f t="shared" si="2"/>
        <v>5.632180264</v>
      </c>
    </row>
    <row r="350">
      <c r="A350" s="3" t="s">
        <v>12</v>
      </c>
      <c r="B350" s="3">
        <v>35.4</v>
      </c>
      <c r="C350" s="3">
        <v>10.29</v>
      </c>
      <c r="D350" s="3">
        <v>84.7</v>
      </c>
      <c r="E350" s="3">
        <v>6.0</v>
      </c>
      <c r="F350" s="3">
        <v>31.66</v>
      </c>
      <c r="G350" s="3">
        <v>22.09</v>
      </c>
      <c r="H350" s="3">
        <v>0.0</v>
      </c>
      <c r="I350" s="3">
        <v>0.37</v>
      </c>
      <c r="J350" s="3">
        <v>0.0</v>
      </c>
      <c r="K350" s="4">
        <f t="shared" si="1"/>
        <v>1490.3237</v>
      </c>
      <c r="L350" s="4">
        <f t="shared" si="2"/>
        <v>4.813779718</v>
      </c>
    </row>
    <row r="351">
      <c r="A351" s="3" t="s">
        <v>12</v>
      </c>
      <c r="B351" s="3">
        <v>35.4</v>
      </c>
      <c r="C351" s="3">
        <v>15.49</v>
      </c>
      <c r="D351" s="3">
        <v>86.9</v>
      </c>
      <c r="E351" s="3">
        <v>5.6</v>
      </c>
      <c r="F351" s="3">
        <v>39.34</v>
      </c>
      <c r="G351" s="3">
        <v>17.78</v>
      </c>
      <c r="H351" s="3">
        <v>0.0</v>
      </c>
      <c r="I351" s="3">
        <v>0.0</v>
      </c>
      <c r="J351" s="3">
        <v>0.0</v>
      </c>
      <c r="K351" s="4">
        <f t="shared" si="1"/>
        <v>1863.764</v>
      </c>
      <c r="L351" s="4">
        <f t="shared" si="2"/>
        <v>4.051805915</v>
      </c>
    </row>
    <row r="352">
      <c r="A352" s="3" t="s">
        <v>12</v>
      </c>
      <c r="B352" s="3">
        <v>35.4</v>
      </c>
      <c r="C352" s="3">
        <v>16.26</v>
      </c>
      <c r="D352" s="3">
        <v>85.8</v>
      </c>
      <c r="E352" s="3">
        <v>8.6</v>
      </c>
      <c r="F352" s="3">
        <v>39.55</v>
      </c>
      <c r="G352" s="3">
        <v>17.09</v>
      </c>
      <c r="H352" s="3">
        <v>0.0</v>
      </c>
      <c r="I352" s="3">
        <v>0.0</v>
      </c>
      <c r="J352" s="3">
        <v>0.0</v>
      </c>
      <c r="K352" s="4">
        <f t="shared" si="1"/>
        <v>1856.2706</v>
      </c>
      <c r="L352" s="4">
        <f t="shared" si="2"/>
        <v>3.965822655</v>
      </c>
    </row>
    <row r="353">
      <c r="A353" s="3" t="s">
        <v>72</v>
      </c>
      <c r="B353" s="3">
        <v>53.3</v>
      </c>
      <c r="C353" s="3">
        <v>0.22</v>
      </c>
      <c r="D353" s="3">
        <v>10.7</v>
      </c>
      <c r="E353" s="3">
        <v>4.9</v>
      </c>
      <c r="F353" s="3">
        <v>0.47</v>
      </c>
      <c r="G353" s="3">
        <v>5.59</v>
      </c>
      <c r="H353" s="3">
        <v>0.0</v>
      </c>
      <c r="I353" s="3">
        <v>69.18</v>
      </c>
      <c r="J353" s="3">
        <v>0.0</v>
      </c>
      <c r="K353" s="4">
        <f t="shared" si="1"/>
        <v>31.469</v>
      </c>
      <c r="L353" s="4">
        <f t="shared" si="2"/>
        <v>3.638183609</v>
      </c>
    </row>
    <row r="354">
      <c r="A354" s="3" t="s">
        <v>72</v>
      </c>
      <c r="B354" s="3">
        <v>53.3</v>
      </c>
      <c r="C354" s="3">
        <v>0.76</v>
      </c>
      <c r="D354" s="3">
        <v>24.7</v>
      </c>
      <c r="E354" s="3">
        <v>4.9</v>
      </c>
      <c r="F354" s="3">
        <v>1.87</v>
      </c>
      <c r="G354" s="3">
        <v>17.63</v>
      </c>
      <c r="H354" s="3">
        <v>0.0</v>
      </c>
      <c r="I354" s="3">
        <v>60.07</v>
      </c>
      <c r="J354" s="3">
        <v>0.0</v>
      </c>
      <c r="K354" s="4">
        <f t="shared" si="1"/>
        <v>314.3138</v>
      </c>
      <c r="L354" s="4">
        <f t="shared" si="2"/>
        <v>1.941021998</v>
      </c>
    </row>
    <row r="355">
      <c r="A355" s="3" t="s">
        <v>72</v>
      </c>
      <c r="B355" s="3">
        <v>53.3</v>
      </c>
      <c r="C355" s="3">
        <v>1.31</v>
      </c>
      <c r="D355" s="3">
        <v>38.9</v>
      </c>
      <c r="E355" s="3">
        <v>4.9</v>
      </c>
      <c r="F355" s="3">
        <v>3.27</v>
      </c>
      <c r="G355" s="3">
        <v>26.64</v>
      </c>
      <c r="H355" s="3">
        <v>0.0</v>
      </c>
      <c r="I355" s="3">
        <v>42.04</v>
      </c>
      <c r="J355" s="3">
        <v>0.0</v>
      </c>
      <c r="K355" s="4">
        <f t="shared" si="1"/>
        <v>720.3825</v>
      </c>
      <c r="L355" s="4">
        <f t="shared" si="2"/>
        <v>2.100564631</v>
      </c>
    </row>
    <row r="356">
      <c r="A356" s="3" t="s">
        <v>72</v>
      </c>
      <c r="B356" s="3">
        <v>53.3</v>
      </c>
      <c r="C356" s="3">
        <v>1.94</v>
      </c>
      <c r="D356" s="3">
        <v>42.7</v>
      </c>
      <c r="E356" s="3">
        <v>7.89</v>
      </c>
      <c r="F356" s="3">
        <v>4.87</v>
      </c>
      <c r="G356" s="3">
        <v>32.27</v>
      </c>
      <c r="H356" s="3">
        <v>0.0</v>
      </c>
      <c r="I356" s="3">
        <v>31.07</v>
      </c>
      <c r="J356" s="3">
        <v>0.0</v>
      </c>
      <c r="K356" s="4">
        <f t="shared" si="1"/>
        <v>1065.0698</v>
      </c>
      <c r="L356" s="4">
        <f t="shared" si="2"/>
        <v>1.711897192</v>
      </c>
    </row>
    <row r="357">
      <c r="A357" s="3" t="s">
        <v>72</v>
      </c>
      <c r="B357" s="3">
        <v>53.3</v>
      </c>
      <c r="C357" s="3">
        <v>3.92</v>
      </c>
      <c r="D357" s="3">
        <v>55.0</v>
      </c>
      <c r="E357" s="3">
        <v>4.9</v>
      </c>
      <c r="F357" s="3">
        <v>8.5</v>
      </c>
      <c r="G357" s="3">
        <v>38.26</v>
      </c>
      <c r="H357" s="3">
        <v>0.0</v>
      </c>
      <c r="I357" s="3">
        <v>9.64</v>
      </c>
      <c r="J357" s="3">
        <v>0.0</v>
      </c>
      <c r="K357" s="4">
        <f t="shared" si="1"/>
        <v>1536.0776</v>
      </c>
      <c r="L357" s="4">
        <f t="shared" si="2"/>
        <v>1.969301551</v>
      </c>
    </row>
    <row r="358">
      <c r="A358" s="3" t="s">
        <v>72</v>
      </c>
      <c r="B358" s="3">
        <v>53.3</v>
      </c>
      <c r="C358" s="3">
        <v>4.35</v>
      </c>
      <c r="D358" s="3">
        <v>57.2</v>
      </c>
      <c r="E358" s="3">
        <v>4.9</v>
      </c>
      <c r="F358" s="3">
        <v>9.17</v>
      </c>
      <c r="G358" s="3">
        <v>38.43</v>
      </c>
      <c r="H358" s="3">
        <v>0.0</v>
      </c>
      <c r="I358" s="3">
        <v>8.68</v>
      </c>
      <c r="J358" s="3">
        <v>0.0</v>
      </c>
      <c r="K358" s="4">
        <f t="shared" si="1"/>
        <v>1560.9538</v>
      </c>
      <c r="L358" s="4">
        <f t="shared" si="2"/>
        <v>2.096051786</v>
      </c>
    </row>
    <row r="359">
      <c r="A359" s="3" t="s">
        <v>72</v>
      </c>
      <c r="B359" s="3">
        <v>53.3</v>
      </c>
      <c r="C359" s="3">
        <v>5.0</v>
      </c>
      <c r="D359" s="3">
        <v>59.8</v>
      </c>
      <c r="E359" s="3">
        <v>4.9</v>
      </c>
      <c r="F359" s="3">
        <v>10.3</v>
      </c>
      <c r="G359" s="3">
        <v>39.09</v>
      </c>
      <c r="H359" s="3">
        <v>0.0</v>
      </c>
      <c r="I359" s="3">
        <v>6.38</v>
      </c>
      <c r="J359" s="3">
        <v>0.0</v>
      </c>
      <c r="K359" s="4">
        <f t="shared" si="1"/>
        <v>1634.1181</v>
      </c>
      <c r="L359" s="4">
        <f t="shared" si="2"/>
        <v>2.188360805</v>
      </c>
    </row>
    <row r="360">
      <c r="A360" s="3" t="s">
        <v>72</v>
      </c>
      <c r="B360" s="3">
        <v>53.3</v>
      </c>
      <c r="C360" s="3">
        <v>5.05</v>
      </c>
      <c r="D360" s="3">
        <v>62.5</v>
      </c>
      <c r="E360" s="3">
        <v>3.43</v>
      </c>
      <c r="F360" s="3">
        <v>10.4</v>
      </c>
      <c r="G360" s="3">
        <v>39.06</v>
      </c>
      <c r="H360" s="3">
        <v>0.0</v>
      </c>
      <c r="I360" s="3">
        <v>6.2</v>
      </c>
      <c r="J360" s="3">
        <v>0.0</v>
      </c>
      <c r="K360" s="4">
        <f t="shared" si="1"/>
        <v>1633.8436</v>
      </c>
      <c r="L360" s="4">
        <f t="shared" si="2"/>
        <v>2.390834716</v>
      </c>
    </row>
    <row r="361">
      <c r="A361" s="3" t="s">
        <v>72</v>
      </c>
      <c r="B361" s="3">
        <v>53.3</v>
      </c>
      <c r="C361" s="3">
        <v>5.83</v>
      </c>
      <c r="D361" s="3">
        <v>61.8</v>
      </c>
      <c r="E361" s="3">
        <v>3.98</v>
      </c>
      <c r="F361" s="3">
        <v>12.1</v>
      </c>
      <c r="G361" s="3">
        <v>38.38</v>
      </c>
      <c r="H361" s="3">
        <v>0.0</v>
      </c>
      <c r="I361" s="3">
        <v>3.7</v>
      </c>
      <c r="J361" s="3">
        <v>0.0</v>
      </c>
      <c r="K361" s="4">
        <f t="shared" si="1"/>
        <v>1619.4344</v>
      </c>
      <c r="L361" s="4">
        <f t="shared" si="2"/>
        <v>2.35837895</v>
      </c>
    </row>
    <row r="362">
      <c r="A362" s="3" t="s">
        <v>72</v>
      </c>
      <c r="B362" s="3">
        <v>53.3</v>
      </c>
      <c r="C362" s="3">
        <v>6.09</v>
      </c>
      <c r="D362" s="3">
        <v>64.4</v>
      </c>
      <c r="E362" s="3">
        <v>4.9</v>
      </c>
      <c r="F362" s="3">
        <v>12.72</v>
      </c>
      <c r="G362" s="3">
        <v>38.13</v>
      </c>
      <c r="H362" s="3">
        <v>0.0</v>
      </c>
      <c r="I362" s="3">
        <v>3.52</v>
      </c>
      <c r="J362" s="3">
        <v>0.0</v>
      </c>
      <c r="K362" s="4">
        <f t="shared" si="1"/>
        <v>1615.6953</v>
      </c>
      <c r="L362" s="4">
        <f t="shared" si="2"/>
        <v>2.566919641</v>
      </c>
    </row>
    <row r="363">
      <c r="A363" s="3" t="s">
        <v>72</v>
      </c>
      <c r="B363" s="3">
        <v>53.3</v>
      </c>
      <c r="C363" s="3">
        <v>6.74</v>
      </c>
      <c r="D363" s="3">
        <v>67.2</v>
      </c>
      <c r="E363" s="3">
        <v>4.9</v>
      </c>
      <c r="F363" s="3">
        <v>14.18</v>
      </c>
      <c r="G363" s="3">
        <v>39.23</v>
      </c>
      <c r="H363" s="3">
        <v>0.0</v>
      </c>
      <c r="I363" s="3">
        <v>2.89</v>
      </c>
      <c r="J363" s="3">
        <v>0.0</v>
      </c>
      <c r="K363" s="4">
        <f t="shared" si="1"/>
        <v>1740.0653</v>
      </c>
      <c r="L363" s="4">
        <f t="shared" si="2"/>
        <v>2.59521295</v>
      </c>
    </row>
    <row r="364">
      <c r="A364" s="3" t="s">
        <v>72</v>
      </c>
      <c r="B364" s="3">
        <v>53.3</v>
      </c>
      <c r="C364" s="3">
        <v>7.29</v>
      </c>
      <c r="D364" s="3">
        <v>69.9</v>
      </c>
      <c r="E364" s="3">
        <v>4.9</v>
      </c>
      <c r="F364" s="3">
        <v>15.33</v>
      </c>
      <c r="G364" s="3">
        <v>36.96</v>
      </c>
      <c r="H364" s="3">
        <v>0.0</v>
      </c>
      <c r="I364" s="3">
        <v>0.0</v>
      </c>
      <c r="J364" s="3">
        <v>0.0</v>
      </c>
      <c r="K364" s="4">
        <f t="shared" si="1"/>
        <v>1601.0505</v>
      </c>
      <c r="L364" s="4">
        <f t="shared" si="2"/>
        <v>3.051752584</v>
      </c>
    </row>
    <row r="365">
      <c r="A365" s="3" t="s">
        <v>73</v>
      </c>
      <c r="B365" s="3">
        <v>3.91</v>
      </c>
      <c r="C365" s="3">
        <v>0.85</v>
      </c>
      <c r="D365" s="3">
        <v>10.3</v>
      </c>
      <c r="E365" s="3">
        <v>0.2</v>
      </c>
      <c r="F365" s="3">
        <v>0.0</v>
      </c>
      <c r="G365" s="3">
        <v>9.59</v>
      </c>
      <c r="H365" s="3">
        <v>0.0</v>
      </c>
      <c r="I365" s="3">
        <v>16.75</v>
      </c>
      <c r="J365" s="3">
        <v>0.0</v>
      </c>
      <c r="K365" s="4">
        <f t="shared" si="1"/>
        <v>91.9681</v>
      </c>
      <c r="L365" s="4">
        <f t="shared" si="2"/>
        <v>1.153552156</v>
      </c>
    </row>
    <row r="366">
      <c r="A366" s="3" t="s">
        <v>73</v>
      </c>
      <c r="B366" s="3">
        <v>3.91</v>
      </c>
      <c r="C366" s="3">
        <v>1.14</v>
      </c>
      <c r="D366" s="3">
        <v>12.9</v>
      </c>
      <c r="E366" s="3">
        <v>2.7</v>
      </c>
      <c r="F366" s="3">
        <v>0.0</v>
      </c>
      <c r="G366" s="3">
        <v>11.99</v>
      </c>
      <c r="H366" s="3">
        <v>0.0</v>
      </c>
      <c r="I366" s="3">
        <v>14.92</v>
      </c>
      <c r="J366" s="3">
        <v>0.0</v>
      </c>
      <c r="K366" s="4">
        <f t="shared" si="1"/>
        <v>143.7601</v>
      </c>
      <c r="L366" s="4">
        <f t="shared" si="2"/>
        <v>1.157553452</v>
      </c>
    </row>
    <row r="367">
      <c r="A367" s="3" t="s">
        <v>73</v>
      </c>
      <c r="B367" s="3">
        <v>3.91</v>
      </c>
      <c r="C367" s="3">
        <v>1.42</v>
      </c>
      <c r="D367" s="3">
        <v>16.4</v>
      </c>
      <c r="E367" s="3">
        <v>1.8</v>
      </c>
      <c r="F367" s="3">
        <v>0.94</v>
      </c>
      <c r="G367" s="3">
        <v>13.83</v>
      </c>
      <c r="H367" s="3">
        <v>0.0</v>
      </c>
      <c r="I367" s="3">
        <v>13.07</v>
      </c>
      <c r="J367" s="3">
        <v>0.0</v>
      </c>
      <c r="K367" s="4">
        <f t="shared" si="1"/>
        <v>192.1525</v>
      </c>
      <c r="L367" s="4">
        <f t="shared" si="2"/>
        <v>1.399721575</v>
      </c>
    </row>
    <row r="368">
      <c r="A368" s="3" t="s">
        <v>73</v>
      </c>
      <c r="B368" s="3">
        <v>3.91</v>
      </c>
      <c r="C368" s="3">
        <v>1.71</v>
      </c>
      <c r="D368" s="3">
        <v>18.6</v>
      </c>
      <c r="E368" s="3">
        <v>2.1</v>
      </c>
      <c r="F368" s="3">
        <v>3.44</v>
      </c>
      <c r="G368" s="3">
        <v>15.27</v>
      </c>
      <c r="H368" s="3">
        <v>0.0</v>
      </c>
      <c r="I368" s="3">
        <v>11.58</v>
      </c>
      <c r="J368" s="3">
        <v>0.0</v>
      </c>
      <c r="K368" s="4">
        <f t="shared" si="1"/>
        <v>245.0065</v>
      </c>
      <c r="L368" s="4">
        <f t="shared" si="2"/>
        <v>1.41204417</v>
      </c>
    </row>
    <row r="369">
      <c r="A369" s="3" t="s">
        <v>73</v>
      </c>
      <c r="B369" s="3">
        <v>3.91</v>
      </c>
      <c r="C369" s="3">
        <v>1.99</v>
      </c>
      <c r="D369" s="3">
        <v>19.8</v>
      </c>
      <c r="E369" s="3">
        <v>2.0</v>
      </c>
      <c r="F369" s="3">
        <v>5.14</v>
      </c>
      <c r="G369" s="3">
        <v>16.76</v>
      </c>
      <c r="H369" s="3">
        <v>0.0</v>
      </c>
      <c r="I369" s="3">
        <v>10.8</v>
      </c>
      <c r="J369" s="3">
        <v>0.0</v>
      </c>
      <c r="K369" s="4">
        <f t="shared" si="1"/>
        <v>307.3172</v>
      </c>
      <c r="L369" s="4">
        <f t="shared" si="2"/>
        <v>1.275685188</v>
      </c>
    </row>
    <row r="370">
      <c r="A370" s="3" t="s">
        <v>73</v>
      </c>
      <c r="B370" s="3">
        <v>3.91</v>
      </c>
      <c r="C370" s="3">
        <v>2.28</v>
      </c>
      <c r="D370" s="3">
        <v>26.1</v>
      </c>
      <c r="E370" s="3">
        <v>0.6</v>
      </c>
      <c r="F370" s="3">
        <v>5.82</v>
      </c>
      <c r="G370" s="3">
        <v>17.77</v>
      </c>
      <c r="H370" s="3">
        <v>0.0</v>
      </c>
      <c r="I370" s="3">
        <v>9.24</v>
      </c>
      <c r="J370" s="3">
        <v>0.0</v>
      </c>
      <c r="K370" s="4">
        <f t="shared" si="1"/>
        <v>349.6453</v>
      </c>
      <c r="L370" s="4">
        <f t="shared" si="2"/>
        <v>1.948288737</v>
      </c>
    </row>
    <row r="371">
      <c r="A371" s="3" t="s">
        <v>73</v>
      </c>
      <c r="B371" s="3">
        <v>3.91</v>
      </c>
      <c r="C371" s="3">
        <v>2.55</v>
      </c>
      <c r="D371" s="3">
        <v>27.7</v>
      </c>
      <c r="E371" s="3">
        <v>2.7</v>
      </c>
      <c r="F371" s="3">
        <v>6.87</v>
      </c>
      <c r="G371" s="3">
        <v>18.7</v>
      </c>
      <c r="H371" s="3">
        <v>0.0</v>
      </c>
      <c r="I371" s="3">
        <v>8.42</v>
      </c>
      <c r="J371" s="3">
        <v>0.0</v>
      </c>
      <c r="K371" s="4">
        <f t="shared" si="1"/>
        <v>396.8869</v>
      </c>
      <c r="L371" s="4">
        <f t="shared" si="2"/>
        <v>1.933271166</v>
      </c>
    </row>
    <row r="372">
      <c r="A372" s="3" t="s">
        <v>73</v>
      </c>
      <c r="B372" s="3">
        <v>3.91</v>
      </c>
      <c r="C372" s="3">
        <v>2.84</v>
      </c>
      <c r="D372" s="3">
        <v>29.7</v>
      </c>
      <c r="E372" s="3">
        <v>2.6</v>
      </c>
      <c r="F372" s="3">
        <v>7.58</v>
      </c>
      <c r="G372" s="3">
        <v>19.36</v>
      </c>
      <c r="H372" s="3">
        <v>0.0</v>
      </c>
      <c r="I372" s="3">
        <v>7.37</v>
      </c>
      <c r="J372" s="3">
        <v>0.0</v>
      </c>
      <c r="K372" s="4">
        <f t="shared" si="1"/>
        <v>432.266</v>
      </c>
      <c r="L372" s="4">
        <f t="shared" si="2"/>
        <v>2.040618508</v>
      </c>
    </row>
    <row r="373">
      <c r="A373" s="3" t="s">
        <v>73</v>
      </c>
      <c r="B373" s="3">
        <v>3.91</v>
      </c>
      <c r="C373" s="3">
        <v>3.13</v>
      </c>
      <c r="D373" s="3">
        <v>33.0</v>
      </c>
      <c r="E373" s="3">
        <v>3.4</v>
      </c>
      <c r="F373" s="3">
        <v>8.21</v>
      </c>
      <c r="G373" s="3">
        <v>19.89</v>
      </c>
      <c r="H373" s="3">
        <v>0.0</v>
      </c>
      <c r="I373" s="3">
        <v>6.93</v>
      </c>
      <c r="J373" s="3">
        <v>0.0</v>
      </c>
      <c r="K373" s="4">
        <f t="shared" si="1"/>
        <v>463.0162</v>
      </c>
      <c r="L373" s="4">
        <f t="shared" si="2"/>
        <v>2.351969542</v>
      </c>
    </row>
    <row r="374">
      <c r="A374" s="3" t="s">
        <v>73</v>
      </c>
      <c r="B374" s="3">
        <v>3.91</v>
      </c>
      <c r="C374" s="3">
        <v>3.41</v>
      </c>
      <c r="D374" s="3">
        <v>34.8</v>
      </c>
      <c r="E374" s="3">
        <v>1.2</v>
      </c>
      <c r="F374" s="3">
        <v>8.78</v>
      </c>
      <c r="G374" s="3">
        <v>20.19</v>
      </c>
      <c r="H374" s="3">
        <v>0.0</v>
      </c>
      <c r="I374" s="3">
        <v>5.88</v>
      </c>
      <c r="J374" s="3">
        <v>0.0</v>
      </c>
      <c r="K374" s="4">
        <f t="shared" si="1"/>
        <v>484.7245</v>
      </c>
      <c r="L374" s="4">
        <f t="shared" si="2"/>
        <v>2.49840889</v>
      </c>
    </row>
    <row r="375">
      <c r="A375" s="3" t="s">
        <v>73</v>
      </c>
      <c r="B375" s="3">
        <v>3.91</v>
      </c>
      <c r="C375" s="3">
        <v>3.7</v>
      </c>
      <c r="D375" s="3">
        <v>35.0</v>
      </c>
      <c r="E375" s="3">
        <v>0.9</v>
      </c>
      <c r="F375" s="3">
        <v>8.64</v>
      </c>
      <c r="G375" s="3">
        <v>20.15</v>
      </c>
      <c r="H375" s="3">
        <v>0.0</v>
      </c>
      <c r="I375" s="3">
        <v>5.69</v>
      </c>
      <c r="J375" s="3">
        <v>0.0</v>
      </c>
      <c r="K375" s="4">
        <f t="shared" si="1"/>
        <v>480.6721</v>
      </c>
      <c r="L375" s="4">
        <f t="shared" si="2"/>
        <v>2.548514882</v>
      </c>
    </row>
    <row r="376">
      <c r="A376" s="3" t="s">
        <v>73</v>
      </c>
      <c r="B376" s="3">
        <v>3.91</v>
      </c>
      <c r="C376" s="3">
        <v>3.98</v>
      </c>
      <c r="D376" s="3">
        <v>39.0</v>
      </c>
      <c r="E376" s="3">
        <v>10.2</v>
      </c>
      <c r="F376" s="3">
        <v>7.98</v>
      </c>
      <c r="G376" s="3">
        <v>20.39</v>
      </c>
      <c r="H376" s="3">
        <v>0.0</v>
      </c>
      <c r="I376" s="3">
        <v>5.87</v>
      </c>
      <c r="J376" s="3">
        <v>0.0</v>
      </c>
      <c r="K376" s="4">
        <f t="shared" si="1"/>
        <v>479.4325</v>
      </c>
      <c r="L376" s="4">
        <f t="shared" si="2"/>
        <v>3.172500821</v>
      </c>
    </row>
    <row r="377">
      <c r="A377" s="3" t="s">
        <v>73</v>
      </c>
      <c r="B377" s="3">
        <v>3.91</v>
      </c>
      <c r="C377" s="3">
        <v>4.26</v>
      </c>
      <c r="D377" s="3">
        <v>35.9</v>
      </c>
      <c r="E377" s="3">
        <v>5.4</v>
      </c>
      <c r="F377" s="3">
        <v>7.97</v>
      </c>
      <c r="G377" s="3">
        <v>21.28</v>
      </c>
      <c r="H377" s="3">
        <v>0.0</v>
      </c>
      <c r="I377" s="3">
        <v>6.08</v>
      </c>
      <c r="J377" s="3">
        <v>0.0</v>
      </c>
      <c r="K377" s="4">
        <f t="shared" si="1"/>
        <v>516.3593</v>
      </c>
      <c r="L377" s="4">
        <f t="shared" si="2"/>
        <v>2.49595582</v>
      </c>
    </row>
    <row r="378">
      <c r="A378" s="3" t="s">
        <v>73</v>
      </c>
      <c r="B378" s="3">
        <v>3.91</v>
      </c>
      <c r="C378" s="3">
        <v>4.55</v>
      </c>
      <c r="D378" s="3">
        <v>40.0</v>
      </c>
      <c r="E378" s="3">
        <v>4.1</v>
      </c>
      <c r="F378" s="3">
        <v>10.01</v>
      </c>
      <c r="G378" s="3">
        <v>22.72</v>
      </c>
      <c r="H378" s="3">
        <v>0.0</v>
      </c>
      <c r="I378" s="3">
        <v>6.5</v>
      </c>
      <c r="J378" s="3">
        <v>0.0</v>
      </c>
      <c r="K378" s="4">
        <f t="shared" si="1"/>
        <v>616.3985</v>
      </c>
      <c r="L378" s="4">
        <f t="shared" si="2"/>
        <v>2.595723383</v>
      </c>
    </row>
    <row r="379">
      <c r="A379" s="3" t="s">
        <v>73</v>
      </c>
      <c r="B379" s="3">
        <v>3.91</v>
      </c>
      <c r="C379" s="3">
        <v>4.84</v>
      </c>
      <c r="D379" s="3">
        <v>38.7</v>
      </c>
      <c r="E379" s="3">
        <v>1.4</v>
      </c>
      <c r="F379" s="3">
        <v>11.42</v>
      </c>
      <c r="G379" s="3">
        <v>24.6</v>
      </c>
      <c r="H379" s="3">
        <v>0.0</v>
      </c>
      <c r="I379" s="3">
        <v>5.76</v>
      </c>
      <c r="J379" s="3">
        <v>0.0</v>
      </c>
      <c r="K379" s="4">
        <f t="shared" si="1"/>
        <v>735.5764</v>
      </c>
      <c r="L379" s="4">
        <f t="shared" si="2"/>
        <v>2.036076742</v>
      </c>
    </row>
    <row r="380">
      <c r="A380" s="3" t="s">
        <v>73</v>
      </c>
      <c r="B380" s="3">
        <v>3.91</v>
      </c>
      <c r="C380" s="3">
        <v>5.12</v>
      </c>
      <c r="D380" s="3">
        <v>41.8</v>
      </c>
      <c r="E380" s="3">
        <v>0.5</v>
      </c>
      <c r="F380" s="3">
        <v>12.67</v>
      </c>
      <c r="G380" s="3">
        <v>25.34</v>
      </c>
      <c r="H380" s="3">
        <v>0.0</v>
      </c>
      <c r="I380" s="3">
        <v>4.6</v>
      </c>
      <c r="J380" s="3">
        <v>0.0</v>
      </c>
      <c r="K380" s="4">
        <f t="shared" si="1"/>
        <v>802.6445</v>
      </c>
      <c r="L380" s="4">
        <f t="shared" si="2"/>
        <v>2.176854137</v>
      </c>
    </row>
    <row r="381">
      <c r="A381" s="3" t="s">
        <v>73</v>
      </c>
      <c r="B381" s="3">
        <v>3.91</v>
      </c>
      <c r="C381" s="3">
        <v>5.41</v>
      </c>
      <c r="D381" s="3">
        <v>42.9</v>
      </c>
      <c r="E381" s="3">
        <v>0.4</v>
      </c>
      <c r="F381" s="3">
        <v>13.13</v>
      </c>
      <c r="G381" s="3">
        <v>25.74</v>
      </c>
      <c r="H381" s="3">
        <v>0.0</v>
      </c>
      <c r="I381" s="3">
        <v>4.3</v>
      </c>
      <c r="J381" s="3">
        <v>0.0</v>
      </c>
      <c r="K381" s="4">
        <f t="shared" si="1"/>
        <v>834.9445</v>
      </c>
      <c r="L381" s="4">
        <f t="shared" si="2"/>
        <v>2.204230341</v>
      </c>
    </row>
    <row r="382">
      <c r="A382" s="3" t="s">
        <v>73</v>
      </c>
      <c r="B382" s="3">
        <v>3.91</v>
      </c>
      <c r="C382" s="3">
        <v>5.68</v>
      </c>
      <c r="D382" s="3">
        <v>44.4</v>
      </c>
      <c r="E382" s="3">
        <v>1.7</v>
      </c>
      <c r="F382" s="3">
        <v>13.93</v>
      </c>
      <c r="G382" s="3">
        <v>26.48</v>
      </c>
      <c r="H382" s="3">
        <v>0.0</v>
      </c>
      <c r="I382" s="3">
        <v>4.03</v>
      </c>
      <c r="J382" s="3">
        <v>0.0</v>
      </c>
      <c r="K382" s="4">
        <f t="shared" si="1"/>
        <v>895.2353</v>
      </c>
      <c r="L382" s="4">
        <f t="shared" si="2"/>
        <v>2.202057939</v>
      </c>
    </row>
    <row r="383">
      <c r="A383" s="3" t="s">
        <v>73</v>
      </c>
      <c r="B383" s="3">
        <v>3.91</v>
      </c>
      <c r="C383" s="3">
        <v>5.97</v>
      </c>
      <c r="D383" s="3">
        <v>46.1</v>
      </c>
      <c r="E383" s="3">
        <v>1.3</v>
      </c>
      <c r="F383" s="3">
        <v>14.5</v>
      </c>
      <c r="G383" s="3">
        <v>27.15</v>
      </c>
      <c r="H383" s="3">
        <v>0.0</v>
      </c>
      <c r="I383" s="3">
        <v>3.42</v>
      </c>
      <c r="J383" s="3">
        <v>0.0</v>
      </c>
      <c r="K383" s="4">
        <f t="shared" si="1"/>
        <v>947.3725</v>
      </c>
      <c r="L383" s="4">
        <f t="shared" si="2"/>
        <v>2.243267564</v>
      </c>
    </row>
    <row r="384">
      <c r="A384" s="3" t="s">
        <v>73</v>
      </c>
      <c r="B384" s="3">
        <v>3.91</v>
      </c>
      <c r="C384" s="3">
        <v>6.26</v>
      </c>
      <c r="D384" s="3">
        <v>49.0</v>
      </c>
      <c r="E384" s="3">
        <v>0.9</v>
      </c>
      <c r="F384" s="3">
        <v>15.98</v>
      </c>
      <c r="G384" s="3">
        <v>27.39</v>
      </c>
      <c r="H384" s="3">
        <v>0.0</v>
      </c>
      <c r="I384" s="3">
        <v>2.76</v>
      </c>
      <c r="J384" s="3">
        <v>0.0</v>
      </c>
      <c r="K384" s="4">
        <f t="shared" si="1"/>
        <v>1005.5725</v>
      </c>
      <c r="L384" s="4">
        <f t="shared" si="2"/>
        <v>2.387694572</v>
      </c>
    </row>
    <row r="385">
      <c r="A385" s="3" t="s">
        <v>73</v>
      </c>
      <c r="B385" s="3">
        <v>3.91</v>
      </c>
      <c r="C385" s="3">
        <v>6.54</v>
      </c>
      <c r="D385" s="3">
        <v>51.9</v>
      </c>
      <c r="E385" s="3">
        <v>0.6</v>
      </c>
      <c r="F385" s="3">
        <v>17.58</v>
      </c>
      <c r="G385" s="3">
        <v>27.31</v>
      </c>
      <c r="H385" s="3">
        <v>0.0</v>
      </c>
      <c r="I385" s="3">
        <v>2.14</v>
      </c>
      <c r="J385" s="3">
        <v>0.0</v>
      </c>
      <c r="K385" s="4">
        <f t="shared" si="1"/>
        <v>1054.8925</v>
      </c>
      <c r="L385" s="4">
        <f t="shared" si="2"/>
        <v>2.553445019</v>
      </c>
    </row>
    <row r="386">
      <c r="A386" s="3" t="s">
        <v>73</v>
      </c>
      <c r="B386" s="3">
        <v>3.91</v>
      </c>
      <c r="C386" s="3">
        <v>6.83</v>
      </c>
      <c r="D386" s="3">
        <v>53.1</v>
      </c>
      <c r="E386" s="3">
        <v>2.1</v>
      </c>
      <c r="F386" s="3">
        <v>18.38</v>
      </c>
      <c r="G386" s="3">
        <v>26.75</v>
      </c>
      <c r="H386" s="3">
        <v>0.0</v>
      </c>
      <c r="I386" s="3">
        <v>1.67</v>
      </c>
      <c r="J386" s="3">
        <v>0.0</v>
      </c>
      <c r="K386" s="4">
        <f t="shared" si="1"/>
        <v>1053.3869</v>
      </c>
      <c r="L386" s="4">
        <f t="shared" si="2"/>
        <v>2.676708814</v>
      </c>
    </row>
    <row r="387">
      <c r="A387" s="3" t="s">
        <v>73</v>
      </c>
      <c r="B387" s="3">
        <v>3.91</v>
      </c>
      <c r="C387" s="3">
        <v>7.1</v>
      </c>
      <c r="D387" s="3">
        <v>54.0</v>
      </c>
      <c r="E387" s="3">
        <v>0.5</v>
      </c>
      <c r="F387" s="3">
        <v>19.29</v>
      </c>
      <c r="G387" s="3">
        <v>26.25</v>
      </c>
      <c r="H387" s="3">
        <v>0.0</v>
      </c>
      <c r="I387" s="3">
        <v>1.55</v>
      </c>
      <c r="J387" s="3">
        <v>0.0</v>
      </c>
      <c r="K387" s="4">
        <f t="shared" si="1"/>
        <v>1061.1666</v>
      </c>
      <c r="L387" s="4">
        <f t="shared" si="2"/>
        <v>2.74791913</v>
      </c>
    </row>
    <row r="388">
      <c r="A388" s="3" t="s">
        <v>73</v>
      </c>
      <c r="B388" s="3">
        <v>3.91</v>
      </c>
      <c r="C388" s="3">
        <v>7.39</v>
      </c>
      <c r="D388" s="3">
        <v>55.9</v>
      </c>
      <c r="E388" s="3">
        <v>1.1</v>
      </c>
      <c r="F388" s="3">
        <v>19.86</v>
      </c>
      <c r="G388" s="3">
        <v>26.04</v>
      </c>
      <c r="H388" s="3">
        <v>0.0</v>
      </c>
      <c r="I388" s="3">
        <v>1.54</v>
      </c>
      <c r="J388" s="3">
        <v>0.0</v>
      </c>
      <c r="K388" s="4">
        <f t="shared" si="1"/>
        <v>1072.5012</v>
      </c>
      <c r="L388" s="4">
        <f t="shared" si="2"/>
        <v>2.913572498</v>
      </c>
    </row>
    <row r="389">
      <c r="A389" s="3" t="s">
        <v>73</v>
      </c>
      <c r="B389" s="3">
        <v>3.91</v>
      </c>
      <c r="C389" s="3">
        <v>7.68</v>
      </c>
      <c r="D389" s="3">
        <v>58.8</v>
      </c>
      <c r="E389" s="3">
        <v>3.6</v>
      </c>
      <c r="F389" s="3">
        <v>21.01</v>
      </c>
      <c r="G389" s="3">
        <v>25.86</v>
      </c>
      <c r="H389" s="3">
        <v>0.0</v>
      </c>
      <c r="I389" s="3">
        <v>1.4</v>
      </c>
      <c r="J389" s="3">
        <v>0.0</v>
      </c>
      <c r="K389" s="4">
        <f t="shared" si="1"/>
        <v>1110.1597</v>
      </c>
      <c r="L389" s="4">
        <f t="shared" si="2"/>
        <v>3.114362735</v>
      </c>
    </row>
    <row r="390">
      <c r="A390" s="3" t="s">
        <v>73</v>
      </c>
      <c r="B390" s="3">
        <v>3.91</v>
      </c>
      <c r="C390" s="3">
        <v>7.96</v>
      </c>
      <c r="D390" s="3">
        <v>57.3</v>
      </c>
      <c r="E390" s="3">
        <v>4.6</v>
      </c>
      <c r="F390" s="3">
        <v>21.81</v>
      </c>
      <c r="G390" s="3">
        <v>25.77</v>
      </c>
      <c r="H390" s="3">
        <v>0.0</v>
      </c>
      <c r="I390" s="3">
        <v>1.25</v>
      </c>
      <c r="J390" s="3">
        <v>0.0</v>
      </c>
      <c r="K390" s="4">
        <f t="shared" si="1"/>
        <v>1139.769</v>
      </c>
      <c r="L390" s="4">
        <f t="shared" si="2"/>
        <v>2.880662661</v>
      </c>
    </row>
    <row r="391">
      <c r="A391" s="3" t="s">
        <v>73</v>
      </c>
      <c r="B391" s="3">
        <v>3.91</v>
      </c>
      <c r="C391" s="3">
        <v>8.25</v>
      </c>
      <c r="D391" s="3">
        <v>54.0</v>
      </c>
      <c r="E391" s="3">
        <v>9.0</v>
      </c>
      <c r="F391" s="3">
        <v>22.49</v>
      </c>
      <c r="G391" s="3">
        <v>25.57</v>
      </c>
      <c r="H391" s="3">
        <v>0.0</v>
      </c>
      <c r="I391" s="3">
        <v>1.12</v>
      </c>
      <c r="J391" s="3">
        <v>0.0</v>
      </c>
      <c r="K391" s="4">
        <f t="shared" si="1"/>
        <v>1159.625</v>
      </c>
      <c r="L391" s="4">
        <f t="shared" si="2"/>
        <v>2.514606015</v>
      </c>
    </row>
    <row r="392">
      <c r="A392" s="3" t="s">
        <v>73</v>
      </c>
      <c r="B392" s="3">
        <v>3.91</v>
      </c>
      <c r="C392" s="3">
        <v>8.52</v>
      </c>
      <c r="D392" s="3">
        <v>63.8</v>
      </c>
      <c r="E392" s="3">
        <v>12.0</v>
      </c>
      <c r="F392" s="3">
        <v>22.38</v>
      </c>
      <c r="G392" s="3">
        <v>25.47</v>
      </c>
      <c r="H392" s="3">
        <v>0.0</v>
      </c>
      <c r="I392" s="3">
        <v>1.02</v>
      </c>
      <c r="J392" s="3">
        <v>0.0</v>
      </c>
      <c r="K392" s="4">
        <f t="shared" si="1"/>
        <v>1149.5853</v>
      </c>
      <c r="L392" s="4">
        <f t="shared" si="2"/>
        <v>3.540789883</v>
      </c>
    </row>
    <row r="393">
      <c r="A393" s="3" t="s">
        <v>73</v>
      </c>
      <c r="B393" s="3">
        <v>3.91</v>
      </c>
      <c r="C393" s="3">
        <v>8.81</v>
      </c>
      <c r="D393" s="3">
        <v>60.5</v>
      </c>
      <c r="E393" s="3">
        <v>6.2</v>
      </c>
      <c r="F393" s="3">
        <v>22.6</v>
      </c>
      <c r="G393" s="3">
        <v>25.41</v>
      </c>
      <c r="H393" s="3">
        <v>0.0</v>
      </c>
      <c r="I393" s="3">
        <v>0.92</v>
      </c>
      <c r="J393" s="3">
        <v>0.0</v>
      </c>
      <c r="K393" s="4">
        <f t="shared" si="1"/>
        <v>1156.4281</v>
      </c>
      <c r="L393" s="4">
        <f t="shared" si="2"/>
        <v>3.165134088</v>
      </c>
    </row>
    <row r="394">
      <c r="A394" s="3" t="s">
        <v>73</v>
      </c>
      <c r="B394" s="3">
        <v>3.91</v>
      </c>
      <c r="C394" s="3">
        <v>9.1</v>
      </c>
      <c r="D394" s="3">
        <v>61.0</v>
      </c>
      <c r="E394" s="3">
        <v>5.7</v>
      </c>
      <c r="F394" s="3">
        <v>22.95</v>
      </c>
      <c r="G394" s="3">
        <v>25.38</v>
      </c>
      <c r="H394" s="3">
        <v>0.0</v>
      </c>
      <c r="I394" s="3">
        <v>0.83</v>
      </c>
      <c r="J394" s="3">
        <v>0.0</v>
      </c>
      <c r="K394" s="4">
        <f t="shared" si="1"/>
        <v>1170.8469</v>
      </c>
      <c r="L394" s="4">
        <f t="shared" si="2"/>
        <v>3.178041467</v>
      </c>
    </row>
    <row r="395">
      <c r="A395" s="3" t="s">
        <v>73</v>
      </c>
      <c r="B395" s="3">
        <v>3.91</v>
      </c>
      <c r="C395" s="3">
        <v>9.38</v>
      </c>
      <c r="D395" s="3">
        <v>66.0</v>
      </c>
      <c r="E395" s="3">
        <v>1.3</v>
      </c>
      <c r="F395" s="3">
        <v>23.63</v>
      </c>
      <c r="G395" s="3">
        <v>25.51</v>
      </c>
      <c r="H395" s="3">
        <v>0.0</v>
      </c>
      <c r="I395" s="3">
        <v>0.75</v>
      </c>
      <c r="J395" s="3">
        <v>0.0</v>
      </c>
      <c r="K395" s="4">
        <f t="shared" si="1"/>
        <v>1209.137</v>
      </c>
      <c r="L395" s="4">
        <f t="shared" si="2"/>
        <v>3.602569436</v>
      </c>
    </row>
    <row r="396">
      <c r="A396" s="3" t="s">
        <v>73</v>
      </c>
      <c r="B396" s="3">
        <v>3.91</v>
      </c>
      <c r="C396" s="3">
        <v>9.67</v>
      </c>
      <c r="D396" s="3">
        <v>65.2</v>
      </c>
      <c r="E396" s="3">
        <v>3.4</v>
      </c>
      <c r="F396" s="3">
        <v>24.89</v>
      </c>
      <c r="G396" s="3">
        <v>25.74</v>
      </c>
      <c r="H396" s="3">
        <v>0.0</v>
      </c>
      <c r="I396" s="3">
        <v>0.67</v>
      </c>
      <c r="J396" s="3">
        <v>0.0</v>
      </c>
      <c r="K396" s="4">
        <f t="shared" si="1"/>
        <v>1282.0597</v>
      </c>
      <c r="L396" s="4">
        <f t="shared" si="2"/>
        <v>3.315789429</v>
      </c>
    </row>
    <row r="397">
      <c r="A397" s="3" t="s">
        <v>73</v>
      </c>
      <c r="B397" s="3">
        <v>3.91</v>
      </c>
      <c r="C397" s="3">
        <v>9.96</v>
      </c>
      <c r="D397" s="3">
        <v>67.1</v>
      </c>
      <c r="E397" s="3">
        <v>4.7</v>
      </c>
      <c r="F397" s="3">
        <v>25.8</v>
      </c>
      <c r="G397" s="3">
        <v>24.84</v>
      </c>
      <c r="H397" s="3">
        <v>0.0</v>
      </c>
      <c r="I397" s="3">
        <v>0.0</v>
      </c>
      <c r="J397" s="3">
        <v>0.0</v>
      </c>
      <c r="K397" s="4">
        <f t="shared" si="1"/>
        <v>1282.6656</v>
      </c>
      <c r="L397" s="4">
        <f t="shared" si="2"/>
        <v>3.510197826</v>
      </c>
    </row>
    <row r="398">
      <c r="A398" s="3" t="s">
        <v>73</v>
      </c>
      <c r="B398" s="3">
        <v>3.91</v>
      </c>
      <c r="C398" s="3">
        <v>10.23</v>
      </c>
      <c r="D398" s="3">
        <v>67.5</v>
      </c>
      <c r="E398" s="3">
        <v>9.3</v>
      </c>
      <c r="F398" s="3">
        <v>27.17</v>
      </c>
      <c r="G398" s="3">
        <v>23.97</v>
      </c>
      <c r="H398" s="3">
        <v>0.0</v>
      </c>
      <c r="I398" s="3">
        <v>0.0</v>
      </c>
      <c r="J398" s="3">
        <v>0.0</v>
      </c>
      <c r="K398" s="4">
        <f t="shared" si="1"/>
        <v>1312.7698</v>
      </c>
      <c r="L398" s="4">
        <f t="shared" si="2"/>
        <v>3.470715125</v>
      </c>
    </row>
    <row r="399">
      <c r="A399" s="3" t="s">
        <v>74</v>
      </c>
      <c r="B399" s="3">
        <v>100.4</v>
      </c>
      <c r="C399" s="3">
        <v>0.77</v>
      </c>
      <c r="D399" s="3">
        <v>35.1</v>
      </c>
      <c r="E399" s="3">
        <v>3.96</v>
      </c>
      <c r="F399" s="3">
        <v>2.22</v>
      </c>
      <c r="G399" s="3">
        <v>20.98</v>
      </c>
      <c r="H399" s="3">
        <v>133.76</v>
      </c>
      <c r="I399" s="3">
        <v>335.17</v>
      </c>
      <c r="J399" s="3">
        <v>2678.7</v>
      </c>
      <c r="K399" s="4">
        <f t="shared" si="1"/>
        <v>445.0888</v>
      </c>
      <c r="L399" s="4">
        <f t="shared" si="2"/>
        <v>2.76800944</v>
      </c>
    </row>
    <row r="400">
      <c r="A400" s="3" t="s">
        <v>74</v>
      </c>
      <c r="B400" s="3">
        <v>100.4</v>
      </c>
      <c r="C400" s="3">
        <v>1.59</v>
      </c>
      <c r="D400" s="3">
        <v>77.9</v>
      </c>
      <c r="E400" s="3">
        <v>3.95</v>
      </c>
      <c r="F400" s="3">
        <v>3.89</v>
      </c>
      <c r="G400" s="3">
        <v>40.96</v>
      </c>
      <c r="H400" s="3">
        <v>176.62</v>
      </c>
      <c r="I400" s="3">
        <v>322.39</v>
      </c>
      <c r="J400" s="3">
        <v>948.63</v>
      </c>
      <c r="K400" s="4">
        <f t="shared" si="1"/>
        <v>1692.8537</v>
      </c>
      <c r="L400" s="4">
        <f t="shared" si="2"/>
        <v>3.584722058</v>
      </c>
    </row>
    <row r="401">
      <c r="A401" s="3" t="s">
        <v>74</v>
      </c>
      <c r="B401" s="3">
        <v>100.4</v>
      </c>
      <c r="C401" s="3">
        <v>2.36</v>
      </c>
      <c r="D401" s="3">
        <v>115.0</v>
      </c>
      <c r="E401" s="3">
        <v>6.7</v>
      </c>
      <c r="F401" s="3">
        <v>4.02</v>
      </c>
      <c r="G401" s="3">
        <v>58.24</v>
      </c>
      <c r="H401" s="3">
        <v>176.92</v>
      </c>
      <c r="I401" s="3">
        <v>310.83</v>
      </c>
      <c r="J401" s="3">
        <v>463.05</v>
      </c>
      <c r="K401" s="4">
        <f t="shared" si="1"/>
        <v>3408.058</v>
      </c>
      <c r="L401" s="4">
        <f t="shared" si="2"/>
        <v>3.880509076</v>
      </c>
    </row>
    <row r="402">
      <c r="A402" s="3" t="s">
        <v>74</v>
      </c>
      <c r="B402" s="3">
        <v>100.4</v>
      </c>
      <c r="C402" s="3">
        <v>3.13</v>
      </c>
      <c r="D402" s="3">
        <v>156.0</v>
      </c>
      <c r="E402" s="3">
        <v>3.16</v>
      </c>
      <c r="F402" s="3">
        <v>0.9</v>
      </c>
      <c r="G402" s="3">
        <v>74.68</v>
      </c>
      <c r="H402" s="3">
        <v>172.53</v>
      </c>
      <c r="I402" s="3">
        <v>299.69</v>
      </c>
      <c r="J402" s="3">
        <v>349.2</v>
      </c>
      <c r="K402" s="4">
        <f t="shared" si="1"/>
        <v>5577.9124</v>
      </c>
      <c r="L402" s="4">
        <f t="shared" si="2"/>
        <v>4.362922587</v>
      </c>
    </row>
    <row r="403">
      <c r="A403" s="3" t="s">
        <v>74</v>
      </c>
      <c r="B403" s="3">
        <v>100.4</v>
      </c>
      <c r="C403" s="3">
        <v>3.95</v>
      </c>
      <c r="D403" s="3">
        <v>192.0</v>
      </c>
      <c r="E403" s="3">
        <v>3.14</v>
      </c>
      <c r="F403" s="3">
        <v>0.0</v>
      </c>
      <c r="G403" s="3">
        <v>91.45</v>
      </c>
      <c r="H403" s="3">
        <v>173.49</v>
      </c>
      <c r="I403" s="3">
        <v>288.26</v>
      </c>
      <c r="J403" s="3">
        <v>188.22</v>
      </c>
      <c r="K403" s="4">
        <f t="shared" si="1"/>
        <v>8363.1025</v>
      </c>
      <c r="L403" s="4">
        <f t="shared" si="2"/>
        <v>4.407933539</v>
      </c>
    </row>
    <row r="404">
      <c r="A404" s="3" t="s">
        <v>74</v>
      </c>
      <c r="B404" s="3">
        <v>100.4</v>
      </c>
      <c r="C404" s="3">
        <v>4.73</v>
      </c>
      <c r="D404" s="3">
        <v>204.0</v>
      </c>
      <c r="E404" s="3">
        <v>2.9</v>
      </c>
      <c r="F404" s="3">
        <v>0.0</v>
      </c>
      <c r="G404" s="3">
        <v>107.35</v>
      </c>
      <c r="H404" s="3">
        <v>174.08</v>
      </c>
      <c r="I404" s="3">
        <v>276.77</v>
      </c>
      <c r="J404" s="3">
        <v>83.53</v>
      </c>
      <c r="K404" s="4">
        <f t="shared" si="1"/>
        <v>11524.0225</v>
      </c>
      <c r="L404" s="4">
        <f t="shared" si="2"/>
        <v>3.611239044</v>
      </c>
    </row>
    <row r="405">
      <c r="A405" s="3" t="s">
        <v>74</v>
      </c>
      <c r="B405" s="3">
        <v>100.4</v>
      </c>
      <c r="C405" s="3">
        <v>5.5</v>
      </c>
      <c r="D405" s="3">
        <v>209.0</v>
      </c>
      <c r="E405" s="3">
        <v>3.36</v>
      </c>
      <c r="F405" s="3">
        <v>0.0</v>
      </c>
      <c r="G405" s="3">
        <v>120.52</v>
      </c>
      <c r="H405" s="3">
        <v>167.74</v>
      </c>
      <c r="I405" s="3">
        <v>257.54</v>
      </c>
      <c r="J405" s="3">
        <v>24.93</v>
      </c>
      <c r="K405" s="4">
        <f t="shared" si="1"/>
        <v>14525.0704</v>
      </c>
      <c r="L405" s="4">
        <f t="shared" si="2"/>
        <v>3.007283187</v>
      </c>
    </row>
    <row r="406">
      <c r="A406" s="3" t="s">
        <v>74</v>
      </c>
      <c r="B406" s="3">
        <v>100.4</v>
      </c>
      <c r="C406" s="3">
        <v>6.27</v>
      </c>
      <c r="D406" s="3">
        <v>220.0</v>
      </c>
      <c r="E406" s="3">
        <v>3.25</v>
      </c>
      <c r="F406" s="3">
        <v>0.0</v>
      </c>
      <c r="G406" s="3">
        <v>132.68</v>
      </c>
      <c r="H406" s="3">
        <v>159.21</v>
      </c>
      <c r="I406" s="3">
        <v>255.77</v>
      </c>
      <c r="J406" s="3">
        <v>7.38</v>
      </c>
      <c r="K406" s="4">
        <f t="shared" si="1"/>
        <v>17603.9824</v>
      </c>
      <c r="L406" s="4">
        <f t="shared" si="2"/>
        <v>2.749377891</v>
      </c>
    </row>
    <row r="407">
      <c r="A407" s="3" t="s">
        <v>74</v>
      </c>
      <c r="B407" s="3">
        <v>100.4</v>
      </c>
      <c r="C407" s="3">
        <v>7.08</v>
      </c>
      <c r="D407" s="3">
        <v>231.0</v>
      </c>
      <c r="E407" s="3">
        <v>3.49</v>
      </c>
      <c r="F407" s="3">
        <v>0.0</v>
      </c>
      <c r="G407" s="3">
        <v>150.86</v>
      </c>
      <c r="H407" s="3">
        <v>150.44</v>
      </c>
      <c r="I407" s="3">
        <v>254.06</v>
      </c>
      <c r="J407" s="3">
        <v>2.06</v>
      </c>
      <c r="K407" s="4">
        <f t="shared" si="1"/>
        <v>22758.7396</v>
      </c>
      <c r="L407" s="4">
        <f t="shared" si="2"/>
        <v>2.34463775</v>
      </c>
    </row>
    <row r="408">
      <c r="A408" s="3" t="s">
        <v>74</v>
      </c>
      <c r="B408" s="3">
        <v>100.4</v>
      </c>
      <c r="C408" s="3">
        <v>7.86</v>
      </c>
      <c r="D408" s="3">
        <v>235.0</v>
      </c>
      <c r="E408" s="3">
        <v>4.65</v>
      </c>
      <c r="F408" s="3">
        <v>0.24</v>
      </c>
      <c r="G408" s="3">
        <v>170.8</v>
      </c>
      <c r="H408" s="3">
        <v>142.84</v>
      </c>
      <c r="I408" s="3">
        <v>239.48</v>
      </c>
      <c r="J408" s="3">
        <v>0.6</v>
      </c>
      <c r="K408" s="4">
        <f t="shared" si="1"/>
        <v>29172.6976</v>
      </c>
      <c r="L408" s="4">
        <f t="shared" si="2"/>
        <v>1.893037139</v>
      </c>
    </row>
    <row r="409">
      <c r="A409" s="3" t="s">
        <v>74</v>
      </c>
      <c r="B409" s="3">
        <v>100.4</v>
      </c>
      <c r="C409" s="3">
        <v>8.66</v>
      </c>
      <c r="D409" s="3">
        <v>245.0</v>
      </c>
      <c r="E409" s="3">
        <v>6.0</v>
      </c>
      <c r="F409" s="3">
        <v>0.0</v>
      </c>
      <c r="G409" s="3">
        <v>187.59</v>
      </c>
      <c r="H409" s="3">
        <v>136.33</v>
      </c>
      <c r="I409" s="3">
        <v>211.03</v>
      </c>
      <c r="J409" s="3">
        <v>0.17</v>
      </c>
      <c r="K409" s="4">
        <f t="shared" si="1"/>
        <v>35190.0081</v>
      </c>
      <c r="L409" s="4">
        <f t="shared" si="2"/>
        <v>1.705739874</v>
      </c>
    </row>
    <row r="410">
      <c r="A410" s="3" t="s">
        <v>74</v>
      </c>
      <c r="B410" s="3">
        <v>100.4</v>
      </c>
      <c r="C410" s="3">
        <v>9.45</v>
      </c>
      <c r="D410" s="3">
        <v>246.0</v>
      </c>
      <c r="E410" s="3">
        <v>5.57</v>
      </c>
      <c r="F410" s="3">
        <v>3.8</v>
      </c>
      <c r="G410" s="3">
        <v>199.82</v>
      </c>
      <c r="H410" s="3">
        <v>130.53</v>
      </c>
      <c r="I410" s="3">
        <v>180.74</v>
      </c>
      <c r="J410" s="3">
        <v>0.05</v>
      </c>
      <c r="K410" s="4">
        <f t="shared" si="1"/>
        <v>39942.4724</v>
      </c>
      <c r="L410" s="4">
        <f t="shared" si="2"/>
        <v>1.515078971</v>
      </c>
    </row>
    <row r="411">
      <c r="A411" s="3" t="s">
        <v>74</v>
      </c>
      <c r="B411" s="3">
        <v>100.4</v>
      </c>
      <c r="C411" s="3">
        <v>10.24</v>
      </c>
      <c r="D411" s="3">
        <v>239.0</v>
      </c>
      <c r="E411" s="3">
        <v>6.95</v>
      </c>
      <c r="F411" s="3">
        <v>0.0</v>
      </c>
      <c r="G411" s="3">
        <v>208.12</v>
      </c>
      <c r="H411" s="3">
        <v>125.41</v>
      </c>
      <c r="I411" s="3">
        <v>151.13</v>
      </c>
      <c r="J411" s="3">
        <v>0.01</v>
      </c>
      <c r="K411" s="4">
        <f t="shared" si="1"/>
        <v>43313.9344</v>
      </c>
      <c r="L411" s="4">
        <f t="shared" si="2"/>
        <v>1.318767293</v>
      </c>
    </row>
    <row r="412">
      <c r="A412" s="3" t="s">
        <v>74</v>
      </c>
      <c r="B412" s="3">
        <v>100.4</v>
      </c>
      <c r="C412" s="3">
        <v>11.02</v>
      </c>
      <c r="D412" s="3">
        <v>240.0</v>
      </c>
      <c r="E412" s="3">
        <v>7.16</v>
      </c>
      <c r="F412" s="3">
        <v>3.35</v>
      </c>
      <c r="G412" s="3">
        <v>212.98</v>
      </c>
      <c r="H412" s="3">
        <v>120.9</v>
      </c>
      <c r="I412" s="3">
        <v>124.69</v>
      </c>
      <c r="J412" s="3">
        <v>0.0</v>
      </c>
      <c r="K412" s="4">
        <f t="shared" si="1"/>
        <v>45371.7029</v>
      </c>
      <c r="L412" s="4">
        <f t="shared" si="2"/>
        <v>1.269513735</v>
      </c>
    </row>
    <row r="413">
      <c r="A413" s="3" t="s">
        <v>74</v>
      </c>
      <c r="B413" s="3">
        <v>100.4</v>
      </c>
      <c r="C413" s="3">
        <v>11.79</v>
      </c>
      <c r="D413" s="3">
        <v>240.0</v>
      </c>
      <c r="E413" s="3">
        <v>4.85</v>
      </c>
      <c r="F413" s="3">
        <v>15.63</v>
      </c>
      <c r="G413" s="3">
        <v>214.9</v>
      </c>
      <c r="H413" s="3">
        <v>116.92</v>
      </c>
      <c r="I413" s="3">
        <v>101.97</v>
      </c>
      <c r="J413" s="3">
        <v>0.0</v>
      </c>
      <c r="K413" s="4">
        <f t="shared" si="1"/>
        <v>46426.3069</v>
      </c>
      <c r="L413" s="4">
        <f t="shared" si="2"/>
        <v>1.240675898</v>
      </c>
    </row>
    <row r="414">
      <c r="A414" s="3" t="s">
        <v>74</v>
      </c>
      <c r="B414" s="3">
        <v>100.4</v>
      </c>
      <c r="C414" s="3">
        <v>12.47</v>
      </c>
      <c r="D414" s="3">
        <v>246.0</v>
      </c>
      <c r="E414" s="3">
        <v>7.68</v>
      </c>
      <c r="F414" s="3">
        <v>22.51</v>
      </c>
      <c r="G414" s="3">
        <v>214.77</v>
      </c>
      <c r="H414" s="3">
        <v>113.67</v>
      </c>
      <c r="I414" s="3">
        <v>85.47</v>
      </c>
      <c r="J414" s="3">
        <v>0.0</v>
      </c>
      <c r="K414" s="4">
        <f t="shared" si="1"/>
        <v>46632.853</v>
      </c>
      <c r="L414" s="4">
        <f t="shared" si="2"/>
        <v>1.297711723</v>
      </c>
    </row>
    <row r="415">
      <c r="A415" s="3" t="s">
        <v>74</v>
      </c>
      <c r="B415" s="3">
        <v>100.4</v>
      </c>
      <c r="C415" s="3">
        <v>13.34</v>
      </c>
      <c r="D415" s="3">
        <v>241.0</v>
      </c>
      <c r="E415" s="3">
        <v>6.21</v>
      </c>
      <c r="F415" s="3">
        <v>30.77</v>
      </c>
      <c r="G415" s="3">
        <v>213.03</v>
      </c>
      <c r="H415" s="3">
        <v>109.94</v>
      </c>
      <c r="I415" s="3">
        <v>69.15</v>
      </c>
      <c r="J415" s="3">
        <v>0.0</v>
      </c>
      <c r="K415" s="4">
        <f t="shared" si="1"/>
        <v>46328.5738</v>
      </c>
      <c r="L415" s="4">
        <f t="shared" si="2"/>
        <v>1.253675545</v>
      </c>
    </row>
    <row r="416">
      <c r="A416" s="3" t="s">
        <v>74</v>
      </c>
      <c r="B416" s="3">
        <v>100.4</v>
      </c>
      <c r="C416" s="3">
        <v>14.11</v>
      </c>
      <c r="D416" s="3">
        <v>250.0</v>
      </c>
      <c r="E416" s="3">
        <v>5.62</v>
      </c>
      <c r="F416" s="3">
        <v>37.16</v>
      </c>
      <c r="G416" s="3">
        <v>210.67</v>
      </c>
      <c r="H416" s="3">
        <v>106.85</v>
      </c>
      <c r="I416" s="3">
        <v>58.36</v>
      </c>
      <c r="J416" s="3">
        <v>0.0</v>
      </c>
      <c r="K416" s="4">
        <f t="shared" si="1"/>
        <v>45762.7145</v>
      </c>
      <c r="L416" s="4">
        <f t="shared" si="2"/>
        <v>1.365740662</v>
      </c>
    </row>
    <row r="417">
      <c r="A417" s="3" t="s">
        <v>74</v>
      </c>
      <c r="B417" s="3">
        <v>100.4</v>
      </c>
      <c r="C417" s="3">
        <v>14.59</v>
      </c>
      <c r="D417" s="3">
        <v>242.0</v>
      </c>
      <c r="E417" s="3">
        <v>5.1</v>
      </c>
      <c r="F417" s="3">
        <v>39.71</v>
      </c>
      <c r="G417" s="3">
        <v>209.26</v>
      </c>
      <c r="H417" s="3">
        <v>105.08</v>
      </c>
      <c r="I417" s="3">
        <v>53.0</v>
      </c>
      <c r="J417" s="3">
        <v>0.0</v>
      </c>
      <c r="K417" s="4">
        <f t="shared" si="1"/>
        <v>45366.6317</v>
      </c>
      <c r="L417" s="4">
        <f t="shared" si="2"/>
        <v>1.290904742</v>
      </c>
    </row>
    <row r="418">
      <c r="A418" s="3" t="s">
        <v>74</v>
      </c>
      <c r="B418" s="3">
        <v>100.4</v>
      </c>
      <c r="C418" s="3">
        <v>14.98</v>
      </c>
      <c r="D418" s="3">
        <v>244.0</v>
      </c>
      <c r="E418" s="3">
        <v>7.41</v>
      </c>
      <c r="F418" s="3">
        <v>41.88</v>
      </c>
      <c r="G418" s="3">
        <v>208.03</v>
      </c>
      <c r="H418" s="3">
        <v>103.7</v>
      </c>
      <c r="I418" s="3">
        <v>48.81</v>
      </c>
      <c r="J418" s="3">
        <v>0.0</v>
      </c>
      <c r="K418" s="4">
        <f t="shared" si="1"/>
        <v>45030.4153</v>
      </c>
      <c r="L418" s="4">
        <f t="shared" si="2"/>
        <v>1.322128601</v>
      </c>
    </row>
    <row r="419">
      <c r="A419" s="3" t="s">
        <v>74</v>
      </c>
      <c r="B419" s="3">
        <v>100.4</v>
      </c>
      <c r="C419" s="3">
        <v>15.75</v>
      </c>
      <c r="D419" s="3">
        <v>248.0</v>
      </c>
      <c r="E419" s="3">
        <v>5.08</v>
      </c>
      <c r="F419" s="3">
        <v>44.73</v>
      </c>
      <c r="G419" s="3">
        <v>205.55</v>
      </c>
      <c r="H419" s="3">
        <v>101.13</v>
      </c>
      <c r="I419" s="3">
        <v>41.91</v>
      </c>
      <c r="J419" s="3">
        <v>0.0</v>
      </c>
      <c r="K419" s="4">
        <f t="shared" si="1"/>
        <v>44251.5754</v>
      </c>
      <c r="L419" s="4">
        <f t="shared" si="2"/>
        <v>1.389871421</v>
      </c>
    </row>
    <row r="420">
      <c r="A420" s="3" t="s">
        <v>74</v>
      </c>
      <c r="B420" s="3">
        <v>100.4</v>
      </c>
      <c r="C420" s="3">
        <v>16.52</v>
      </c>
      <c r="D420" s="3">
        <v>249.0</v>
      </c>
      <c r="E420" s="3">
        <v>5.22</v>
      </c>
      <c r="F420" s="3">
        <v>46.3</v>
      </c>
      <c r="G420" s="3">
        <v>203.07</v>
      </c>
      <c r="H420" s="3">
        <v>98.75</v>
      </c>
      <c r="I420" s="3">
        <v>35.71</v>
      </c>
      <c r="J420" s="3">
        <v>0.0</v>
      </c>
      <c r="K420" s="4">
        <f t="shared" si="1"/>
        <v>43381.1149</v>
      </c>
      <c r="L420" s="4">
        <f t="shared" si="2"/>
        <v>1.42921638</v>
      </c>
    </row>
    <row r="421">
      <c r="A421" s="3" t="s">
        <v>74</v>
      </c>
      <c r="B421" s="3">
        <v>100.4</v>
      </c>
      <c r="C421" s="3">
        <v>17.1</v>
      </c>
      <c r="D421" s="3">
        <v>246.0</v>
      </c>
      <c r="E421" s="3">
        <v>6.35</v>
      </c>
      <c r="F421" s="3">
        <v>46.79</v>
      </c>
      <c r="G421" s="3">
        <v>201.06</v>
      </c>
      <c r="H421" s="3">
        <v>97.06</v>
      </c>
      <c r="I421" s="3">
        <v>31.62</v>
      </c>
      <c r="J421" s="3">
        <v>0.0</v>
      </c>
      <c r="K421" s="4">
        <f t="shared" si="1"/>
        <v>42614.4277</v>
      </c>
      <c r="L421" s="4">
        <f t="shared" si="2"/>
        <v>1.420082429</v>
      </c>
    </row>
    <row r="422">
      <c r="A422" s="3" t="s">
        <v>74</v>
      </c>
      <c r="B422" s="3">
        <v>100.4</v>
      </c>
      <c r="C422" s="3">
        <v>17.88</v>
      </c>
      <c r="D422" s="3">
        <v>241.0</v>
      </c>
      <c r="E422" s="3">
        <v>16.2</v>
      </c>
      <c r="F422" s="3">
        <v>46.99</v>
      </c>
      <c r="G422" s="3">
        <v>198.19</v>
      </c>
      <c r="H422" s="3">
        <v>94.92</v>
      </c>
      <c r="I422" s="3">
        <v>26.82</v>
      </c>
      <c r="J422" s="3">
        <v>0.0</v>
      </c>
      <c r="K422" s="4">
        <f t="shared" si="1"/>
        <v>41487.3362</v>
      </c>
      <c r="L422" s="4">
        <f t="shared" si="2"/>
        <v>1.399969372</v>
      </c>
    </row>
    <row r="423">
      <c r="A423" s="3" t="s">
        <v>74</v>
      </c>
      <c r="B423" s="3">
        <v>100.4</v>
      </c>
      <c r="C423" s="3">
        <v>18.65</v>
      </c>
      <c r="D423" s="3">
        <v>247.0</v>
      </c>
      <c r="E423" s="3">
        <v>14.6</v>
      </c>
      <c r="F423" s="3">
        <v>47.18</v>
      </c>
      <c r="G423" s="3">
        <v>195.23</v>
      </c>
      <c r="H423" s="3">
        <v>92.94</v>
      </c>
      <c r="I423" s="3">
        <v>22.81</v>
      </c>
      <c r="J423" s="3">
        <v>0.0</v>
      </c>
      <c r="K423" s="4">
        <f t="shared" si="1"/>
        <v>40340.7053</v>
      </c>
      <c r="L423" s="4">
        <f t="shared" si="2"/>
        <v>1.512343415</v>
      </c>
    </row>
    <row r="424">
      <c r="A424" s="3" t="s">
        <v>74</v>
      </c>
      <c r="B424" s="3">
        <v>100.4</v>
      </c>
      <c r="C424" s="3">
        <v>19.62</v>
      </c>
      <c r="D424" s="3">
        <v>234.0</v>
      </c>
      <c r="E424" s="3">
        <v>20.9</v>
      </c>
      <c r="F424" s="3">
        <v>47.77</v>
      </c>
      <c r="G424" s="3">
        <v>191.47</v>
      </c>
      <c r="H424" s="3">
        <v>90.61</v>
      </c>
      <c r="I424" s="3">
        <v>18.65</v>
      </c>
      <c r="J424" s="3">
        <v>0.0</v>
      </c>
      <c r="K424" s="4">
        <f t="shared" si="1"/>
        <v>38942.7338</v>
      </c>
      <c r="L424" s="4">
        <f t="shared" si="2"/>
        <v>1.406064615</v>
      </c>
    </row>
    <row r="425">
      <c r="A425" s="3" t="s">
        <v>74</v>
      </c>
      <c r="B425" s="3">
        <v>100.4</v>
      </c>
      <c r="C425" s="3">
        <v>20.78</v>
      </c>
      <c r="D425" s="3">
        <v>249.0</v>
      </c>
      <c r="E425" s="3">
        <v>10.0</v>
      </c>
      <c r="F425" s="3">
        <v>51.51</v>
      </c>
      <c r="G425" s="3">
        <v>186.83</v>
      </c>
      <c r="H425" s="3">
        <v>88.05</v>
      </c>
      <c r="I425" s="3">
        <v>14.6</v>
      </c>
      <c r="J425" s="3">
        <v>0.0</v>
      </c>
      <c r="K425" s="4">
        <f t="shared" si="1"/>
        <v>37558.729</v>
      </c>
      <c r="L425" s="4">
        <f t="shared" si="2"/>
        <v>1.650774711</v>
      </c>
    </row>
    <row r="426">
      <c r="A426" s="3" t="s">
        <v>74</v>
      </c>
      <c r="B426" s="3">
        <v>100.4</v>
      </c>
      <c r="C426" s="3">
        <v>22.13</v>
      </c>
      <c r="D426" s="3">
        <v>236.0</v>
      </c>
      <c r="E426" s="3">
        <v>16.1</v>
      </c>
      <c r="F426" s="3">
        <v>57.31</v>
      </c>
      <c r="G426" s="3">
        <v>181.4</v>
      </c>
      <c r="H426" s="3">
        <v>85.32</v>
      </c>
      <c r="I426" s="3">
        <v>10.95</v>
      </c>
      <c r="J426" s="3">
        <v>0.0</v>
      </c>
      <c r="K426" s="4">
        <f t="shared" si="1"/>
        <v>36190.3961</v>
      </c>
      <c r="L426" s="4">
        <f t="shared" si="2"/>
        <v>1.538971827</v>
      </c>
    </row>
    <row r="427">
      <c r="A427" s="3" t="s">
        <v>74</v>
      </c>
      <c r="B427" s="3">
        <v>100.4</v>
      </c>
      <c r="C427" s="3">
        <v>23.0</v>
      </c>
      <c r="D427" s="3">
        <v>245.0</v>
      </c>
      <c r="E427" s="3">
        <v>22.1</v>
      </c>
      <c r="F427" s="3">
        <v>59.87</v>
      </c>
      <c r="G427" s="3">
        <v>177.88</v>
      </c>
      <c r="H427" s="3">
        <v>83.69</v>
      </c>
      <c r="I427" s="3">
        <v>9.17</v>
      </c>
      <c r="J427" s="3">
        <v>0.0</v>
      </c>
      <c r="K427" s="4">
        <f t="shared" si="1"/>
        <v>35225.7113</v>
      </c>
      <c r="L427" s="4">
        <f t="shared" si="2"/>
        <v>1.704011013</v>
      </c>
    </row>
    <row r="428">
      <c r="A428" s="3" t="s">
        <v>74</v>
      </c>
      <c r="B428" s="3">
        <v>100.4</v>
      </c>
      <c r="C428" s="3">
        <v>23.58</v>
      </c>
      <c r="D428" s="3">
        <v>243.0</v>
      </c>
      <c r="E428" s="3">
        <v>4.2</v>
      </c>
      <c r="F428" s="3">
        <v>61.24</v>
      </c>
      <c r="G428" s="3">
        <v>175.64</v>
      </c>
      <c r="H428" s="3">
        <v>82.65</v>
      </c>
      <c r="I428" s="3">
        <v>8.14</v>
      </c>
      <c r="J428" s="3">
        <v>0.0</v>
      </c>
      <c r="K428" s="4">
        <f t="shared" si="1"/>
        <v>34599.7472</v>
      </c>
      <c r="L428" s="4">
        <f t="shared" si="2"/>
        <v>1.706630966</v>
      </c>
    </row>
    <row r="429">
      <c r="A429" s="3" t="s">
        <v>74</v>
      </c>
      <c r="B429" s="3">
        <v>100.4</v>
      </c>
      <c r="C429" s="3">
        <v>25.03</v>
      </c>
      <c r="D429" s="3">
        <v>238.0</v>
      </c>
      <c r="E429" s="3">
        <v>7.76</v>
      </c>
      <c r="F429" s="3">
        <v>61.05</v>
      </c>
      <c r="G429" s="3">
        <v>170.07</v>
      </c>
      <c r="H429" s="3">
        <v>80.22</v>
      </c>
      <c r="I429" s="3">
        <v>6.11</v>
      </c>
      <c r="J429" s="3">
        <v>0.0</v>
      </c>
      <c r="K429" s="4">
        <f t="shared" si="1"/>
        <v>32650.9074</v>
      </c>
      <c r="L429" s="4">
        <f t="shared" si="2"/>
        <v>1.734836931</v>
      </c>
    </row>
    <row r="430">
      <c r="A430" s="3" t="s">
        <v>74</v>
      </c>
      <c r="B430" s="3">
        <v>100.4</v>
      </c>
      <c r="C430" s="3">
        <v>25.9</v>
      </c>
      <c r="D430" s="3">
        <v>247.0</v>
      </c>
      <c r="E430" s="3">
        <v>6.14</v>
      </c>
      <c r="F430" s="3">
        <v>60.16</v>
      </c>
      <c r="G430" s="3">
        <v>166.98</v>
      </c>
      <c r="H430" s="3">
        <v>78.87</v>
      </c>
      <c r="I430" s="3">
        <v>5.18</v>
      </c>
      <c r="J430" s="3">
        <v>0.0</v>
      </c>
      <c r="K430" s="4">
        <f t="shared" si="1"/>
        <v>31501.546</v>
      </c>
      <c r="L430" s="4">
        <f t="shared" si="2"/>
        <v>1.936698599</v>
      </c>
    </row>
    <row r="431">
      <c r="A431" s="3" t="s">
        <v>13</v>
      </c>
      <c r="B431" s="3">
        <v>6.8</v>
      </c>
      <c r="C431" s="3">
        <v>0.25</v>
      </c>
      <c r="D431" s="3">
        <v>4.25</v>
      </c>
      <c r="E431" s="3">
        <v>2.0</v>
      </c>
      <c r="F431" s="3">
        <v>1.87</v>
      </c>
      <c r="G431" s="3">
        <v>2.88</v>
      </c>
      <c r="H431" s="3">
        <v>0.0</v>
      </c>
      <c r="I431" s="3">
        <v>8.69</v>
      </c>
      <c r="J431" s="3">
        <v>0.0</v>
      </c>
      <c r="K431" s="4">
        <f t="shared" si="1"/>
        <v>11.7913</v>
      </c>
      <c r="L431" s="4">
        <f t="shared" si="2"/>
        <v>1.531849754</v>
      </c>
    </row>
    <row r="432">
      <c r="A432" s="3" t="s">
        <v>13</v>
      </c>
      <c r="B432" s="3">
        <v>6.8</v>
      </c>
      <c r="C432" s="3">
        <v>0.41</v>
      </c>
      <c r="D432" s="3">
        <v>6.84</v>
      </c>
      <c r="E432" s="3">
        <v>2.0</v>
      </c>
      <c r="F432" s="3">
        <v>3.32</v>
      </c>
      <c r="G432" s="3">
        <v>3.93</v>
      </c>
      <c r="H432" s="3">
        <v>0.0</v>
      </c>
      <c r="I432" s="3">
        <v>6.61</v>
      </c>
      <c r="J432" s="3">
        <v>0.0</v>
      </c>
      <c r="K432" s="4">
        <f t="shared" si="1"/>
        <v>26.4673</v>
      </c>
      <c r="L432" s="4">
        <f t="shared" si="2"/>
        <v>1.767675585</v>
      </c>
    </row>
    <row r="433">
      <c r="A433" s="3" t="s">
        <v>13</v>
      </c>
      <c r="B433" s="3">
        <v>6.8</v>
      </c>
      <c r="C433" s="3">
        <v>0.57</v>
      </c>
      <c r="D433" s="3">
        <v>9.56</v>
      </c>
      <c r="E433" s="3">
        <v>2.0</v>
      </c>
      <c r="F433" s="3">
        <v>4.8</v>
      </c>
      <c r="G433" s="3">
        <v>4.8</v>
      </c>
      <c r="H433" s="3">
        <v>0.0</v>
      </c>
      <c r="I433" s="3">
        <v>6.95</v>
      </c>
      <c r="J433" s="3">
        <v>0.0</v>
      </c>
      <c r="K433" s="4">
        <f t="shared" si="1"/>
        <v>46.08</v>
      </c>
      <c r="L433" s="4">
        <f t="shared" si="2"/>
        <v>1.983368056</v>
      </c>
    </row>
    <row r="434">
      <c r="A434" s="3" t="s">
        <v>13</v>
      </c>
      <c r="B434" s="3">
        <v>6.8</v>
      </c>
      <c r="C434" s="3">
        <v>0.74</v>
      </c>
      <c r="D434" s="3">
        <v>12.3</v>
      </c>
      <c r="E434" s="3">
        <v>2.0</v>
      </c>
      <c r="F434" s="3">
        <v>6.44</v>
      </c>
      <c r="G434" s="3">
        <v>6.36</v>
      </c>
      <c r="H434" s="3">
        <v>0.0</v>
      </c>
      <c r="I434" s="3">
        <v>6.78</v>
      </c>
      <c r="J434" s="3">
        <v>0.0</v>
      </c>
      <c r="K434" s="4">
        <f t="shared" si="1"/>
        <v>81.9232</v>
      </c>
      <c r="L434" s="4">
        <f t="shared" si="2"/>
        <v>1.84672962</v>
      </c>
    </row>
    <row r="435">
      <c r="A435" s="3" t="s">
        <v>13</v>
      </c>
      <c r="B435" s="3">
        <v>6.8</v>
      </c>
      <c r="C435" s="3">
        <v>0.9</v>
      </c>
      <c r="D435" s="3">
        <v>15.1</v>
      </c>
      <c r="E435" s="3">
        <v>2.0</v>
      </c>
      <c r="F435" s="3">
        <v>8.03</v>
      </c>
      <c r="G435" s="3">
        <v>7.43</v>
      </c>
      <c r="H435" s="3">
        <v>0.0</v>
      </c>
      <c r="I435" s="3">
        <v>5.71</v>
      </c>
      <c r="J435" s="3">
        <v>0.0</v>
      </c>
      <c r="K435" s="4">
        <f t="shared" si="1"/>
        <v>119.6858</v>
      </c>
      <c r="L435" s="4">
        <f t="shared" si="2"/>
        <v>1.905071445</v>
      </c>
    </row>
    <row r="436">
      <c r="A436" s="3" t="s">
        <v>13</v>
      </c>
      <c r="B436" s="3">
        <v>6.8</v>
      </c>
      <c r="C436" s="3">
        <v>1.07</v>
      </c>
      <c r="D436" s="3">
        <v>17.5</v>
      </c>
      <c r="E436" s="3">
        <v>2.0</v>
      </c>
      <c r="F436" s="3">
        <v>9.79</v>
      </c>
      <c r="G436" s="3">
        <v>8.56</v>
      </c>
      <c r="H436" s="3">
        <v>0.0</v>
      </c>
      <c r="I436" s="3">
        <v>5.63</v>
      </c>
      <c r="J436" s="3">
        <v>0.0</v>
      </c>
      <c r="K436" s="4">
        <f t="shared" si="1"/>
        <v>169.1177</v>
      </c>
      <c r="L436" s="4">
        <f t="shared" si="2"/>
        <v>1.810868998</v>
      </c>
    </row>
    <row r="437">
      <c r="A437" s="3" t="s">
        <v>13</v>
      </c>
      <c r="B437" s="3">
        <v>6.8</v>
      </c>
      <c r="C437" s="3">
        <v>1.24</v>
      </c>
      <c r="D437" s="3">
        <v>19.7</v>
      </c>
      <c r="E437" s="3">
        <v>2.0</v>
      </c>
      <c r="F437" s="3">
        <v>11.57</v>
      </c>
      <c r="G437" s="3">
        <v>9.52</v>
      </c>
      <c r="H437" s="3">
        <v>0.0</v>
      </c>
      <c r="I437" s="3">
        <v>4.46</v>
      </c>
      <c r="J437" s="3">
        <v>0.0</v>
      </c>
      <c r="K437" s="4">
        <f t="shared" si="1"/>
        <v>224.4953</v>
      </c>
      <c r="L437" s="4">
        <f t="shared" si="2"/>
        <v>1.72872216</v>
      </c>
    </row>
    <row r="438">
      <c r="A438" s="3" t="s">
        <v>13</v>
      </c>
      <c r="B438" s="3">
        <v>6.8</v>
      </c>
      <c r="C438" s="3">
        <v>1.4</v>
      </c>
      <c r="D438" s="3">
        <v>21.8</v>
      </c>
      <c r="E438" s="3">
        <v>2.0</v>
      </c>
      <c r="F438" s="3">
        <v>13.11</v>
      </c>
      <c r="G438" s="3">
        <v>10.08</v>
      </c>
      <c r="H438" s="3">
        <v>0.0</v>
      </c>
      <c r="I438" s="3">
        <v>3.87</v>
      </c>
      <c r="J438" s="3">
        <v>0.0</v>
      </c>
      <c r="K438" s="4">
        <f t="shared" si="1"/>
        <v>273.4785</v>
      </c>
      <c r="L438" s="4">
        <f t="shared" si="2"/>
        <v>1.737760007</v>
      </c>
    </row>
    <row r="439">
      <c r="A439" s="3" t="s">
        <v>13</v>
      </c>
      <c r="B439" s="3">
        <v>6.8</v>
      </c>
      <c r="C439" s="3">
        <v>1.57</v>
      </c>
      <c r="D439" s="3">
        <v>24.4</v>
      </c>
      <c r="E439" s="3">
        <v>2.0</v>
      </c>
      <c r="F439" s="3">
        <v>14.44</v>
      </c>
      <c r="G439" s="3">
        <v>10.55</v>
      </c>
      <c r="H439" s="3">
        <v>0.0</v>
      </c>
      <c r="I439" s="3">
        <v>3.42</v>
      </c>
      <c r="J439" s="3">
        <v>0.0</v>
      </c>
      <c r="K439" s="4">
        <f t="shared" si="1"/>
        <v>319.8161</v>
      </c>
      <c r="L439" s="4">
        <f t="shared" si="2"/>
        <v>1.861569821</v>
      </c>
    </row>
    <row r="440">
      <c r="A440" s="3" t="s">
        <v>13</v>
      </c>
      <c r="B440" s="3">
        <v>6.8</v>
      </c>
      <c r="C440" s="3">
        <v>1.72</v>
      </c>
      <c r="D440" s="3">
        <v>27.3</v>
      </c>
      <c r="E440" s="3">
        <v>2.0</v>
      </c>
      <c r="F440" s="3">
        <v>15.54</v>
      </c>
      <c r="G440" s="3">
        <v>10.95</v>
      </c>
      <c r="H440" s="3">
        <v>0.0</v>
      </c>
      <c r="I440" s="3">
        <v>3.02</v>
      </c>
      <c r="J440" s="3">
        <v>0.0</v>
      </c>
      <c r="K440" s="4">
        <f t="shared" si="1"/>
        <v>361.3941</v>
      </c>
      <c r="L440" s="4">
        <f t="shared" si="2"/>
        <v>2.062263883</v>
      </c>
    </row>
    <row r="441">
      <c r="A441" s="3" t="s">
        <v>13</v>
      </c>
      <c r="B441" s="3">
        <v>6.8</v>
      </c>
      <c r="C441" s="3">
        <v>1.89</v>
      </c>
      <c r="D441" s="3">
        <v>30.3</v>
      </c>
      <c r="E441" s="3">
        <v>2.0</v>
      </c>
      <c r="F441" s="3">
        <v>16.53</v>
      </c>
      <c r="G441" s="3">
        <v>11.36</v>
      </c>
      <c r="H441" s="3">
        <v>0.0</v>
      </c>
      <c r="I441" s="3">
        <v>2.62</v>
      </c>
      <c r="J441" s="3">
        <v>0.0</v>
      </c>
      <c r="K441" s="4">
        <f t="shared" si="1"/>
        <v>402.2905</v>
      </c>
      <c r="L441" s="4">
        <f t="shared" si="2"/>
        <v>2.2821568</v>
      </c>
    </row>
    <row r="442">
      <c r="A442" s="3" t="s">
        <v>13</v>
      </c>
      <c r="B442" s="3">
        <v>6.8</v>
      </c>
      <c r="C442" s="3">
        <v>2.06</v>
      </c>
      <c r="D442" s="3">
        <v>32.6</v>
      </c>
      <c r="E442" s="3">
        <v>2.0</v>
      </c>
      <c r="F442" s="3">
        <v>17.3</v>
      </c>
      <c r="G442" s="3">
        <v>11.57</v>
      </c>
      <c r="H442" s="3">
        <v>0.0</v>
      </c>
      <c r="I442" s="3">
        <v>2.28</v>
      </c>
      <c r="J442" s="3">
        <v>0.0</v>
      </c>
      <c r="K442" s="4">
        <f t="shared" si="1"/>
        <v>433.1549</v>
      </c>
      <c r="L442" s="4">
        <f t="shared" si="2"/>
        <v>2.453533366</v>
      </c>
    </row>
    <row r="443">
      <c r="A443" s="3" t="s">
        <v>13</v>
      </c>
      <c r="B443" s="3">
        <v>6.8</v>
      </c>
      <c r="C443" s="3">
        <v>2.46</v>
      </c>
      <c r="D443" s="3">
        <v>33.3</v>
      </c>
      <c r="E443" s="3">
        <v>2.0</v>
      </c>
      <c r="F443" s="3">
        <v>18.07</v>
      </c>
      <c r="G443" s="3">
        <v>12.23</v>
      </c>
      <c r="H443" s="3">
        <v>0.0</v>
      </c>
      <c r="I443" s="3">
        <v>1.69</v>
      </c>
      <c r="J443" s="3">
        <v>0.0</v>
      </c>
      <c r="K443" s="4">
        <f t="shared" si="1"/>
        <v>476.0978</v>
      </c>
      <c r="L443" s="4">
        <f t="shared" si="2"/>
        <v>2.329122294</v>
      </c>
    </row>
    <row r="444">
      <c r="A444" s="3" t="s">
        <v>13</v>
      </c>
      <c r="B444" s="3">
        <v>6.8</v>
      </c>
      <c r="C444" s="3">
        <v>2.79</v>
      </c>
      <c r="D444" s="3">
        <v>34.6</v>
      </c>
      <c r="E444" s="3">
        <v>2.0</v>
      </c>
      <c r="F444" s="3">
        <v>18.07</v>
      </c>
      <c r="G444" s="3">
        <v>12.94</v>
      </c>
      <c r="H444" s="3">
        <v>0.0</v>
      </c>
      <c r="I444" s="3">
        <v>1.34</v>
      </c>
      <c r="J444" s="3">
        <v>0.0</v>
      </c>
      <c r="K444" s="4">
        <f t="shared" si="1"/>
        <v>493.9685</v>
      </c>
      <c r="L444" s="4">
        <f t="shared" si="2"/>
        <v>2.423555348</v>
      </c>
    </row>
    <row r="445">
      <c r="A445" s="3" t="s">
        <v>13</v>
      </c>
      <c r="B445" s="3">
        <v>6.8</v>
      </c>
      <c r="C445" s="3">
        <v>3.13</v>
      </c>
      <c r="D445" s="3">
        <v>34.2</v>
      </c>
      <c r="E445" s="3">
        <v>2.0</v>
      </c>
      <c r="F445" s="3">
        <v>17.41</v>
      </c>
      <c r="G445" s="3">
        <v>12.45</v>
      </c>
      <c r="H445" s="3">
        <v>0.0</v>
      </c>
      <c r="I445" s="3">
        <v>0.0</v>
      </c>
      <c r="J445" s="3">
        <v>0.0</v>
      </c>
      <c r="K445" s="4">
        <f t="shared" si="1"/>
        <v>458.1106</v>
      </c>
      <c r="L445" s="4">
        <f t="shared" si="2"/>
        <v>2.553182572</v>
      </c>
    </row>
    <row r="446">
      <c r="A446" s="3" t="s">
        <v>75</v>
      </c>
      <c r="B446" s="3">
        <v>7.3</v>
      </c>
      <c r="C446" s="3">
        <v>0.21</v>
      </c>
      <c r="D446" s="3">
        <v>17.4</v>
      </c>
      <c r="E446" s="3">
        <v>6.51</v>
      </c>
      <c r="F446" s="3">
        <v>1.51</v>
      </c>
      <c r="G446" s="3">
        <v>18.55</v>
      </c>
      <c r="H446" s="3">
        <v>0.0</v>
      </c>
      <c r="I446" s="3">
        <v>410.75</v>
      </c>
      <c r="J446" s="3">
        <v>0.0</v>
      </c>
      <c r="K446" s="4">
        <f t="shared" si="1"/>
        <v>346.3826</v>
      </c>
      <c r="L446" s="4">
        <f t="shared" si="2"/>
        <v>0.8740623807</v>
      </c>
    </row>
    <row r="447">
      <c r="A447" s="3" t="s">
        <v>75</v>
      </c>
      <c r="B447" s="3">
        <v>7.3</v>
      </c>
      <c r="C447" s="3">
        <v>0.32</v>
      </c>
      <c r="D447" s="3">
        <v>31.0</v>
      </c>
      <c r="E447" s="3">
        <v>8.86</v>
      </c>
      <c r="F447" s="3">
        <v>2.27</v>
      </c>
      <c r="G447" s="3">
        <v>25.65</v>
      </c>
      <c r="H447" s="3">
        <v>0.0</v>
      </c>
      <c r="I447" s="3">
        <v>307.43</v>
      </c>
      <c r="J447" s="3">
        <v>0.0</v>
      </c>
      <c r="K447" s="4">
        <f t="shared" si="1"/>
        <v>663.0754</v>
      </c>
      <c r="L447" s="4">
        <f t="shared" si="2"/>
        <v>1.449307273</v>
      </c>
    </row>
    <row r="448">
      <c r="A448" s="3" t="s">
        <v>75</v>
      </c>
      <c r="B448" s="3">
        <v>7.3</v>
      </c>
      <c r="C448" s="3">
        <v>0.43</v>
      </c>
      <c r="D448" s="3">
        <v>36.1</v>
      </c>
      <c r="E448" s="3">
        <v>8.16</v>
      </c>
      <c r="F448" s="3">
        <v>3.03</v>
      </c>
      <c r="G448" s="3">
        <v>29.58</v>
      </c>
      <c r="H448" s="3">
        <v>0.0</v>
      </c>
      <c r="I448" s="3">
        <v>268.58</v>
      </c>
      <c r="J448" s="3">
        <v>0.0</v>
      </c>
      <c r="K448" s="4">
        <f t="shared" si="1"/>
        <v>884.1573</v>
      </c>
      <c r="L448" s="4">
        <f t="shared" si="2"/>
        <v>1.473957179</v>
      </c>
    </row>
    <row r="449">
      <c r="A449" s="3" t="s">
        <v>75</v>
      </c>
      <c r="B449" s="3">
        <v>7.3</v>
      </c>
      <c r="C449" s="3">
        <v>0.54</v>
      </c>
      <c r="D449" s="3">
        <v>46.0</v>
      </c>
      <c r="E449" s="3">
        <v>8.52</v>
      </c>
      <c r="F449" s="3">
        <v>3.84</v>
      </c>
      <c r="G449" s="3">
        <v>33.96</v>
      </c>
      <c r="H449" s="3">
        <v>0.0</v>
      </c>
      <c r="I449" s="3">
        <v>241.26</v>
      </c>
      <c r="J449" s="3">
        <v>0.0</v>
      </c>
      <c r="K449" s="4">
        <f t="shared" si="1"/>
        <v>1168.0272</v>
      </c>
      <c r="L449" s="4">
        <f t="shared" si="2"/>
        <v>1.811601648</v>
      </c>
    </row>
    <row r="450">
      <c r="A450" s="3" t="s">
        <v>75</v>
      </c>
      <c r="B450" s="3">
        <v>7.3</v>
      </c>
      <c r="C450" s="3">
        <v>0.64</v>
      </c>
      <c r="D450" s="3">
        <v>58.0</v>
      </c>
      <c r="E450" s="3">
        <v>6.9</v>
      </c>
      <c r="F450" s="3">
        <v>4.53</v>
      </c>
      <c r="G450" s="3">
        <v>36.83</v>
      </c>
      <c r="H450" s="3">
        <v>0.0</v>
      </c>
      <c r="I450" s="3">
        <v>222.69</v>
      </c>
      <c r="J450" s="3">
        <v>0.0</v>
      </c>
      <c r="K450" s="4">
        <f t="shared" si="1"/>
        <v>1376.9698</v>
      </c>
      <c r="L450" s="4">
        <f t="shared" si="2"/>
        <v>2.443045592</v>
      </c>
    </row>
    <row r="451">
      <c r="A451" s="3" t="s">
        <v>75</v>
      </c>
      <c r="B451" s="3">
        <v>7.3</v>
      </c>
      <c r="C451" s="3">
        <v>0.74</v>
      </c>
      <c r="D451" s="3">
        <v>63.4</v>
      </c>
      <c r="E451" s="3">
        <v>9.55</v>
      </c>
      <c r="F451" s="3">
        <v>5.28</v>
      </c>
      <c r="G451" s="3">
        <v>39.62</v>
      </c>
      <c r="H451" s="3">
        <v>0.0</v>
      </c>
      <c r="I451" s="3">
        <v>212.03</v>
      </c>
      <c r="J451" s="3">
        <v>0.0</v>
      </c>
      <c r="K451" s="4">
        <f t="shared" si="1"/>
        <v>1597.6228</v>
      </c>
      <c r="L451" s="4">
        <f t="shared" si="2"/>
        <v>2.515963092</v>
      </c>
    </row>
    <row r="452">
      <c r="A452" s="3" t="s">
        <v>75</v>
      </c>
      <c r="B452" s="3">
        <v>7.3</v>
      </c>
      <c r="C452" s="3">
        <v>0.85</v>
      </c>
      <c r="D452" s="3">
        <v>71.9</v>
      </c>
      <c r="E452" s="3">
        <v>8.52</v>
      </c>
      <c r="F452" s="3">
        <v>6.04</v>
      </c>
      <c r="G452" s="3">
        <v>43.11</v>
      </c>
      <c r="H452" s="3">
        <v>0.0</v>
      </c>
      <c r="I452" s="3">
        <v>206.1</v>
      </c>
      <c r="J452" s="3">
        <v>0.0</v>
      </c>
      <c r="K452" s="4">
        <f t="shared" si="1"/>
        <v>1894.9537</v>
      </c>
      <c r="L452" s="4">
        <f t="shared" si="2"/>
        <v>2.72809304</v>
      </c>
    </row>
    <row r="453">
      <c r="A453" s="3" t="s">
        <v>75</v>
      </c>
      <c r="B453" s="3">
        <v>7.3</v>
      </c>
      <c r="C453" s="3">
        <v>0.96</v>
      </c>
      <c r="D453" s="3">
        <v>76.4</v>
      </c>
      <c r="E453" s="3">
        <v>6.82</v>
      </c>
      <c r="F453" s="3">
        <v>6.8</v>
      </c>
      <c r="G453" s="3">
        <v>46.75</v>
      </c>
      <c r="H453" s="3">
        <v>0.0</v>
      </c>
      <c r="I453" s="3">
        <v>191.46</v>
      </c>
      <c r="J453" s="3">
        <v>0.0</v>
      </c>
      <c r="K453" s="4">
        <f t="shared" si="1"/>
        <v>2231.8025</v>
      </c>
      <c r="L453" s="4">
        <f t="shared" si="2"/>
        <v>2.61535687</v>
      </c>
    </row>
    <row r="454">
      <c r="A454" s="3" t="s">
        <v>75</v>
      </c>
      <c r="B454" s="3">
        <v>7.3</v>
      </c>
      <c r="C454" s="3">
        <v>1.07</v>
      </c>
      <c r="D454" s="3">
        <v>78.1</v>
      </c>
      <c r="E454" s="3">
        <v>6.65</v>
      </c>
      <c r="F454" s="3">
        <v>7.62</v>
      </c>
      <c r="G454" s="3">
        <v>50.04</v>
      </c>
      <c r="H454" s="3">
        <v>0.0</v>
      </c>
      <c r="I454" s="3">
        <v>179.91</v>
      </c>
      <c r="J454" s="3">
        <v>0.0</v>
      </c>
      <c r="K454" s="4">
        <f t="shared" si="1"/>
        <v>2562.066</v>
      </c>
      <c r="L454" s="4">
        <f t="shared" si="2"/>
        <v>2.380738826</v>
      </c>
    </row>
    <row r="455">
      <c r="A455" s="3" t="s">
        <v>75</v>
      </c>
      <c r="B455" s="3">
        <v>7.3</v>
      </c>
      <c r="C455" s="3">
        <v>1.17</v>
      </c>
      <c r="D455" s="3">
        <v>80.5</v>
      </c>
      <c r="E455" s="3">
        <v>6.14</v>
      </c>
      <c r="F455" s="3">
        <v>8.31</v>
      </c>
      <c r="G455" s="3">
        <v>52.76</v>
      </c>
      <c r="H455" s="3">
        <v>0.0</v>
      </c>
      <c r="I455" s="3">
        <v>167.35</v>
      </c>
      <c r="J455" s="3">
        <v>0.0</v>
      </c>
      <c r="K455" s="4">
        <f t="shared" si="1"/>
        <v>2852.6737</v>
      </c>
      <c r="L455" s="4">
        <f t="shared" si="2"/>
        <v>2.271640812</v>
      </c>
    </row>
    <row r="456">
      <c r="A456" s="3" t="s">
        <v>75</v>
      </c>
      <c r="B456" s="3">
        <v>7.3</v>
      </c>
      <c r="C456" s="3">
        <v>1.28</v>
      </c>
      <c r="D456" s="3">
        <v>82.8</v>
      </c>
      <c r="E456" s="3">
        <v>5.8</v>
      </c>
      <c r="F456" s="3">
        <v>9.07</v>
      </c>
      <c r="G456" s="3">
        <v>55.72</v>
      </c>
      <c r="H456" s="3">
        <v>0.0</v>
      </c>
      <c r="I456" s="3">
        <v>159.14</v>
      </c>
      <c r="J456" s="3">
        <v>0.0</v>
      </c>
      <c r="K456" s="4">
        <f t="shared" si="1"/>
        <v>3186.9833</v>
      </c>
      <c r="L456" s="4">
        <f t="shared" si="2"/>
        <v>2.151200479</v>
      </c>
    </row>
    <row r="457">
      <c r="A457" s="3" t="s">
        <v>75</v>
      </c>
      <c r="B457" s="3">
        <v>7.3</v>
      </c>
      <c r="C457" s="3">
        <v>1.38</v>
      </c>
      <c r="D457" s="3">
        <v>85.6</v>
      </c>
      <c r="E457" s="3">
        <v>6.48</v>
      </c>
      <c r="F457" s="3">
        <v>9.82</v>
      </c>
      <c r="G457" s="3">
        <v>58.31</v>
      </c>
      <c r="H457" s="3">
        <v>0.0</v>
      </c>
      <c r="I457" s="3">
        <v>150.35</v>
      </c>
      <c r="J457" s="3">
        <v>0.0</v>
      </c>
      <c r="K457" s="4">
        <f t="shared" si="1"/>
        <v>3496.4885</v>
      </c>
      <c r="L457" s="4">
        <f t="shared" si="2"/>
        <v>2.095633948</v>
      </c>
    </row>
    <row r="458">
      <c r="A458" s="3" t="s">
        <v>75</v>
      </c>
      <c r="B458" s="3">
        <v>7.3</v>
      </c>
      <c r="C458" s="3">
        <v>1.48</v>
      </c>
      <c r="D458" s="3">
        <v>88.0</v>
      </c>
      <c r="E458" s="3">
        <v>7.5</v>
      </c>
      <c r="F458" s="3">
        <v>10.57</v>
      </c>
      <c r="G458" s="3">
        <v>61.08</v>
      </c>
      <c r="H458" s="3">
        <v>0.0</v>
      </c>
      <c r="I458" s="3">
        <v>139.46</v>
      </c>
      <c r="J458" s="3">
        <v>0.0</v>
      </c>
      <c r="K458" s="4">
        <f t="shared" si="1"/>
        <v>3842.4913</v>
      </c>
      <c r="L458" s="4">
        <f t="shared" si="2"/>
        <v>2.01535915</v>
      </c>
    </row>
    <row r="459">
      <c r="A459" s="3" t="s">
        <v>75</v>
      </c>
      <c r="B459" s="3">
        <v>7.3</v>
      </c>
      <c r="C459" s="3">
        <v>1.59</v>
      </c>
      <c r="D459" s="3">
        <v>92.0</v>
      </c>
      <c r="E459" s="3">
        <v>8.52</v>
      </c>
      <c r="F459" s="3">
        <v>11.19</v>
      </c>
      <c r="G459" s="3">
        <v>63.47</v>
      </c>
      <c r="H459" s="3">
        <v>0.0</v>
      </c>
      <c r="I459" s="3">
        <v>125.67</v>
      </c>
      <c r="J459" s="3">
        <v>0.0</v>
      </c>
      <c r="K459" s="4">
        <f t="shared" si="1"/>
        <v>4153.657</v>
      </c>
      <c r="L459" s="4">
        <f t="shared" si="2"/>
        <v>2.037722421</v>
      </c>
    </row>
    <row r="460">
      <c r="A460" s="3" t="s">
        <v>75</v>
      </c>
      <c r="B460" s="3">
        <v>7.3</v>
      </c>
      <c r="C460" s="3">
        <v>1.7</v>
      </c>
      <c r="D460" s="3">
        <v>92.4</v>
      </c>
      <c r="E460" s="3">
        <v>8.52</v>
      </c>
      <c r="F460" s="3">
        <v>11.92</v>
      </c>
      <c r="G460" s="3">
        <v>65.59</v>
      </c>
      <c r="H460" s="3">
        <v>0.0</v>
      </c>
      <c r="I460" s="3">
        <v>111.41</v>
      </c>
      <c r="J460" s="3">
        <v>0.0</v>
      </c>
      <c r="K460" s="4">
        <f t="shared" si="1"/>
        <v>4444.1345</v>
      </c>
      <c r="L460" s="4">
        <f t="shared" si="2"/>
        <v>1.921129975</v>
      </c>
    </row>
    <row r="461">
      <c r="A461" s="3" t="s">
        <v>75</v>
      </c>
      <c r="B461" s="3">
        <v>7.3</v>
      </c>
      <c r="C461" s="3">
        <v>1.8</v>
      </c>
      <c r="D461" s="3">
        <v>95.1</v>
      </c>
      <c r="E461" s="3">
        <v>9.2</v>
      </c>
      <c r="F461" s="3">
        <v>12.54</v>
      </c>
      <c r="G461" s="3">
        <v>66.83</v>
      </c>
      <c r="H461" s="3">
        <v>0.0</v>
      </c>
      <c r="I461" s="3">
        <v>99.69</v>
      </c>
      <c r="J461" s="3">
        <v>0.0</v>
      </c>
      <c r="K461" s="4">
        <f t="shared" si="1"/>
        <v>4623.5005</v>
      </c>
      <c r="L461" s="4">
        <f t="shared" si="2"/>
        <v>1.95609582</v>
      </c>
    </row>
    <row r="462">
      <c r="A462" s="3" t="s">
        <v>75</v>
      </c>
      <c r="B462" s="3">
        <v>7.3</v>
      </c>
      <c r="C462" s="3">
        <v>1.91</v>
      </c>
      <c r="D462" s="3">
        <v>96.5</v>
      </c>
      <c r="E462" s="3">
        <v>8.52</v>
      </c>
      <c r="F462" s="3">
        <v>13.26</v>
      </c>
      <c r="G462" s="3">
        <v>68.03</v>
      </c>
      <c r="H462" s="3">
        <v>0.0</v>
      </c>
      <c r="I462" s="3">
        <v>87.79</v>
      </c>
      <c r="J462" s="3">
        <v>0.0</v>
      </c>
      <c r="K462" s="4">
        <f t="shared" si="1"/>
        <v>4803.9085</v>
      </c>
      <c r="L462" s="4">
        <f t="shared" si="2"/>
        <v>1.938473641</v>
      </c>
    </row>
    <row r="463">
      <c r="A463" s="3" t="s">
        <v>75</v>
      </c>
      <c r="B463" s="3">
        <v>7.3</v>
      </c>
      <c r="C463" s="3">
        <v>2.02</v>
      </c>
      <c r="D463" s="3">
        <v>101.0</v>
      </c>
      <c r="E463" s="3">
        <v>8.86</v>
      </c>
      <c r="F463" s="3">
        <v>13.88</v>
      </c>
      <c r="G463" s="3">
        <v>68.59</v>
      </c>
      <c r="H463" s="3">
        <v>0.0</v>
      </c>
      <c r="I463" s="3">
        <v>77.06</v>
      </c>
      <c r="J463" s="3">
        <v>0.0</v>
      </c>
      <c r="K463" s="4">
        <f t="shared" si="1"/>
        <v>4897.2425</v>
      </c>
      <c r="L463" s="4">
        <f t="shared" si="2"/>
        <v>2.083008959</v>
      </c>
    </row>
    <row r="464">
      <c r="A464" s="3" t="s">
        <v>75</v>
      </c>
      <c r="B464" s="3">
        <v>7.3</v>
      </c>
      <c r="C464" s="3">
        <v>2.13</v>
      </c>
      <c r="D464" s="3">
        <v>99.9</v>
      </c>
      <c r="E464" s="3">
        <v>9.55</v>
      </c>
      <c r="F464" s="3">
        <v>14.61</v>
      </c>
      <c r="G464" s="3">
        <v>69.0</v>
      </c>
      <c r="H464" s="3">
        <v>0.0</v>
      </c>
      <c r="I464" s="3">
        <v>68.97</v>
      </c>
      <c r="J464" s="3">
        <v>0.0</v>
      </c>
      <c r="K464" s="4">
        <f t="shared" si="1"/>
        <v>4974.4521</v>
      </c>
      <c r="L464" s="4">
        <f t="shared" si="2"/>
        <v>2.006253111</v>
      </c>
    </row>
    <row r="465">
      <c r="A465" s="3" t="s">
        <v>75</v>
      </c>
      <c r="B465" s="3">
        <v>7.3</v>
      </c>
      <c r="C465" s="3">
        <v>2.23</v>
      </c>
      <c r="D465" s="3">
        <v>103.0</v>
      </c>
      <c r="E465" s="3">
        <v>8.18</v>
      </c>
      <c r="F465" s="3">
        <v>15.23</v>
      </c>
      <c r="G465" s="3">
        <v>69.17</v>
      </c>
      <c r="H465" s="3">
        <v>0.0</v>
      </c>
      <c r="I465" s="3">
        <v>63.99</v>
      </c>
      <c r="J465" s="3">
        <v>0.0</v>
      </c>
      <c r="K465" s="4">
        <f t="shared" si="1"/>
        <v>5016.4418</v>
      </c>
      <c r="L465" s="4">
        <f t="shared" si="2"/>
        <v>2.114845626</v>
      </c>
    </row>
    <row r="466">
      <c r="A466" s="3" t="s">
        <v>75</v>
      </c>
      <c r="B466" s="3">
        <v>7.3</v>
      </c>
      <c r="C466" s="3">
        <v>2.34</v>
      </c>
      <c r="D466" s="3">
        <v>104.0</v>
      </c>
      <c r="E466" s="3">
        <v>8.52</v>
      </c>
      <c r="F466" s="3">
        <v>15.96</v>
      </c>
      <c r="G466" s="3">
        <v>69.56</v>
      </c>
      <c r="H466" s="3">
        <v>0.0</v>
      </c>
      <c r="I466" s="3">
        <v>57.94</v>
      </c>
      <c r="J466" s="3">
        <v>0.0</v>
      </c>
      <c r="K466" s="4">
        <f t="shared" si="1"/>
        <v>5093.3152</v>
      </c>
      <c r="L466" s="4">
        <f t="shared" si="2"/>
        <v>2.12356777</v>
      </c>
    </row>
    <row r="467">
      <c r="A467" s="3" t="s">
        <v>75</v>
      </c>
      <c r="B467" s="3">
        <v>7.3</v>
      </c>
      <c r="C467" s="3">
        <v>2.44</v>
      </c>
      <c r="D467" s="3">
        <v>107.0</v>
      </c>
      <c r="E467" s="3">
        <v>9.2</v>
      </c>
      <c r="F467" s="3">
        <v>16.58</v>
      </c>
      <c r="G467" s="3">
        <v>69.75</v>
      </c>
      <c r="H467" s="3">
        <v>0.0</v>
      </c>
      <c r="I467" s="3">
        <v>52.31</v>
      </c>
      <c r="J467" s="3">
        <v>0.0</v>
      </c>
      <c r="K467" s="4">
        <f t="shared" si="1"/>
        <v>5139.9589</v>
      </c>
      <c r="L467" s="4">
        <f t="shared" si="2"/>
        <v>2.227449718</v>
      </c>
    </row>
    <row r="468">
      <c r="A468" s="3" t="s">
        <v>75</v>
      </c>
      <c r="B468" s="3">
        <v>7.3</v>
      </c>
      <c r="C468" s="3">
        <v>2.54</v>
      </c>
      <c r="D468" s="3">
        <v>107.0</v>
      </c>
      <c r="E468" s="3">
        <v>9.55</v>
      </c>
      <c r="F468" s="3">
        <v>17.3</v>
      </c>
      <c r="G468" s="3">
        <v>69.69</v>
      </c>
      <c r="H468" s="3">
        <v>0.0</v>
      </c>
      <c r="I468" s="3">
        <v>47.47</v>
      </c>
      <c r="J468" s="3">
        <v>0.0</v>
      </c>
      <c r="K468" s="4">
        <f t="shared" si="1"/>
        <v>5155.9861</v>
      </c>
      <c r="L468" s="4">
        <f t="shared" si="2"/>
        <v>2.220525769</v>
      </c>
    </row>
    <row r="469">
      <c r="A469" s="3" t="s">
        <v>75</v>
      </c>
      <c r="B469" s="3">
        <v>7.3</v>
      </c>
      <c r="C469" s="3">
        <v>2.65</v>
      </c>
      <c r="D469" s="3">
        <v>106.0</v>
      </c>
      <c r="E469" s="3">
        <v>11.2</v>
      </c>
      <c r="F469" s="3">
        <v>17.92</v>
      </c>
      <c r="G469" s="3">
        <v>69.65</v>
      </c>
      <c r="H469" s="3">
        <v>0.0</v>
      </c>
      <c r="I469" s="3">
        <v>43.16</v>
      </c>
      <c r="J469" s="3">
        <v>0.0</v>
      </c>
      <c r="K469" s="4">
        <f t="shared" si="1"/>
        <v>5172.2489</v>
      </c>
      <c r="L469" s="4">
        <f t="shared" si="2"/>
        <v>2.172362587</v>
      </c>
    </row>
    <row r="470">
      <c r="A470" s="3" t="s">
        <v>75</v>
      </c>
      <c r="B470" s="3">
        <v>7.3</v>
      </c>
      <c r="C470" s="3">
        <v>2.76</v>
      </c>
      <c r="D470" s="3">
        <v>107.0</v>
      </c>
      <c r="E470" s="3">
        <v>11.2</v>
      </c>
      <c r="F470" s="3">
        <v>18.55</v>
      </c>
      <c r="G470" s="3">
        <v>69.52</v>
      </c>
      <c r="H470" s="3">
        <v>0.0</v>
      </c>
      <c r="I470" s="3">
        <v>39.28</v>
      </c>
      <c r="J470" s="3">
        <v>0.0</v>
      </c>
      <c r="K470" s="4">
        <f t="shared" si="1"/>
        <v>5177.1329</v>
      </c>
      <c r="L470" s="4">
        <f t="shared" si="2"/>
        <v>2.211455688</v>
      </c>
    </row>
    <row r="471">
      <c r="A471" s="3" t="s">
        <v>75</v>
      </c>
      <c r="B471" s="3">
        <v>7.3</v>
      </c>
      <c r="C471" s="3">
        <v>7.07</v>
      </c>
      <c r="D471" s="3">
        <v>104.0</v>
      </c>
      <c r="E471" s="3">
        <v>3.11</v>
      </c>
      <c r="F471" s="3">
        <v>26.32</v>
      </c>
      <c r="G471" s="3">
        <v>52.21</v>
      </c>
      <c r="H471" s="3">
        <v>0.0</v>
      </c>
      <c r="I471" s="3">
        <v>1.7</v>
      </c>
      <c r="J471" s="3">
        <v>0.0</v>
      </c>
      <c r="K471" s="4">
        <f t="shared" si="1"/>
        <v>3418.6265</v>
      </c>
      <c r="L471" s="4">
        <f t="shared" si="2"/>
        <v>3.163843725</v>
      </c>
    </row>
    <row r="472">
      <c r="A472" s="3" t="s">
        <v>75</v>
      </c>
      <c r="B472" s="3">
        <v>7.3</v>
      </c>
      <c r="C472" s="3">
        <v>8.49</v>
      </c>
      <c r="D472" s="3">
        <v>106.0</v>
      </c>
      <c r="E472" s="3">
        <v>2.55</v>
      </c>
      <c r="F472" s="3">
        <v>24.76</v>
      </c>
      <c r="G472" s="3">
        <v>47.19</v>
      </c>
      <c r="H472" s="3">
        <v>0.0</v>
      </c>
      <c r="I472" s="3">
        <v>0.49</v>
      </c>
      <c r="J472" s="3">
        <v>0.0</v>
      </c>
      <c r="K472" s="4">
        <f t="shared" si="1"/>
        <v>2839.9537</v>
      </c>
      <c r="L472" s="4">
        <f t="shared" si="2"/>
        <v>3.956402529</v>
      </c>
    </row>
    <row r="473">
      <c r="A473" s="3" t="s">
        <v>75</v>
      </c>
      <c r="B473" s="3">
        <v>7.3</v>
      </c>
      <c r="C473" s="3">
        <v>9.91</v>
      </c>
      <c r="D473" s="3">
        <v>109.0</v>
      </c>
      <c r="E473" s="3">
        <v>4.95</v>
      </c>
      <c r="F473" s="3">
        <v>22.59</v>
      </c>
      <c r="G473" s="3">
        <v>43.11</v>
      </c>
      <c r="H473" s="3">
        <v>0.0</v>
      </c>
      <c r="I473" s="3">
        <v>0.19</v>
      </c>
      <c r="J473" s="3">
        <v>0.0</v>
      </c>
      <c r="K473" s="4">
        <f t="shared" si="1"/>
        <v>2368.7802</v>
      </c>
      <c r="L473" s="4">
        <f t="shared" si="2"/>
        <v>5.015661647</v>
      </c>
    </row>
    <row r="474">
      <c r="A474" s="3" t="s">
        <v>75</v>
      </c>
      <c r="B474" s="3">
        <v>7.3</v>
      </c>
      <c r="C474" s="3">
        <v>11.27</v>
      </c>
      <c r="D474" s="3">
        <v>110.0</v>
      </c>
      <c r="E474" s="3">
        <v>2.83</v>
      </c>
      <c r="F474" s="3">
        <v>20.52</v>
      </c>
      <c r="G474" s="3">
        <v>40.05</v>
      </c>
      <c r="H474" s="3">
        <v>0.0</v>
      </c>
      <c r="I474" s="3">
        <v>0.0</v>
      </c>
      <c r="J474" s="3">
        <v>0.0</v>
      </c>
      <c r="K474" s="4">
        <f t="shared" si="1"/>
        <v>2025.0729</v>
      </c>
      <c r="L474" s="4">
        <f t="shared" si="2"/>
        <v>5.975093539</v>
      </c>
    </row>
    <row r="475">
      <c r="A475" s="3" t="s">
        <v>76</v>
      </c>
      <c r="B475" s="3">
        <v>2.11</v>
      </c>
      <c r="C475" s="3">
        <v>1.23</v>
      </c>
      <c r="D475" s="3">
        <v>28.7</v>
      </c>
      <c r="E475" s="3">
        <v>3.4</v>
      </c>
      <c r="F475" s="3">
        <v>13.65</v>
      </c>
      <c r="G475" s="3">
        <v>27.5</v>
      </c>
      <c r="H475" s="3">
        <v>0.0</v>
      </c>
      <c r="I475" s="3">
        <v>58.0</v>
      </c>
      <c r="J475" s="3">
        <v>0.0</v>
      </c>
      <c r="K475" s="4">
        <f t="shared" si="1"/>
        <v>942.5725</v>
      </c>
      <c r="L475" s="4">
        <f t="shared" si="2"/>
        <v>0.8738744235</v>
      </c>
    </row>
    <row r="476">
      <c r="A476" s="3" t="s">
        <v>76</v>
      </c>
      <c r="B476" s="3">
        <v>2.11</v>
      </c>
      <c r="C476" s="3">
        <v>1.84</v>
      </c>
      <c r="D476" s="3">
        <v>37.6</v>
      </c>
      <c r="E476" s="3">
        <v>2.6</v>
      </c>
      <c r="F476" s="3">
        <v>18.65</v>
      </c>
      <c r="G476" s="3">
        <v>32.63</v>
      </c>
      <c r="H476" s="3">
        <v>0.0</v>
      </c>
      <c r="I476" s="3">
        <v>38.02</v>
      </c>
      <c r="J476" s="3">
        <v>0.0</v>
      </c>
      <c r="K476" s="4">
        <f t="shared" si="1"/>
        <v>1412.5394</v>
      </c>
      <c r="L476" s="4">
        <f t="shared" si="2"/>
        <v>1.000864117</v>
      </c>
    </row>
    <row r="477">
      <c r="A477" s="3" t="s">
        <v>76</v>
      </c>
      <c r="B477" s="3">
        <v>2.11</v>
      </c>
      <c r="C477" s="3">
        <v>2.46</v>
      </c>
      <c r="D477" s="3">
        <v>43.1</v>
      </c>
      <c r="E477" s="3">
        <v>1.2</v>
      </c>
      <c r="F477" s="3">
        <v>21.85</v>
      </c>
      <c r="G477" s="3">
        <v>36.38</v>
      </c>
      <c r="H477" s="3">
        <v>0.0</v>
      </c>
      <c r="I477" s="3">
        <v>29.5</v>
      </c>
      <c r="J477" s="3">
        <v>0.0</v>
      </c>
      <c r="K477" s="4">
        <f t="shared" si="1"/>
        <v>1800.9269</v>
      </c>
      <c r="L477" s="4">
        <f t="shared" si="2"/>
        <v>1.031474404</v>
      </c>
    </row>
    <row r="478">
      <c r="A478" s="3" t="s">
        <v>76</v>
      </c>
      <c r="B478" s="3">
        <v>2.11</v>
      </c>
      <c r="C478" s="3">
        <v>3.07</v>
      </c>
      <c r="D478" s="3">
        <v>50.1</v>
      </c>
      <c r="E478" s="3">
        <v>2.8</v>
      </c>
      <c r="F478" s="3">
        <v>25.04</v>
      </c>
      <c r="G478" s="3">
        <v>38.7</v>
      </c>
      <c r="H478" s="3">
        <v>0.0</v>
      </c>
      <c r="I478" s="3">
        <v>21.65</v>
      </c>
      <c r="J478" s="3">
        <v>0.0</v>
      </c>
      <c r="K478" s="4">
        <f t="shared" si="1"/>
        <v>2124.6916</v>
      </c>
      <c r="L478" s="4">
        <f t="shared" si="2"/>
        <v>1.181352625</v>
      </c>
    </row>
    <row r="479">
      <c r="A479" s="3" t="s">
        <v>76</v>
      </c>
      <c r="B479" s="3">
        <v>2.11</v>
      </c>
      <c r="C479" s="3">
        <v>3.68</v>
      </c>
      <c r="D479" s="3">
        <v>58.1</v>
      </c>
      <c r="E479" s="3">
        <v>4.5</v>
      </c>
      <c r="F479" s="3">
        <v>28.73</v>
      </c>
      <c r="G479" s="3">
        <v>39.68</v>
      </c>
      <c r="H479" s="3">
        <v>0.0</v>
      </c>
      <c r="I479" s="3">
        <v>16.32</v>
      </c>
      <c r="J479" s="3">
        <v>0.0</v>
      </c>
      <c r="K479" s="4">
        <f t="shared" si="1"/>
        <v>2399.9153</v>
      </c>
      <c r="L479" s="4">
        <f t="shared" si="2"/>
        <v>1.406553806</v>
      </c>
    </row>
    <row r="480">
      <c r="A480" s="3" t="s">
        <v>76</v>
      </c>
      <c r="B480" s="3">
        <v>2.11</v>
      </c>
      <c r="C480" s="3">
        <v>4.3</v>
      </c>
      <c r="D480" s="3">
        <v>64.6</v>
      </c>
      <c r="E480" s="3">
        <v>4.1</v>
      </c>
      <c r="F480" s="3">
        <v>32.28</v>
      </c>
      <c r="G480" s="3">
        <v>39.98</v>
      </c>
      <c r="H480" s="3">
        <v>0.0</v>
      </c>
      <c r="I480" s="3">
        <v>13.06</v>
      </c>
      <c r="J480" s="3">
        <v>0.0</v>
      </c>
      <c r="K480" s="4">
        <f t="shared" si="1"/>
        <v>2640.3988</v>
      </c>
      <c r="L480" s="4">
        <f t="shared" si="2"/>
        <v>1.580503672</v>
      </c>
    </row>
    <row r="481">
      <c r="A481" s="3" t="s">
        <v>76</v>
      </c>
      <c r="B481" s="3">
        <v>2.11</v>
      </c>
      <c r="C481" s="3">
        <v>4.91</v>
      </c>
      <c r="D481" s="3">
        <v>68.5</v>
      </c>
      <c r="E481" s="3">
        <v>2.7</v>
      </c>
      <c r="F481" s="3">
        <v>34.59</v>
      </c>
      <c r="G481" s="3">
        <v>39.99</v>
      </c>
      <c r="H481" s="3">
        <v>0.0</v>
      </c>
      <c r="I481" s="3">
        <v>10.93</v>
      </c>
      <c r="J481" s="3">
        <v>0.0</v>
      </c>
      <c r="K481" s="4">
        <f t="shared" si="1"/>
        <v>2795.6682</v>
      </c>
      <c r="L481" s="4">
        <f t="shared" si="2"/>
        <v>1.678400176</v>
      </c>
    </row>
    <row r="482">
      <c r="A482" s="3" t="s">
        <v>76</v>
      </c>
      <c r="B482" s="3">
        <v>2.11</v>
      </c>
      <c r="C482" s="3">
        <v>5.52</v>
      </c>
      <c r="D482" s="3">
        <v>72.3</v>
      </c>
      <c r="E482" s="3">
        <v>0.8</v>
      </c>
      <c r="F482" s="3">
        <v>36.37</v>
      </c>
      <c r="G482" s="3">
        <v>39.87</v>
      </c>
      <c r="H482" s="3">
        <v>0.0</v>
      </c>
      <c r="I482" s="3">
        <v>9.36</v>
      </c>
      <c r="J482" s="3">
        <v>0.0</v>
      </c>
      <c r="K482" s="4">
        <f t="shared" si="1"/>
        <v>2912.3938</v>
      </c>
      <c r="L482" s="4">
        <f t="shared" si="2"/>
        <v>1.794843129</v>
      </c>
    </row>
    <row r="483">
      <c r="A483" s="3" t="s">
        <v>76</v>
      </c>
      <c r="B483" s="3">
        <v>2.11</v>
      </c>
      <c r="C483" s="3">
        <v>6.14</v>
      </c>
      <c r="D483" s="3">
        <v>74.2</v>
      </c>
      <c r="E483" s="3">
        <v>2.4</v>
      </c>
      <c r="F483" s="3">
        <v>37.73</v>
      </c>
      <c r="G483" s="3">
        <v>39.71</v>
      </c>
      <c r="H483" s="3">
        <v>0.0</v>
      </c>
      <c r="I483" s="3">
        <v>8.35</v>
      </c>
      <c r="J483" s="3">
        <v>0.0</v>
      </c>
      <c r="K483" s="4">
        <f t="shared" si="1"/>
        <v>3000.437</v>
      </c>
      <c r="L483" s="4">
        <f t="shared" si="2"/>
        <v>1.834946043</v>
      </c>
    </row>
    <row r="484">
      <c r="A484" s="3" t="s">
        <v>76</v>
      </c>
      <c r="B484" s="3">
        <v>2.11</v>
      </c>
      <c r="C484" s="3">
        <v>6.75</v>
      </c>
      <c r="D484" s="3">
        <v>78.9</v>
      </c>
      <c r="E484" s="3">
        <v>2.6</v>
      </c>
      <c r="F484" s="3">
        <v>38.68</v>
      </c>
      <c r="G484" s="3">
        <v>39.75</v>
      </c>
      <c r="H484" s="3">
        <v>0.0</v>
      </c>
      <c r="I484" s="3">
        <v>7.82</v>
      </c>
      <c r="J484" s="3">
        <v>0.0</v>
      </c>
      <c r="K484" s="4">
        <f t="shared" si="1"/>
        <v>3076.2049</v>
      </c>
      <c r="L484" s="4">
        <f t="shared" si="2"/>
        <v>2.023665589</v>
      </c>
    </row>
    <row r="485">
      <c r="A485" s="3" t="s">
        <v>76</v>
      </c>
      <c r="B485" s="3">
        <v>2.11</v>
      </c>
      <c r="C485" s="3">
        <v>7.37</v>
      </c>
      <c r="D485" s="3">
        <v>82.4</v>
      </c>
      <c r="E485" s="3">
        <v>2.3</v>
      </c>
      <c r="F485" s="3">
        <v>39.3</v>
      </c>
      <c r="G485" s="3">
        <v>40.35</v>
      </c>
      <c r="H485" s="3">
        <v>0.0</v>
      </c>
      <c r="I485" s="3">
        <v>7.39</v>
      </c>
      <c r="J485" s="3">
        <v>0.0</v>
      </c>
      <c r="K485" s="4">
        <f t="shared" si="1"/>
        <v>3172.6125</v>
      </c>
      <c r="L485" s="4">
        <f t="shared" si="2"/>
        <v>2.140116387</v>
      </c>
    </row>
    <row r="486">
      <c r="A486" s="3" t="s">
        <v>76</v>
      </c>
      <c r="B486" s="3">
        <v>2.11</v>
      </c>
      <c r="C486" s="3">
        <v>7.98</v>
      </c>
      <c r="D486" s="3">
        <v>84.3</v>
      </c>
      <c r="E486" s="3">
        <v>4.8</v>
      </c>
      <c r="F486" s="3">
        <v>39.72</v>
      </c>
      <c r="G486" s="3">
        <v>41.04</v>
      </c>
      <c r="H486" s="3">
        <v>0.0</v>
      </c>
      <c r="I486" s="3">
        <v>6.69</v>
      </c>
      <c r="J486" s="3">
        <v>0.0</v>
      </c>
      <c r="K486" s="4">
        <f t="shared" si="1"/>
        <v>3261.96</v>
      </c>
      <c r="L486" s="4">
        <f t="shared" si="2"/>
        <v>2.178595078</v>
      </c>
    </row>
    <row r="487">
      <c r="A487" s="3" t="s">
        <v>76</v>
      </c>
      <c r="B487" s="3">
        <v>2.11</v>
      </c>
      <c r="C487" s="3">
        <v>8.59</v>
      </c>
      <c r="D487" s="3">
        <v>85.4</v>
      </c>
      <c r="E487" s="3">
        <v>7.3</v>
      </c>
      <c r="F487" s="3">
        <v>40.39</v>
      </c>
      <c r="G487" s="3">
        <v>41.57</v>
      </c>
      <c r="H487" s="3">
        <v>0.0</v>
      </c>
      <c r="I487" s="3">
        <v>5.95</v>
      </c>
      <c r="J487" s="3">
        <v>0.0</v>
      </c>
      <c r="K487" s="4">
        <f t="shared" si="1"/>
        <v>3359.417</v>
      </c>
      <c r="L487" s="4">
        <f t="shared" si="2"/>
        <v>2.170960021</v>
      </c>
    </row>
    <row r="488">
      <c r="A488" s="3" t="s">
        <v>76</v>
      </c>
      <c r="B488" s="3">
        <v>2.11</v>
      </c>
      <c r="C488" s="3">
        <v>9.21</v>
      </c>
      <c r="D488" s="3">
        <v>85.3</v>
      </c>
      <c r="E488" s="3">
        <v>4.6</v>
      </c>
      <c r="F488" s="3">
        <v>40.44</v>
      </c>
      <c r="G488" s="3">
        <v>42.03</v>
      </c>
      <c r="H488" s="3">
        <v>0.0</v>
      </c>
      <c r="I488" s="3">
        <v>5.36</v>
      </c>
      <c r="J488" s="3">
        <v>0.0</v>
      </c>
      <c r="K488" s="4">
        <f t="shared" si="1"/>
        <v>3401.9145</v>
      </c>
      <c r="L488" s="4">
        <f t="shared" si="2"/>
        <v>2.138822125</v>
      </c>
    </row>
    <row r="489">
      <c r="A489" s="3" t="s">
        <v>76</v>
      </c>
      <c r="B489" s="3">
        <v>2.11</v>
      </c>
      <c r="C489" s="3">
        <v>9.82</v>
      </c>
      <c r="D489" s="3">
        <v>86.8</v>
      </c>
      <c r="E489" s="3">
        <v>4.0</v>
      </c>
      <c r="F489" s="3">
        <v>39.94</v>
      </c>
      <c r="G489" s="3">
        <v>42.44</v>
      </c>
      <c r="H489" s="3">
        <v>0.0</v>
      </c>
      <c r="I489" s="3">
        <v>4.85</v>
      </c>
      <c r="J489" s="3">
        <v>0.0</v>
      </c>
      <c r="K489" s="4">
        <f t="shared" si="1"/>
        <v>3396.3572</v>
      </c>
      <c r="L489" s="4">
        <f t="shared" si="2"/>
        <v>2.218329686</v>
      </c>
    </row>
    <row r="490">
      <c r="A490" s="3" t="s">
        <v>76</v>
      </c>
      <c r="B490" s="3">
        <v>2.11</v>
      </c>
      <c r="C490" s="3">
        <v>10.43</v>
      </c>
      <c r="D490" s="3">
        <v>85.4</v>
      </c>
      <c r="E490" s="3">
        <v>5.7</v>
      </c>
      <c r="F490" s="3">
        <v>39.15</v>
      </c>
      <c r="G490" s="3">
        <v>42.87</v>
      </c>
      <c r="H490" s="3">
        <v>0.0</v>
      </c>
      <c r="I490" s="3">
        <v>4.39</v>
      </c>
      <c r="J490" s="3">
        <v>0.0</v>
      </c>
      <c r="K490" s="4">
        <f t="shared" si="1"/>
        <v>3370.5594</v>
      </c>
      <c r="L490" s="4">
        <f t="shared" si="2"/>
        <v>2.163783258</v>
      </c>
    </row>
    <row r="491">
      <c r="A491" s="3" t="s">
        <v>76</v>
      </c>
      <c r="B491" s="3">
        <v>2.11</v>
      </c>
      <c r="C491" s="3">
        <v>11.05</v>
      </c>
      <c r="D491" s="3">
        <v>85.4</v>
      </c>
      <c r="E491" s="3">
        <v>7.0</v>
      </c>
      <c r="F491" s="3">
        <v>37.71</v>
      </c>
      <c r="G491" s="3">
        <v>43.32</v>
      </c>
      <c r="H491" s="3">
        <v>0.0</v>
      </c>
      <c r="I491" s="3">
        <v>3.97</v>
      </c>
      <c r="J491" s="3">
        <v>0.0</v>
      </c>
      <c r="K491" s="4">
        <f t="shared" si="1"/>
        <v>3298.6665</v>
      </c>
      <c r="L491" s="4">
        <f t="shared" si="2"/>
        <v>2.210941906</v>
      </c>
    </row>
    <row r="492">
      <c r="A492" s="3" t="s">
        <v>76</v>
      </c>
      <c r="B492" s="3">
        <v>2.11</v>
      </c>
      <c r="C492" s="3">
        <v>11.66</v>
      </c>
      <c r="D492" s="3">
        <v>86.2</v>
      </c>
      <c r="E492" s="3">
        <v>4.1</v>
      </c>
      <c r="F492" s="3">
        <v>36.23</v>
      </c>
      <c r="G492" s="3">
        <v>43.95</v>
      </c>
      <c r="H492" s="3">
        <v>0.0</v>
      </c>
      <c r="I492" s="3">
        <v>3.59</v>
      </c>
      <c r="J492" s="3">
        <v>0.0</v>
      </c>
      <c r="K492" s="4">
        <f t="shared" si="1"/>
        <v>3244.2154</v>
      </c>
      <c r="L492" s="4">
        <f t="shared" si="2"/>
        <v>2.2903658</v>
      </c>
    </row>
    <row r="493">
      <c r="A493" s="3" t="s">
        <v>76</v>
      </c>
      <c r="B493" s="3">
        <v>2.11</v>
      </c>
      <c r="C493" s="3">
        <v>12.28</v>
      </c>
      <c r="D493" s="3">
        <v>86.1</v>
      </c>
      <c r="E493" s="3">
        <v>6.2</v>
      </c>
      <c r="F493" s="3">
        <v>35.41</v>
      </c>
      <c r="G493" s="3">
        <v>44.71</v>
      </c>
      <c r="H493" s="3">
        <v>0.0</v>
      </c>
      <c r="I493" s="3">
        <v>3.25</v>
      </c>
      <c r="J493" s="3">
        <v>0.0</v>
      </c>
      <c r="K493" s="4">
        <f t="shared" si="1"/>
        <v>3252.8522</v>
      </c>
      <c r="L493" s="4">
        <f t="shared" si="2"/>
        <v>2.278987653</v>
      </c>
    </row>
    <row r="494">
      <c r="A494" s="3" t="s">
        <v>76</v>
      </c>
      <c r="B494" s="3">
        <v>2.11</v>
      </c>
      <c r="C494" s="3">
        <v>12.89</v>
      </c>
      <c r="D494" s="3">
        <v>87.4</v>
      </c>
      <c r="E494" s="3">
        <v>2.5</v>
      </c>
      <c r="F494" s="3">
        <v>34.67</v>
      </c>
      <c r="G494" s="3">
        <v>45.88</v>
      </c>
      <c r="H494" s="3">
        <v>0.0</v>
      </c>
      <c r="I494" s="3">
        <v>2.94</v>
      </c>
      <c r="J494" s="3">
        <v>0.0</v>
      </c>
      <c r="K494" s="4">
        <f t="shared" si="1"/>
        <v>3306.9833</v>
      </c>
      <c r="L494" s="4">
        <f t="shared" si="2"/>
        <v>2.309887685</v>
      </c>
    </row>
    <row r="495">
      <c r="A495" s="3" t="s">
        <v>76</v>
      </c>
      <c r="B495" s="3">
        <v>2.11</v>
      </c>
      <c r="C495" s="3">
        <v>13.5</v>
      </c>
      <c r="D495" s="3">
        <v>86.5</v>
      </c>
      <c r="E495" s="3">
        <v>5.5</v>
      </c>
      <c r="F495" s="3">
        <v>33.61</v>
      </c>
      <c r="G495" s="3">
        <v>48.0</v>
      </c>
      <c r="H495" s="3">
        <v>0.0</v>
      </c>
      <c r="I495" s="3">
        <v>0.0</v>
      </c>
      <c r="J495" s="3">
        <v>0.0</v>
      </c>
      <c r="K495" s="4">
        <f t="shared" si="1"/>
        <v>3433.6321</v>
      </c>
      <c r="L495" s="4">
        <f t="shared" si="2"/>
        <v>2.179106492</v>
      </c>
    </row>
    <row r="496">
      <c r="A496" s="3" t="s">
        <v>77</v>
      </c>
      <c r="B496" s="3">
        <v>13.5</v>
      </c>
      <c r="C496" s="3">
        <v>0.23</v>
      </c>
      <c r="D496" s="3">
        <v>6.81</v>
      </c>
      <c r="E496" s="3">
        <v>8.19</v>
      </c>
      <c r="F496" s="3">
        <v>-0.86</v>
      </c>
      <c r="G496" s="3">
        <v>9.67</v>
      </c>
      <c r="H496" s="3">
        <v>0.0</v>
      </c>
      <c r="I496" s="3">
        <v>142.64</v>
      </c>
      <c r="J496" s="3">
        <v>0.0</v>
      </c>
      <c r="K496" s="4">
        <f t="shared" si="1"/>
        <v>94.2485</v>
      </c>
      <c r="L496" s="4">
        <f t="shared" si="2"/>
        <v>0.4920619426</v>
      </c>
    </row>
    <row r="497">
      <c r="A497" s="3" t="s">
        <v>77</v>
      </c>
      <c r="B497" s="3">
        <v>13.5</v>
      </c>
      <c r="C497" s="3">
        <v>0.69</v>
      </c>
      <c r="D497" s="3">
        <v>20.0</v>
      </c>
      <c r="E497" s="3">
        <v>4.09</v>
      </c>
      <c r="F497" s="3">
        <v>-1.93</v>
      </c>
      <c r="G497" s="3">
        <v>23.77</v>
      </c>
      <c r="H497" s="3">
        <v>0.0</v>
      </c>
      <c r="I497" s="3">
        <v>114.33</v>
      </c>
      <c r="J497" s="3">
        <v>0.0</v>
      </c>
      <c r="K497" s="4">
        <f t="shared" si="1"/>
        <v>568.7378</v>
      </c>
      <c r="L497" s="4">
        <f t="shared" si="2"/>
        <v>0.7033117897</v>
      </c>
    </row>
    <row r="498">
      <c r="A498" s="3" t="s">
        <v>77</v>
      </c>
      <c r="B498" s="3">
        <v>13.5</v>
      </c>
      <c r="C498" s="3">
        <v>1.15</v>
      </c>
      <c r="D498" s="3">
        <v>33.0</v>
      </c>
      <c r="E498" s="3">
        <v>4.0</v>
      </c>
      <c r="F498" s="3">
        <v>-3.62</v>
      </c>
      <c r="G498" s="3">
        <v>34.7</v>
      </c>
      <c r="H498" s="3">
        <v>0.0</v>
      </c>
      <c r="I498" s="3">
        <v>92.98</v>
      </c>
      <c r="J498" s="3">
        <v>0.0</v>
      </c>
      <c r="K498" s="4">
        <f t="shared" si="1"/>
        <v>1217.1944</v>
      </c>
      <c r="L498" s="4">
        <f t="shared" si="2"/>
        <v>0.8946804225</v>
      </c>
    </row>
    <row r="499">
      <c r="A499" s="3" t="s">
        <v>77</v>
      </c>
      <c r="B499" s="3">
        <v>13.5</v>
      </c>
      <c r="C499" s="3">
        <v>1.59</v>
      </c>
      <c r="D499" s="3">
        <v>42.7</v>
      </c>
      <c r="E499" s="3">
        <v>4.0</v>
      </c>
      <c r="F499" s="3">
        <v>-4.31</v>
      </c>
      <c r="G499" s="3">
        <v>41.73</v>
      </c>
      <c r="H499" s="3">
        <v>0.0</v>
      </c>
      <c r="I499" s="3">
        <v>70.0</v>
      </c>
      <c r="J499" s="3">
        <v>0.0</v>
      </c>
      <c r="K499" s="4">
        <f t="shared" si="1"/>
        <v>1759.969</v>
      </c>
      <c r="L499" s="4">
        <f t="shared" si="2"/>
        <v>1.035978475</v>
      </c>
    </row>
    <row r="500">
      <c r="A500" s="3" t="s">
        <v>77</v>
      </c>
      <c r="B500" s="3">
        <v>13.5</v>
      </c>
      <c r="C500" s="3">
        <v>2.05</v>
      </c>
      <c r="D500" s="3">
        <v>49.9</v>
      </c>
      <c r="E500" s="3">
        <v>4.0</v>
      </c>
      <c r="F500" s="3">
        <v>-3.92</v>
      </c>
      <c r="G500" s="3">
        <v>46.7</v>
      </c>
      <c r="H500" s="3">
        <v>0.0</v>
      </c>
      <c r="I500" s="3">
        <v>54.62</v>
      </c>
      <c r="J500" s="3">
        <v>0.0</v>
      </c>
      <c r="K500" s="4">
        <f t="shared" si="1"/>
        <v>2196.2564</v>
      </c>
      <c r="L500" s="4">
        <f t="shared" si="2"/>
        <v>1.133751961</v>
      </c>
    </row>
    <row r="501">
      <c r="A501" s="3" t="s">
        <v>77</v>
      </c>
      <c r="B501" s="3">
        <v>13.5</v>
      </c>
      <c r="C501" s="3">
        <v>2.51</v>
      </c>
      <c r="D501" s="3">
        <v>55.5</v>
      </c>
      <c r="E501" s="3">
        <v>4.0</v>
      </c>
      <c r="F501" s="3">
        <v>3.21</v>
      </c>
      <c r="G501" s="3">
        <v>50.33</v>
      </c>
      <c r="H501" s="3">
        <v>0.0</v>
      </c>
      <c r="I501" s="3">
        <v>43.18</v>
      </c>
      <c r="J501" s="3">
        <v>0.0</v>
      </c>
      <c r="K501" s="4">
        <f t="shared" si="1"/>
        <v>2543.413</v>
      </c>
      <c r="L501" s="4">
        <f t="shared" si="2"/>
        <v>1.211069535</v>
      </c>
    </row>
    <row r="502">
      <c r="A502" s="3" t="s">
        <v>77</v>
      </c>
      <c r="B502" s="3">
        <v>13.5</v>
      </c>
      <c r="C502" s="3">
        <v>2.97</v>
      </c>
      <c r="D502" s="3">
        <v>61.9</v>
      </c>
      <c r="E502" s="3">
        <v>4.0</v>
      </c>
      <c r="F502" s="3">
        <v>7.43</v>
      </c>
      <c r="G502" s="3">
        <v>53.12</v>
      </c>
      <c r="H502" s="3">
        <v>0.0</v>
      </c>
      <c r="I502" s="3">
        <v>33.14</v>
      </c>
      <c r="J502" s="3">
        <v>0.0</v>
      </c>
      <c r="K502" s="4">
        <f t="shared" si="1"/>
        <v>2876.9393</v>
      </c>
      <c r="L502" s="4">
        <f t="shared" si="2"/>
        <v>1.331835538</v>
      </c>
    </row>
    <row r="503">
      <c r="A503" s="3" t="s">
        <v>77</v>
      </c>
      <c r="B503" s="3">
        <v>13.5</v>
      </c>
      <c r="C503" s="3">
        <v>3.42</v>
      </c>
      <c r="D503" s="3">
        <v>67.9</v>
      </c>
      <c r="E503" s="3">
        <v>4.0</v>
      </c>
      <c r="F503" s="3">
        <v>10.05</v>
      </c>
      <c r="G503" s="3">
        <v>55.1</v>
      </c>
      <c r="H503" s="3">
        <v>0.0</v>
      </c>
      <c r="I503" s="3">
        <v>25.5</v>
      </c>
      <c r="J503" s="3">
        <v>0.0</v>
      </c>
      <c r="K503" s="4">
        <f t="shared" si="1"/>
        <v>3137.0125</v>
      </c>
      <c r="L503" s="4">
        <f t="shared" si="2"/>
        <v>1.469681743</v>
      </c>
    </row>
    <row r="504">
      <c r="A504" s="3" t="s">
        <v>77</v>
      </c>
      <c r="B504" s="3">
        <v>13.5</v>
      </c>
      <c r="C504" s="3">
        <v>3.88</v>
      </c>
      <c r="D504" s="3">
        <v>73.1</v>
      </c>
      <c r="E504" s="3">
        <v>4.0</v>
      </c>
      <c r="F504" s="3">
        <v>11.97</v>
      </c>
      <c r="G504" s="3">
        <v>55.08</v>
      </c>
      <c r="H504" s="3">
        <v>0.0</v>
      </c>
      <c r="I504" s="3">
        <v>16.1</v>
      </c>
      <c r="J504" s="3">
        <v>0.0</v>
      </c>
      <c r="K504" s="4">
        <f t="shared" si="1"/>
        <v>3177.0873</v>
      </c>
      <c r="L504" s="4">
        <f t="shared" si="2"/>
        <v>1.681921048</v>
      </c>
    </row>
    <row r="505">
      <c r="A505" s="3" t="s">
        <v>77</v>
      </c>
      <c r="B505" s="3">
        <v>13.5</v>
      </c>
      <c r="C505" s="3">
        <v>4.34</v>
      </c>
      <c r="D505" s="3">
        <v>76.1</v>
      </c>
      <c r="E505" s="3">
        <v>3.0</v>
      </c>
      <c r="F505" s="3">
        <v>13.61</v>
      </c>
      <c r="G505" s="3">
        <v>54.16</v>
      </c>
      <c r="H505" s="3">
        <v>0.0</v>
      </c>
      <c r="I505" s="3">
        <v>13.06</v>
      </c>
      <c r="J505" s="3">
        <v>0.0</v>
      </c>
      <c r="K505" s="4">
        <f t="shared" si="1"/>
        <v>3118.5377</v>
      </c>
      <c r="L505" s="4">
        <f t="shared" si="2"/>
        <v>1.857027414</v>
      </c>
    </row>
    <row r="506">
      <c r="A506" s="3" t="s">
        <v>77</v>
      </c>
      <c r="B506" s="3">
        <v>13.5</v>
      </c>
      <c r="C506" s="3">
        <v>4.79</v>
      </c>
      <c r="D506" s="3">
        <v>77.8</v>
      </c>
      <c r="E506" s="3">
        <v>5.34</v>
      </c>
      <c r="F506" s="3">
        <v>14.82</v>
      </c>
      <c r="G506" s="3">
        <v>53.32</v>
      </c>
      <c r="H506" s="3">
        <v>0.0</v>
      </c>
      <c r="I506" s="3">
        <v>9.76</v>
      </c>
      <c r="J506" s="3">
        <v>0.0</v>
      </c>
      <c r="K506" s="4">
        <f t="shared" si="1"/>
        <v>3062.6548</v>
      </c>
      <c r="L506" s="4">
        <f t="shared" si="2"/>
        <v>1.976337653</v>
      </c>
    </row>
    <row r="507">
      <c r="A507" s="3" t="s">
        <v>77</v>
      </c>
      <c r="B507" s="3">
        <v>13.5</v>
      </c>
      <c r="C507" s="3">
        <v>5.24</v>
      </c>
      <c r="D507" s="3">
        <v>79.0</v>
      </c>
      <c r="E507" s="3">
        <v>4.0</v>
      </c>
      <c r="F507" s="3">
        <v>15.7</v>
      </c>
      <c r="G507" s="3">
        <v>52.48</v>
      </c>
      <c r="H507" s="3">
        <v>0.0</v>
      </c>
      <c r="I507" s="3">
        <v>7.4</v>
      </c>
      <c r="J507" s="3">
        <v>0.0</v>
      </c>
      <c r="K507" s="4">
        <f t="shared" si="1"/>
        <v>3000.6404</v>
      </c>
      <c r="L507" s="4">
        <f t="shared" si="2"/>
        <v>2.079889346</v>
      </c>
    </row>
    <row r="508">
      <c r="A508" s="3" t="s">
        <v>77</v>
      </c>
      <c r="B508" s="3">
        <v>13.5</v>
      </c>
      <c r="C508" s="3">
        <v>5.7</v>
      </c>
      <c r="D508" s="3">
        <v>78.5</v>
      </c>
      <c r="E508" s="3">
        <v>5.6</v>
      </c>
      <c r="F508" s="3">
        <v>16.36</v>
      </c>
      <c r="G508" s="3">
        <v>50.92</v>
      </c>
      <c r="H508" s="3">
        <v>0.0</v>
      </c>
      <c r="I508" s="3">
        <v>5.05</v>
      </c>
      <c r="J508" s="3">
        <v>0.0</v>
      </c>
      <c r="K508" s="4">
        <f t="shared" si="1"/>
        <v>2860.496</v>
      </c>
      <c r="L508" s="4">
        <f t="shared" si="2"/>
        <v>2.154259261</v>
      </c>
    </row>
    <row r="509">
      <c r="A509" s="3" t="s">
        <v>77</v>
      </c>
      <c r="B509" s="3">
        <v>13.5</v>
      </c>
      <c r="C509" s="3">
        <v>6.16</v>
      </c>
      <c r="D509" s="3">
        <v>79.8</v>
      </c>
      <c r="E509" s="3">
        <v>7.15</v>
      </c>
      <c r="F509" s="3">
        <v>16.58</v>
      </c>
      <c r="G509" s="3">
        <v>49.36</v>
      </c>
      <c r="H509" s="3">
        <v>0.0</v>
      </c>
      <c r="I509" s="3">
        <v>4.2</v>
      </c>
      <c r="J509" s="3">
        <v>0.0</v>
      </c>
      <c r="K509" s="4">
        <f t="shared" si="1"/>
        <v>2711.306</v>
      </c>
      <c r="L509" s="4">
        <f t="shared" si="2"/>
        <v>2.348698376</v>
      </c>
    </row>
    <row r="510">
      <c r="A510" s="3" t="s">
        <v>77</v>
      </c>
      <c r="B510" s="3">
        <v>13.5</v>
      </c>
      <c r="C510" s="3">
        <v>7.16</v>
      </c>
      <c r="D510" s="3">
        <v>83.4</v>
      </c>
      <c r="E510" s="3">
        <v>5.12</v>
      </c>
      <c r="F510" s="3">
        <v>17.02</v>
      </c>
      <c r="G510" s="3">
        <v>46.44</v>
      </c>
      <c r="H510" s="3">
        <v>0.0</v>
      </c>
      <c r="I510" s="3">
        <v>2.37</v>
      </c>
      <c r="J510" s="3">
        <v>0.0</v>
      </c>
      <c r="K510" s="4">
        <f t="shared" si="1"/>
        <v>2446.354</v>
      </c>
      <c r="L510" s="4">
        <f t="shared" si="2"/>
        <v>2.84323528</v>
      </c>
    </row>
    <row r="511">
      <c r="A511" s="3" t="s">
        <v>77</v>
      </c>
      <c r="B511" s="3">
        <v>13.5</v>
      </c>
      <c r="C511" s="3">
        <v>7.52</v>
      </c>
      <c r="D511" s="3">
        <v>84.6</v>
      </c>
      <c r="E511" s="3">
        <v>4.0</v>
      </c>
      <c r="F511" s="3">
        <v>17.46</v>
      </c>
      <c r="G511" s="3">
        <v>45.44</v>
      </c>
      <c r="H511" s="3">
        <v>0.0</v>
      </c>
      <c r="I511" s="3">
        <v>2.01</v>
      </c>
      <c r="J511" s="3">
        <v>0.0</v>
      </c>
      <c r="K511" s="4">
        <f t="shared" si="1"/>
        <v>2369.6452</v>
      </c>
      <c r="L511" s="4">
        <f t="shared" si="2"/>
        <v>3.020350895</v>
      </c>
    </row>
    <row r="512">
      <c r="A512" s="3" t="s">
        <v>77</v>
      </c>
      <c r="B512" s="3">
        <v>13.5</v>
      </c>
      <c r="C512" s="3">
        <v>7.98</v>
      </c>
      <c r="D512" s="3">
        <v>86.1</v>
      </c>
      <c r="E512" s="3">
        <v>5.53</v>
      </c>
      <c r="F512" s="3">
        <v>18.01</v>
      </c>
      <c r="G512" s="3">
        <v>44.24</v>
      </c>
      <c r="H512" s="3">
        <v>0.0</v>
      </c>
      <c r="I512" s="3">
        <v>1.61</v>
      </c>
      <c r="J512" s="3">
        <v>0.0</v>
      </c>
      <c r="K512" s="4">
        <f t="shared" si="1"/>
        <v>2281.5377</v>
      </c>
      <c r="L512" s="4">
        <f t="shared" si="2"/>
        <v>3.249216526</v>
      </c>
    </row>
    <row r="513">
      <c r="A513" s="3" t="s">
        <v>77</v>
      </c>
      <c r="B513" s="3">
        <v>13.5</v>
      </c>
      <c r="C513" s="3">
        <v>8.44</v>
      </c>
      <c r="D513" s="3">
        <v>87.5</v>
      </c>
      <c r="E513" s="3">
        <v>10.2</v>
      </c>
      <c r="F513" s="3">
        <v>18.77</v>
      </c>
      <c r="G513" s="3">
        <v>43.11</v>
      </c>
      <c r="H513" s="3">
        <v>0.0</v>
      </c>
      <c r="I513" s="3">
        <v>1.27</v>
      </c>
      <c r="J513" s="3">
        <v>0.0</v>
      </c>
      <c r="K513" s="4">
        <f t="shared" si="1"/>
        <v>2210.785</v>
      </c>
      <c r="L513" s="4">
        <f t="shared" si="2"/>
        <v>3.463136397</v>
      </c>
    </row>
    <row r="514">
      <c r="A514" s="3" t="s">
        <v>77</v>
      </c>
      <c r="B514" s="3">
        <v>13.5</v>
      </c>
      <c r="C514" s="3">
        <v>8.9</v>
      </c>
      <c r="D514" s="3">
        <v>89.0</v>
      </c>
      <c r="E514" s="3">
        <v>7.77</v>
      </c>
      <c r="F514" s="3">
        <v>19.76</v>
      </c>
      <c r="G514" s="3">
        <v>41.91</v>
      </c>
      <c r="H514" s="3">
        <v>0.0</v>
      </c>
      <c r="I514" s="3">
        <v>0.96</v>
      </c>
      <c r="J514" s="3">
        <v>0.0</v>
      </c>
      <c r="K514" s="4">
        <f t="shared" si="1"/>
        <v>2146.9057</v>
      </c>
      <c r="L514" s="4">
        <f t="shared" si="2"/>
        <v>3.689496003</v>
      </c>
    </row>
    <row r="515">
      <c r="A515" s="3" t="s">
        <v>77</v>
      </c>
      <c r="B515" s="3">
        <v>13.5</v>
      </c>
      <c r="C515" s="3">
        <v>9.35</v>
      </c>
      <c r="D515" s="3">
        <v>90.4</v>
      </c>
      <c r="E515" s="3">
        <v>5.16</v>
      </c>
      <c r="F515" s="3">
        <v>20.86</v>
      </c>
      <c r="G515" s="3">
        <v>40.72</v>
      </c>
      <c r="H515" s="3">
        <v>0.0</v>
      </c>
      <c r="I515" s="3">
        <v>0.84</v>
      </c>
      <c r="J515" s="3">
        <v>0.0</v>
      </c>
      <c r="K515" s="4">
        <f t="shared" si="1"/>
        <v>2093.258</v>
      </c>
      <c r="L515" s="4">
        <f t="shared" si="2"/>
        <v>3.904038585</v>
      </c>
    </row>
    <row r="516">
      <c r="A516" s="3" t="s">
        <v>77</v>
      </c>
      <c r="B516" s="3">
        <v>13.5</v>
      </c>
      <c r="C516" s="3">
        <v>9.62</v>
      </c>
      <c r="D516" s="3">
        <v>91.2</v>
      </c>
      <c r="E516" s="3">
        <v>13.7</v>
      </c>
      <c r="F516" s="3">
        <v>21.63</v>
      </c>
      <c r="G516" s="3">
        <v>40.12</v>
      </c>
      <c r="H516" s="3">
        <v>0.0</v>
      </c>
      <c r="I516" s="3">
        <v>0.83</v>
      </c>
      <c r="J516" s="3">
        <v>0.0</v>
      </c>
      <c r="K516" s="4">
        <f t="shared" si="1"/>
        <v>2077.4713</v>
      </c>
      <c r="L516" s="4">
        <f t="shared" si="2"/>
        <v>4.003636536</v>
      </c>
    </row>
    <row r="517">
      <c r="A517" s="3" t="s">
        <v>78</v>
      </c>
      <c r="B517" s="3">
        <v>3.7</v>
      </c>
      <c r="C517" s="3">
        <v>1.08</v>
      </c>
      <c r="D517" s="3">
        <v>34.6</v>
      </c>
      <c r="E517" s="3">
        <v>0.9</v>
      </c>
      <c r="F517" s="3">
        <v>2.87</v>
      </c>
      <c r="G517" s="3">
        <v>22.18</v>
      </c>
      <c r="H517" s="3">
        <v>0.0</v>
      </c>
      <c r="I517" s="3">
        <v>66.02</v>
      </c>
      <c r="J517" s="3">
        <v>0.0</v>
      </c>
      <c r="K517" s="4">
        <f t="shared" si="1"/>
        <v>500.1893</v>
      </c>
      <c r="L517" s="4">
        <f t="shared" si="2"/>
        <v>2.393413854</v>
      </c>
    </row>
    <row r="518">
      <c r="A518" s="3" t="s">
        <v>78</v>
      </c>
      <c r="B518" s="3">
        <v>3.7</v>
      </c>
      <c r="C518" s="3">
        <v>1.61</v>
      </c>
      <c r="D518" s="3">
        <v>47.0</v>
      </c>
      <c r="E518" s="3">
        <v>0.8</v>
      </c>
      <c r="F518" s="3">
        <v>4.22</v>
      </c>
      <c r="G518" s="3">
        <v>29.63</v>
      </c>
      <c r="H518" s="3">
        <v>0.0</v>
      </c>
      <c r="I518" s="3">
        <v>54.33</v>
      </c>
      <c r="J518" s="3">
        <v>0.0</v>
      </c>
      <c r="K518" s="4">
        <f t="shared" si="1"/>
        <v>895.7453</v>
      </c>
      <c r="L518" s="4">
        <f t="shared" si="2"/>
        <v>2.466102808</v>
      </c>
    </row>
    <row r="519">
      <c r="A519" s="3" t="s">
        <v>78</v>
      </c>
      <c r="B519" s="3">
        <v>3.7</v>
      </c>
      <c r="C519" s="3">
        <v>2.15</v>
      </c>
      <c r="D519" s="3">
        <v>59.1</v>
      </c>
      <c r="E519" s="3">
        <v>3.1</v>
      </c>
      <c r="F519" s="3">
        <v>5.53</v>
      </c>
      <c r="G519" s="3">
        <v>34.54</v>
      </c>
      <c r="H519" s="3">
        <v>0.0</v>
      </c>
      <c r="I519" s="3">
        <v>44.47</v>
      </c>
      <c r="J519" s="3">
        <v>0.0</v>
      </c>
      <c r="K519" s="4">
        <f t="shared" si="1"/>
        <v>1223.5925</v>
      </c>
      <c r="L519" s="4">
        <f t="shared" si="2"/>
        <v>2.854553293</v>
      </c>
    </row>
    <row r="520">
      <c r="A520" s="3" t="s">
        <v>78</v>
      </c>
      <c r="B520" s="3">
        <v>3.7</v>
      </c>
      <c r="C520" s="3">
        <v>2.7</v>
      </c>
      <c r="D520" s="3">
        <v>64.4</v>
      </c>
      <c r="E520" s="3">
        <v>1.4</v>
      </c>
      <c r="F520" s="3">
        <v>7.02</v>
      </c>
      <c r="G520" s="3">
        <v>38.17</v>
      </c>
      <c r="H520" s="3">
        <v>0.0</v>
      </c>
      <c r="I520" s="3">
        <v>37.92</v>
      </c>
      <c r="J520" s="3">
        <v>0.0</v>
      </c>
      <c r="K520" s="4">
        <f t="shared" si="1"/>
        <v>1506.2293</v>
      </c>
      <c r="L520" s="4">
        <f t="shared" si="2"/>
        <v>2.753471865</v>
      </c>
    </row>
    <row r="521">
      <c r="A521" s="3" t="s">
        <v>78</v>
      </c>
      <c r="B521" s="3">
        <v>3.7</v>
      </c>
      <c r="C521" s="3">
        <v>3.22</v>
      </c>
      <c r="D521" s="3">
        <v>67.4</v>
      </c>
      <c r="E521" s="3">
        <v>2.3</v>
      </c>
      <c r="F521" s="3">
        <v>8.74</v>
      </c>
      <c r="G521" s="3">
        <v>41.49</v>
      </c>
      <c r="H521" s="3">
        <v>0.0</v>
      </c>
      <c r="I521" s="3">
        <v>33.35</v>
      </c>
      <c r="J521" s="3">
        <v>0.0</v>
      </c>
      <c r="K521" s="4">
        <f t="shared" si="1"/>
        <v>1797.8077</v>
      </c>
      <c r="L521" s="4">
        <f t="shared" si="2"/>
        <v>2.526833098</v>
      </c>
    </row>
    <row r="522">
      <c r="A522" s="3" t="s">
        <v>78</v>
      </c>
      <c r="B522" s="3">
        <v>3.7</v>
      </c>
      <c r="C522" s="3">
        <v>3.77</v>
      </c>
      <c r="D522" s="3">
        <v>69.8</v>
      </c>
      <c r="E522" s="3">
        <v>0.7</v>
      </c>
      <c r="F522" s="3">
        <v>10.74</v>
      </c>
      <c r="G522" s="3">
        <v>44.33</v>
      </c>
      <c r="H522" s="3">
        <v>0.0</v>
      </c>
      <c r="I522" s="3">
        <v>29.03</v>
      </c>
      <c r="J522" s="3">
        <v>0.0</v>
      </c>
      <c r="K522" s="4">
        <f t="shared" si="1"/>
        <v>2080.4965</v>
      </c>
      <c r="L522" s="4">
        <f t="shared" si="2"/>
        <v>2.341767939</v>
      </c>
    </row>
    <row r="523">
      <c r="A523" s="3" t="s">
        <v>78</v>
      </c>
      <c r="B523" s="3">
        <v>3.7</v>
      </c>
      <c r="C523" s="3">
        <v>4.31</v>
      </c>
      <c r="D523" s="3">
        <v>71.3</v>
      </c>
      <c r="E523" s="3">
        <v>1.1</v>
      </c>
      <c r="F523" s="3">
        <v>12.87</v>
      </c>
      <c r="G523" s="3">
        <v>46.65</v>
      </c>
      <c r="H523" s="3">
        <v>0.0</v>
      </c>
      <c r="I523" s="3">
        <v>25.59</v>
      </c>
      <c r="J523" s="3">
        <v>0.0</v>
      </c>
      <c r="K523" s="4">
        <f t="shared" si="1"/>
        <v>2341.8594</v>
      </c>
      <c r="L523" s="4">
        <f t="shared" si="2"/>
        <v>2.170792149</v>
      </c>
    </row>
    <row r="524">
      <c r="A524" s="3" t="s">
        <v>78</v>
      </c>
      <c r="B524" s="3">
        <v>3.7</v>
      </c>
      <c r="C524" s="3">
        <v>4.85</v>
      </c>
      <c r="D524" s="3">
        <v>73.2</v>
      </c>
      <c r="E524" s="3">
        <v>1.7</v>
      </c>
      <c r="F524" s="3">
        <v>14.02</v>
      </c>
      <c r="G524" s="3">
        <v>48.71</v>
      </c>
      <c r="H524" s="3">
        <v>0.0</v>
      </c>
      <c r="I524" s="3">
        <v>22.37</v>
      </c>
      <c r="J524" s="3">
        <v>0.0</v>
      </c>
      <c r="K524" s="4">
        <f t="shared" si="1"/>
        <v>2569.2245</v>
      </c>
      <c r="L524" s="4">
        <f t="shared" si="2"/>
        <v>2.085547604</v>
      </c>
    </row>
    <row r="525">
      <c r="A525" s="3" t="s">
        <v>78</v>
      </c>
      <c r="B525" s="3">
        <v>3.7</v>
      </c>
      <c r="C525" s="3">
        <v>5.38</v>
      </c>
      <c r="D525" s="3">
        <v>75.1</v>
      </c>
      <c r="E525" s="3">
        <v>3.0</v>
      </c>
      <c r="F525" s="3">
        <v>14.25</v>
      </c>
      <c r="G525" s="3">
        <v>50.36</v>
      </c>
      <c r="H525" s="3">
        <v>0.0</v>
      </c>
      <c r="I525" s="3">
        <v>19.55</v>
      </c>
      <c r="J525" s="3">
        <v>0.0</v>
      </c>
      <c r="K525" s="4">
        <f t="shared" si="1"/>
        <v>2739.1921</v>
      </c>
      <c r="L525" s="4">
        <f t="shared" si="2"/>
        <v>2.059004916</v>
      </c>
    </row>
    <row r="526">
      <c r="A526" s="3" t="s">
        <v>78</v>
      </c>
      <c r="B526" s="3">
        <v>3.7</v>
      </c>
      <c r="C526" s="3">
        <v>5.92</v>
      </c>
      <c r="D526" s="3">
        <v>78.5</v>
      </c>
      <c r="E526" s="3">
        <v>3.8</v>
      </c>
      <c r="F526" s="3">
        <v>15.4</v>
      </c>
      <c r="G526" s="3">
        <v>51.67</v>
      </c>
      <c r="H526" s="3">
        <v>0.0</v>
      </c>
      <c r="I526" s="3">
        <v>17.02</v>
      </c>
      <c r="J526" s="3">
        <v>0.0</v>
      </c>
      <c r="K526" s="4">
        <f t="shared" si="1"/>
        <v>2906.9489</v>
      </c>
      <c r="L526" s="4">
        <f t="shared" si="2"/>
        <v>2.119834305</v>
      </c>
    </row>
    <row r="527">
      <c r="A527" s="3" t="s">
        <v>78</v>
      </c>
      <c r="B527" s="3">
        <v>3.7</v>
      </c>
      <c r="C527" s="3">
        <v>6.46</v>
      </c>
      <c r="D527" s="3">
        <v>81.4</v>
      </c>
      <c r="E527" s="3">
        <v>5.0</v>
      </c>
      <c r="F527" s="3">
        <v>17.47</v>
      </c>
      <c r="G527" s="3">
        <v>52.6</v>
      </c>
      <c r="H527" s="3">
        <v>0.0</v>
      </c>
      <c r="I527" s="3">
        <v>14.83</v>
      </c>
      <c r="J527" s="3">
        <v>0.0</v>
      </c>
      <c r="K527" s="4">
        <f t="shared" si="1"/>
        <v>3071.9609</v>
      </c>
      <c r="L527" s="4">
        <f t="shared" si="2"/>
        <v>2.156915474</v>
      </c>
    </row>
    <row r="528">
      <c r="A528" s="3" t="s">
        <v>78</v>
      </c>
      <c r="B528" s="3">
        <v>3.7</v>
      </c>
      <c r="C528" s="3">
        <v>6.99</v>
      </c>
      <c r="D528" s="3">
        <v>83.5</v>
      </c>
      <c r="E528" s="3">
        <v>7.0</v>
      </c>
      <c r="F528" s="3">
        <v>20.12</v>
      </c>
      <c r="G528" s="3">
        <v>53.23</v>
      </c>
      <c r="H528" s="3">
        <v>0.0</v>
      </c>
      <c r="I528" s="3">
        <v>13.01</v>
      </c>
      <c r="J528" s="3">
        <v>0.0</v>
      </c>
      <c r="K528" s="4">
        <f t="shared" si="1"/>
        <v>3238.2473</v>
      </c>
      <c r="L528" s="4">
        <f t="shared" si="2"/>
        <v>2.153093743</v>
      </c>
    </row>
    <row r="529">
      <c r="A529" s="3" t="s">
        <v>78</v>
      </c>
      <c r="B529" s="3">
        <v>3.7</v>
      </c>
      <c r="C529" s="3">
        <v>7.53</v>
      </c>
      <c r="D529" s="3">
        <v>87.1</v>
      </c>
      <c r="E529" s="3">
        <v>7.2</v>
      </c>
      <c r="F529" s="3">
        <v>23.34</v>
      </c>
      <c r="G529" s="3">
        <v>53.67</v>
      </c>
      <c r="H529" s="3">
        <v>0.0</v>
      </c>
      <c r="I529" s="3">
        <v>11.5</v>
      </c>
      <c r="J529" s="3">
        <v>0.0</v>
      </c>
      <c r="K529" s="4">
        <f t="shared" si="1"/>
        <v>3425.2245</v>
      </c>
      <c r="L529" s="4">
        <f t="shared" si="2"/>
        <v>2.21486504</v>
      </c>
    </row>
    <row r="530">
      <c r="A530" s="3" t="s">
        <v>78</v>
      </c>
      <c r="B530" s="3">
        <v>3.7</v>
      </c>
      <c r="C530" s="3">
        <v>8.07</v>
      </c>
      <c r="D530" s="3">
        <v>90.7</v>
      </c>
      <c r="E530" s="3">
        <v>4.8</v>
      </c>
      <c r="F530" s="3">
        <v>25.63</v>
      </c>
      <c r="G530" s="3">
        <v>54.09</v>
      </c>
      <c r="H530" s="3">
        <v>0.0</v>
      </c>
      <c r="I530" s="3">
        <v>10.34</v>
      </c>
      <c r="J530" s="3">
        <v>0.0</v>
      </c>
      <c r="K530" s="4">
        <f t="shared" si="1"/>
        <v>3582.625</v>
      </c>
      <c r="L530" s="4">
        <f t="shared" si="2"/>
        <v>2.296218555</v>
      </c>
    </row>
    <row r="531">
      <c r="A531" s="3" t="s">
        <v>78</v>
      </c>
      <c r="B531" s="3">
        <v>3.7</v>
      </c>
      <c r="C531" s="3">
        <v>8.62</v>
      </c>
      <c r="D531" s="3">
        <v>93.1</v>
      </c>
      <c r="E531" s="3">
        <v>1.4</v>
      </c>
      <c r="F531" s="3">
        <v>27.36</v>
      </c>
      <c r="G531" s="3">
        <v>54.75</v>
      </c>
      <c r="H531" s="3">
        <v>0.0</v>
      </c>
      <c r="I531" s="3">
        <v>9.41</v>
      </c>
      <c r="J531" s="3">
        <v>0.0</v>
      </c>
      <c r="K531" s="4">
        <f t="shared" si="1"/>
        <v>3746.1321</v>
      </c>
      <c r="L531" s="4">
        <f t="shared" si="2"/>
        <v>2.31374916</v>
      </c>
    </row>
    <row r="532">
      <c r="A532" s="3" t="s">
        <v>78</v>
      </c>
      <c r="B532" s="3">
        <v>3.7</v>
      </c>
      <c r="C532" s="3">
        <v>9.14</v>
      </c>
      <c r="D532" s="3">
        <v>95.9</v>
      </c>
      <c r="E532" s="3">
        <v>2.1</v>
      </c>
      <c r="F532" s="3">
        <v>29.31</v>
      </c>
      <c r="G532" s="3">
        <v>55.29</v>
      </c>
      <c r="H532" s="3">
        <v>0.0</v>
      </c>
      <c r="I532" s="3">
        <v>8.09</v>
      </c>
      <c r="J532" s="3">
        <v>0.0</v>
      </c>
      <c r="K532" s="4">
        <f t="shared" si="1"/>
        <v>3916.0602</v>
      </c>
      <c r="L532" s="4">
        <f t="shared" si="2"/>
        <v>2.348485348</v>
      </c>
    </row>
    <row r="533">
      <c r="A533" s="3" t="s">
        <v>78</v>
      </c>
      <c r="B533" s="3">
        <v>3.7</v>
      </c>
      <c r="C533" s="3">
        <v>9.69</v>
      </c>
      <c r="D533" s="3">
        <v>98.4</v>
      </c>
      <c r="E533" s="3">
        <v>5.2</v>
      </c>
      <c r="F533" s="3">
        <v>31.5</v>
      </c>
      <c r="G533" s="3">
        <v>55.46</v>
      </c>
      <c r="H533" s="3">
        <v>0.0</v>
      </c>
      <c r="I533" s="3">
        <v>6.86</v>
      </c>
      <c r="J533" s="3">
        <v>0.0</v>
      </c>
      <c r="K533" s="4">
        <f t="shared" si="1"/>
        <v>4068.0616</v>
      </c>
      <c r="L533" s="4">
        <f t="shared" si="2"/>
        <v>2.38014095</v>
      </c>
    </row>
    <row r="534">
      <c r="A534" s="3" t="s">
        <v>78</v>
      </c>
      <c r="B534" s="3">
        <v>3.7</v>
      </c>
      <c r="C534" s="3">
        <v>10.23</v>
      </c>
      <c r="D534" s="3">
        <v>101.0</v>
      </c>
      <c r="E534" s="3">
        <v>8.2</v>
      </c>
      <c r="F534" s="3">
        <v>33.45</v>
      </c>
      <c r="G534" s="3">
        <v>55.35</v>
      </c>
      <c r="H534" s="3">
        <v>0.0</v>
      </c>
      <c r="I534" s="3">
        <v>5.8</v>
      </c>
      <c r="J534" s="3">
        <v>0.0</v>
      </c>
      <c r="K534" s="4">
        <f t="shared" si="1"/>
        <v>4182.525</v>
      </c>
      <c r="L534" s="4">
        <f t="shared" si="2"/>
        <v>2.438957328</v>
      </c>
    </row>
    <row r="535">
      <c r="A535" s="3" t="s">
        <v>78</v>
      </c>
      <c r="B535" s="3">
        <v>3.7</v>
      </c>
      <c r="C535" s="3">
        <v>10.76</v>
      </c>
      <c r="D535" s="3">
        <v>103.0</v>
      </c>
      <c r="E535" s="3">
        <v>9.4</v>
      </c>
      <c r="F535" s="3">
        <v>35.18</v>
      </c>
      <c r="G535" s="3">
        <v>54.98</v>
      </c>
      <c r="H535" s="3">
        <v>0.0</v>
      </c>
      <c r="I535" s="3">
        <v>4.92</v>
      </c>
      <c r="J535" s="3">
        <v>0.0</v>
      </c>
      <c r="K535" s="4">
        <f t="shared" si="1"/>
        <v>4260.4328</v>
      </c>
      <c r="L535" s="4">
        <f t="shared" si="2"/>
        <v>2.4901226</v>
      </c>
    </row>
    <row r="536">
      <c r="A536" s="3" t="s">
        <v>78</v>
      </c>
      <c r="B536" s="3">
        <v>3.7</v>
      </c>
      <c r="C536" s="3">
        <v>11.3</v>
      </c>
      <c r="D536" s="3">
        <v>104.0</v>
      </c>
      <c r="E536" s="3">
        <v>9.4</v>
      </c>
      <c r="F536" s="3">
        <v>36.44</v>
      </c>
      <c r="G536" s="3">
        <v>54.45</v>
      </c>
      <c r="H536" s="3">
        <v>0.0</v>
      </c>
      <c r="I536" s="3">
        <v>4.17</v>
      </c>
      <c r="J536" s="3">
        <v>0.0</v>
      </c>
      <c r="K536" s="4">
        <f t="shared" si="1"/>
        <v>4292.6761</v>
      </c>
      <c r="L536" s="4">
        <f t="shared" si="2"/>
        <v>2.519640371</v>
      </c>
    </row>
    <row r="537">
      <c r="A537" s="3" t="s">
        <v>78</v>
      </c>
      <c r="B537" s="3">
        <v>3.7</v>
      </c>
      <c r="C537" s="3">
        <v>11.84</v>
      </c>
      <c r="D537" s="3">
        <v>105.0</v>
      </c>
      <c r="E537" s="3">
        <v>8.9</v>
      </c>
      <c r="F537" s="3">
        <v>37.01</v>
      </c>
      <c r="G537" s="3">
        <v>53.82</v>
      </c>
      <c r="H537" s="3">
        <v>0.0</v>
      </c>
      <c r="I537" s="3">
        <v>3.57</v>
      </c>
      <c r="J537" s="3">
        <v>0.0</v>
      </c>
      <c r="K537" s="4">
        <f t="shared" si="1"/>
        <v>4266.3325</v>
      </c>
      <c r="L537" s="4">
        <f t="shared" si="2"/>
        <v>2.584186769</v>
      </c>
    </row>
    <row r="538">
      <c r="A538" s="3" t="s">
        <v>78</v>
      </c>
      <c r="B538" s="3">
        <v>3.7</v>
      </c>
      <c r="C538" s="3">
        <v>12.38</v>
      </c>
      <c r="D538" s="3">
        <v>105.0</v>
      </c>
      <c r="E538" s="3">
        <v>8.4</v>
      </c>
      <c r="F538" s="3">
        <v>37.01</v>
      </c>
      <c r="G538" s="3">
        <v>53.2</v>
      </c>
      <c r="H538" s="3">
        <v>0.0</v>
      </c>
      <c r="I538" s="3">
        <v>3.12</v>
      </c>
      <c r="J538" s="3">
        <v>0.0</v>
      </c>
      <c r="K538" s="4">
        <f t="shared" si="1"/>
        <v>4199.9801</v>
      </c>
      <c r="L538" s="4">
        <f t="shared" si="2"/>
        <v>2.625012438</v>
      </c>
    </row>
    <row r="539">
      <c r="A539" s="3" t="s">
        <v>78</v>
      </c>
      <c r="B539" s="3">
        <v>3.7</v>
      </c>
      <c r="C539" s="3">
        <v>12.91</v>
      </c>
      <c r="D539" s="3">
        <v>105.0</v>
      </c>
      <c r="E539" s="3">
        <v>9.0</v>
      </c>
      <c r="F539" s="3">
        <v>36.33</v>
      </c>
      <c r="G539" s="3">
        <v>52.54</v>
      </c>
      <c r="H539" s="3">
        <v>0.0</v>
      </c>
      <c r="I539" s="3">
        <v>2.63</v>
      </c>
      <c r="J539" s="3">
        <v>0.0</v>
      </c>
      <c r="K539" s="4">
        <f t="shared" si="1"/>
        <v>4080.3205</v>
      </c>
      <c r="L539" s="4">
        <f t="shared" si="2"/>
        <v>2.70199363</v>
      </c>
    </row>
    <row r="540">
      <c r="A540" s="3" t="s">
        <v>78</v>
      </c>
      <c r="B540" s="3">
        <v>3.7</v>
      </c>
      <c r="C540" s="3">
        <v>13.48</v>
      </c>
      <c r="D540" s="3">
        <v>106.0</v>
      </c>
      <c r="E540" s="3">
        <v>8.4</v>
      </c>
      <c r="F540" s="3">
        <v>35.29</v>
      </c>
      <c r="G540" s="3">
        <v>51.7</v>
      </c>
      <c r="H540" s="3">
        <v>0.0</v>
      </c>
      <c r="I540" s="3">
        <v>2.23</v>
      </c>
      <c r="J540" s="3">
        <v>0.0</v>
      </c>
      <c r="K540" s="4">
        <f t="shared" si="1"/>
        <v>3918.2741</v>
      </c>
      <c r="L540" s="4">
        <f t="shared" si="2"/>
        <v>2.867589074</v>
      </c>
    </row>
    <row r="541">
      <c r="A541" s="3" t="s">
        <v>78</v>
      </c>
      <c r="B541" s="3">
        <v>3.7</v>
      </c>
      <c r="C541" s="3">
        <v>14.01</v>
      </c>
      <c r="D541" s="3">
        <v>108.0</v>
      </c>
      <c r="E541" s="3">
        <v>7.7</v>
      </c>
      <c r="F541" s="3">
        <v>34.03</v>
      </c>
      <c r="G541" s="3">
        <v>50.9</v>
      </c>
      <c r="H541" s="3">
        <v>0.0</v>
      </c>
      <c r="I541" s="3">
        <v>1.96</v>
      </c>
      <c r="J541" s="3">
        <v>0.0</v>
      </c>
      <c r="K541" s="4">
        <f t="shared" si="1"/>
        <v>3748.8509</v>
      </c>
      <c r="L541" s="4">
        <f t="shared" si="2"/>
        <v>3.111353402</v>
      </c>
    </row>
    <row r="542">
      <c r="A542" s="3" t="s">
        <v>78</v>
      </c>
      <c r="B542" s="3">
        <v>3.7</v>
      </c>
      <c r="C542" s="3">
        <v>14.54</v>
      </c>
      <c r="D542" s="3">
        <v>107.0</v>
      </c>
      <c r="E542" s="3">
        <v>9.2</v>
      </c>
      <c r="F542" s="3">
        <v>32.65</v>
      </c>
      <c r="G542" s="3">
        <v>50.18</v>
      </c>
      <c r="H542" s="3">
        <v>0.0</v>
      </c>
      <c r="I542" s="3">
        <v>1.79</v>
      </c>
      <c r="J542" s="3">
        <v>0.0</v>
      </c>
      <c r="K542" s="4">
        <f t="shared" si="1"/>
        <v>3584.0549</v>
      </c>
      <c r="L542" s="4">
        <f t="shared" si="2"/>
        <v>3.194426514</v>
      </c>
    </row>
    <row r="543">
      <c r="A543" s="3" t="s">
        <v>79</v>
      </c>
      <c r="B543" s="3">
        <v>20.8</v>
      </c>
      <c r="C543" s="3">
        <v>1.5</v>
      </c>
      <c r="D543" s="3">
        <v>164.0</v>
      </c>
      <c r="E543" s="3">
        <v>28.2</v>
      </c>
      <c r="F543" s="3">
        <v>3.86</v>
      </c>
      <c r="G543" s="3">
        <v>179.05</v>
      </c>
      <c r="H543" s="3">
        <v>0.0</v>
      </c>
      <c r="I543" s="3">
        <v>1392.39</v>
      </c>
      <c r="J543" s="3">
        <v>0.0</v>
      </c>
      <c r="K543" s="4">
        <f t="shared" si="1"/>
        <v>32073.8021</v>
      </c>
      <c r="L543" s="4">
        <f t="shared" si="2"/>
        <v>0.8385660021</v>
      </c>
    </row>
    <row r="544">
      <c r="A544" s="3" t="s">
        <v>79</v>
      </c>
      <c r="B544" s="3">
        <v>20.8</v>
      </c>
      <c r="C544" s="3">
        <v>2.52</v>
      </c>
      <c r="D544" s="3">
        <v>194.0</v>
      </c>
      <c r="E544" s="3">
        <v>32.0</v>
      </c>
      <c r="F544" s="3">
        <v>5.64</v>
      </c>
      <c r="G544" s="3">
        <v>226.49</v>
      </c>
      <c r="H544" s="3">
        <v>0.0</v>
      </c>
      <c r="I544" s="3">
        <v>684.62</v>
      </c>
      <c r="J544" s="3">
        <v>0.0</v>
      </c>
      <c r="K544" s="4">
        <f t="shared" si="1"/>
        <v>51329.5297</v>
      </c>
      <c r="L544" s="4">
        <f t="shared" si="2"/>
        <v>0.7332231606</v>
      </c>
    </row>
    <row r="545">
      <c r="A545" s="3" t="s">
        <v>79</v>
      </c>
      <c r="B545" s="3">
        <v>20.8</v>
      </c>
      <c r="C545" s="3">
        <v>3.46</v>
      </c>
      <c r="D545" s="3">
        <v>175.0</v>
      </c>
      <c r="E545" s="3">
        <v>25.2</v>
      </c>
      <c r="F545" s="3">
        <v>6.85</v>
      </c>
      <c r="G545" s="3">
        <v>215.85</v>
      </c>
      <c r="H545" s="3">
        <v>0.0</v>
      </c>
      <c r="I545" s="3">
        <v>390.61</v>
      </c>
      <c r="J545" s="3">
        <v>0.0</v>
      </c>
      <c r="K545" s="4">
        <f t="shared" si="1"/>
        <v>46638.145</v>
      </c>
      <c r="L545" s="4">
        <f t="shared" si="2"/>
        <v>0.6566513312</v>
      </c>
    </row>
    <row r="546">
      <c r="A546" s="3" t="s">
        <v>79</v>
      </c>
      <c r="B546" s="3">
        <v>20.8</v>
      </c>
      <c r="C546" s="3">
        <v>4.32</v>
      </c>
      <c r="D546" s="3">
        <v>185.0</v>
      </c>
      <c r="E546" s="3">
        <v>31.5</v>
      </c>
      <c r="F546" s="3">
        <v>7.4</v>
      </c>
      <c r="G546" s="3">
        <v>220.68</v>
      </c>
      <c r="H546" s="3">
        <v>0.0</v>
      </c>
      <c r="I546" s="3">
        <v>299.95</v>
      </c>
      <c r="J546" s="3">
        <v>0.0</v>
      </c>
      <c r="K546" s="4">
        <f t="shared" si="1"/>
        <v>48754.4224</v>
      </c>
      <c r="L546" s="4">
        <f t="shared" si="2"/>
        <v>0.7019876006</v>
      </c>
    </row>
    <row r="547">
      <c r="A547" s="3" t="s">
        <v>79</v>
      </c>
      <c r="B547" s="3">
        <v>20.8</v>
      </c>
      <c r="C547" s="3">
        <v>5.43</v>
      </c>
      <c r="D547" s="3">
        <v>175.0</v>
      </c>
      <c r="E547" s="3">
        <v>27.9</v>
      </c>
      <c r="F547" s="3">
        <v>6.0</v>
      </c>
      <c r="G547" s="3">
        <v>221.66</v>
      </c>
      <c r="H547" s="3">
        <v>0.0</v>
      </c>
      <c r="I547" s="3">
        <v>148.1</v>
      </c>
      <c r="J547" s="3">
        <v>0.0</v>
      </c>
      <c r="K547" s="4">
        <f t="shared" si="1"/>
        <v>49169.1556</v>
      </c>
      <c r="L547" s="4">
        <f t="shared" si="2"/>
        <v>0.6228498258</v>
      </c>
    </row>
    <row r="548">
      <c r="A548" s="3" t="s">
        <v>79</v>
      </c>
      <c r="B548" s="3">
        <v>20.8</v>
      </c>
      <c r="C548" s="3">
        <v>6.38</v>
      </c>
      <c r="D548" s="3">
        <v>167.0</v>
      </c>
      <c r="E548" s="3">
        <v>27.2</v>
      </c>
      <c r="F548" s="3">
        <v>4.74</v>
      </c>
      <c r="G548" s="3">
        <v>211.57</v>
      </c>
      <c r="H548" s="3">
        <v>0.0</v>
      </c>
      <c r="I548" s="3">
        <v>68.44</v>
      </c>
      <c r="J548" s="3">
        <v>0.0</v>
      </c>
      <c r="K548" s="4">
        <f t="shared" si="1"/>
        <v>44784.3325</v>
      </c>
      <c r="L548" s="4">
        <f t="shared" si="2"/>
        <v>0.6227401067</v>
      </c>
    </row>
    <row r="549">
      <c r="A549" s="3" t="s">
        <v>79</v>
      </c>
      <c r="B549" s="3">
        <v>20.8</v>
      </c>
      <c r="C549" s="3">
        <v>7.57</v>
      </c>
      <c r="D549" s="3">
        <v>176.0</v>
      </c>
      <c r="E549" s="3">
        <v>7.18</v>
      </c>
      <c r="F549" s="3">
        <v>7.37</v>
      </c>
      <c r="G549" s="3">
        <v>198.06</v>
      </c>
      <c r="H549" s="3">
        <v>0.0</v>
      </c>
      <c r="I549" s="3">
        <v>40.47</v>
      </c>
      <c r="J549" s="3">
        <v>0.0</v>
      </c>
      <c r="K549" s="4">
        <f t="shared" si="1"/>
        <v>39282.0805</v>
      </c>
      <c r="L549" s="4">
        <f t="shared" si="2"/>
        <v>0.7885529383</v>
      </c>
    </row>
    <row r="550">
      <c r="A550" s="3" t="s">
        <v>79</v>
      </c>
      <c r="B550" s="3">
        <v>20.8</v>
      </c>
      <c r="C550" s="3">
        <v>10.6</v>
      </c>
      <c r="D550" s="3">
        <v>185.0</v>
      </c>
      <c r="E550" s="3">
        <v>4.29</v>
      </c>
      <c r="F550" s="3">
        <v>21.99</v>
      </c>
      <c r="G550" s="3">
        <v>170.85</v>
      </c>
      <c r="H550" s="3">
        <v>0.0</v>
      </c>
      <c r="I550" s="3">
        <v>14.69</v>
      </c>
      <c r="J550" s="3">
        <v>0.0</v>
      </c>
      <c r="K550" s="4">
        <f t="shared" si="1"/>
        <v>29673.2826</v>
      </c>
      <c r="L550" s="4">
        <f t="shared" si="2"/>
        <v>1.153394468</v>
      </c>
    </row>
    <row r="551">
      <c r="A551" s="3" t="s">
        <v>79</v>
      </c>
      <c r="B551" s="3">
        <v>20.8</v>
      </c>
      <c r="C551" s="3">
        <v>13.57</v>
      </c>
      <c r="D551" s="3">
        <v>183.0</v>
      </c>
      <c r="E551" s="3">
        <v>4.22</v>
      </c>
      <c r="F551" s="3">
        <v>32.44</v>
      </c>
      <c r="G551" s="3">
        <v>151.82</v>
      </c>
      <c r="H551" s="3">
        <v>0.0</v>
      </c>
      <c r="I551" s="3">
        <v>5.42</v>
      </c>
      <c r="J551" s="3">
        <v>0.0</v>
      </c>
      <c r="K551" s="4">
        <f t="shared" si="1"/>
        <v>24101.666</v>
      </c>
      <c r="L551" s="4">
        <f t="shared" si="2"/>
        <v>1.389489009</v>
      </c>
    </row>
    <row r="552">
      <c r="A552" s="3" t="s">
        <v>79</v>
      </c>
      <c r="B552" s="3">
        <v>20.8</v>
      </c>
      <c r="C552" s="3">
        <v>16.64</v>
      </c>
      <c r="D552" s="3">
        <v>172.0</v>
      </c>
      <c r="E552" s="3">
        <v>4.33</v>
      </c>
      <c r="F552" s="3">
        <v>38.81</v>
      </c>
      <c r="G552" s="3">
        <v>136.17</v>
      </c>
      <c r="H552" s="3">
        <v>0.0</v>
      </c>
      <c r="I552" s="3">
        <v>3.34</v>
      </c>
      <c r="J552" s="3">
        <v>0.0</v>
      </c>
      <c r="K552" s="4">
        <f t="shared" si="1"/>
        <v>20048.485</v>
      </c>
      <c r="L552" s="4">
        <f t="shared" si="2"/>
        <v>1.475622722</v>
      </c>
    </row>
    <row r="553">
      <c r="A553" s="3" t="s">
        <v>79</v>
      </c>
      <c r="B553" s="3">
        <v>20.8</v>
      </c>
      <c r="C553" s="3">
        <v>19.71</v>
      </c>
      <c r="D553" s="3">
        <v>161.0</v>
      </c>
      <c r="E553" s="3">
        <v>4.24</v>
      </c>
      <c r="F553" s="3">
        <v>42.5</v>
      </c>
      <c r="G553" s="3">
        <v>127.01</v>
      </c>
      <c r="H553" s="3">
        <v>0.0</v>
      </c>
      <c r="I553" s="3">
        <v>3.06</v>
      </c>
      <c r="J553" s="3">
        <v>0.0</v>
      </c>
      <c r="K553" s="4">
        <f t="shared" si="1"/>
        <v>17937.7901</v>
      </c>
      <c r="L553" s="4">
        <f t="shared" si="2"/>
        <v>1.4450498</v>
      </c>
    </row>
    <row r="554">
      <c r="A554" s="3" t="s">
        <v>79</v>
      </c>
      <c r="B554" s="3">
        <v>20.8</v>
      </c>
      <c r="C554" s="3">
        <v>22.68</v>
      </c>
      <c r="D554" s="3">
        <v>156.0</v>
      </c>
      <c r="E554" s="3">
        <v>5.08</v>
      </c>
      <c r="F554" s="3">
        <v>49.56</v>
      </c>
      <c r="G554" s="3">
        <v>119.49</v>
      </c>
      <c r="H554" s="3">
        <v>0.0</v>
      </c>
      <c r="I554" s="3">
        <v>1.47</v>
      </c>
      <c r="J554" s="3">
        <v>0.0</v>
      </c>
      <c r="K554" s="4">
        <f t="shared" si="1"/>
        <v>16734.0537</v>
      </c>
      <c r="L554" s="4">
        <f t="shared" si="2"/>
        <v>1.454280023</v>
      </c>
    </row>
    <row r="555">
      <c r="A555" s="3" t="s">
        <v>79</v>
      </c>
      <c r="B555" s="3">
        <v>20.8</v>
      </c>
      <c r="C555" s="3">
        <v>25.75</v>
      </c>
      <c r="D555" s="3">
        <v>159.0</v>
      </c>
      <c r="E555" s="3">
        <v>6.49</v>
      </c>
      <c r="F555" s="3">
        <v>54.94</v>
      </c>
      <c r="G555" s="3">
        <v>111.5</v>
      </c>
      <c r="H555" s="3">
        <v>0.0</v>
      </c>
      <c r="I555" s="3">
        <v>0.76</v>
      </c>
      <c r="J555" s="3">
        <v>0.0</v>
      </c>
      <c r="K555" s="4">
        <f t="shared" si="1"/>
        <v>15450.6536</v>
      </c>
      <c r="L555" s="4">
        <f t="shared" si="2"/>
        <v>1.63624146</v>
      </c>
    </row>
    <row r="556">
      <c r="A556" s="3" t="s">
        <v>79</v>
      </c>
      <c r="B556" s="3">
        <v>20.8</v>
      </c>
      <c r="C556" s="3">
        <v>28.72</v>
      </c>
      <c r="D556" s="3">
        <v>173.0</v>
      </c>
      <c r="E556" s="3">
        <v>6.97</v>
      </c>
      <c r="F556" s="3">
        <v>55.53</v>
      </c>
      <c r="G556" s="3">
        <v>105.68</v>
      </c>
      <c r="H556" s="3">
        <v>0.0</v>
      </c>
      <c r="I556" s="3">
        <v>0.64</v>
      </c>
      <c r="J556" s="3">
        <v>0.0</v>
      </c>
      <c r="K556" s="4">
        <f t="shared" si="1"/>
        <v>14251.8433</v>
      </c>
      <c r="L556" s="4">
        <f t="shared" si="2"/>
        <v>2.100009056</v>
      </c>
    </row>
    <row r="557">
      <c r="A557" s="3" t="s">
        <v>79</v>
      </c>
      <c r="B557" s="3">
        <v>20.8</v>
      </c>
      <c r="C557" s="3">
        <v>31.79</v>
      </c>
      <c r="D557" s="3">
        <v>177.0</v>
      </c>
      <c r="E557" s="3">
        <v>6.57</v>
      </c>
      <c r="F557" s="3">
        <v>60.71</v>
      </c>
      <c r="G557" s="3">
        <v>100.59</v>
      </c>
      <c r="H557" s="3">
        <v>0.0</v>
      </c>
      <c r="I557" s="3">
        <v>0.4</v>
      </c>
      <c r="J557" s="3">
        <v>0.0</v>
      </c>
      <c r="K557" s="4">
        <f t="shared" si="1"/>
        <v>13804.0522</v>
      </c>
      <c r="L557" s="4">
        <f t="shared" si="2"/>
        <v>2.269550966</v>
      </c>
    </row>
    <row r="558">
      <c r="A558" s="3" t="s">
        <v>79</v>
      </c>
      <c r="B558" s="3">
        <v>20.8</v>
      </c>
      <c r="C558" s="3">
        <v>34.77</v>
      </c>
      <c r="D558" s="3">
        <v>179.0</v>
      </c>
      <c r="E558" s="3">
        <v>4.47</v>
      </c>
      <c r="F558" s="3">
        <v>65.78</v>
      </c>
      <c r="G558" s="3">
        <v>96.09</v>
      </c>
      <c r="H558" s="3">
        <v>0.0</v>
      </c>
      <c r="I558" s="3">
        <v>0.25</v>
      </c>
      <c r="J558" s="3">
        <v>0.0</v>
      </c>
      <c r="K558" s="4">
        <f t="shared" si="1"/>
        <v>13560.2965</v>
      </c>
      <c r="L558" s="4">
        <f t="shared" si="2"/>
        <v>2.362853939</v>
      </c>
    </row>
    <row r="559">
      <c r="A559" s="3" t="s">
        <v>79</v>
      </c>
      <c r="B559" s="3">
        <v>20.8</v>
      </c>
      <c r="C559" s="3">
        <v>37.84</v>
      </c>
      <c r="D559" s="3">
        <v>181.0</v>
      </c>
      <c r="E559" s="3">
        <v>4.26</v>
      </c>
      <c r="F559" s="3">
        <v>67.48</v>
      </c>
      <c r="G559" s="3">
        <v>92.02</v>
      </c>
      <c r="H559" s="3">
        <v>0.0</v>
      </c>
      <c r="I559" s="3">
        <v>0.16</v>
      </c>
      <c r="J559" s="3">
        <v>0.0</v>
      </c>
      <c r="K559" s="4">
        <f t="shared" si="1"/>
        <v>13021.2308</v>
      </c>
      <c r="L559" s="4">
        <f t="shared" si="2"/>
        <v>2.515967999</v>
      </c>
    </row>
    <row r="560">
      <c r="A560" s="3" t="s">
        <v>79</v>
      </c>
      <c r="B560" s="3">
        <v>20.8</v>
      </c>
      <c r="C560" s="3">
        <v>40.81</v>
      </c>
      <c r="D560" s="3">
        <v>182.0</v>
      </c>
      <c r="E560" s="3">
        <v>4.26</v>
      </c>
      <c r="F560" s="3">
        <v>68.67</v>
      </c>
      <c r="G560" s="3">
        <v>88.49</v>
      </c>
      <c r="H560" s="3">
        <v>0.0</v>
      </c>
      <c r="I560" s="3">
        <v>0.1</v>
      </c>
      <c r="J560" s="3">
        <v>0.0</v>
      </c>
      <c r="K560" s="4">
        <f t="shared" si="1"/>
        <v>12546.049</v>
      </c>
      <c r="L560" s="4">
        <f t="shared" si="2"/>
        <v>2.640193737</v>
      </c>
    </row>
    <row r="561">
      <c r="A561" s="3" t="s">
        <v>79</v>
      </c>
      <c r="B561" s="3">
        <v>20.8</v>
      </c>
      <c r="C561" s="3">
        <v>43.88</v>
      </c>
      <c r="D561" s="3">
        <v>182.0</v>
      </c>
      <c r="E561" s="3">
        <v>4.83</v>
      </c>
      <c r="F561" s="3">
        <v>68.27</v>
      </c>
      <c r="G561" s="3">
        <v>85.15</v>
      </c>
      <c r="H561" s="3">
        <v>0.0</v>
      </c>
      <c r="I561" s="3">
        <v>0.06</v>
      </c>
      <c r="J561" s="3">
        <v>0.0</v>
      </c>
      <c r="K561" s="4">
        <f t="shared" si="1"/>
        <v>11911.3154</v>
      </c>
      <c r="L561" s="4">
        <f t="shared" si="2"/>
        <v>2.780885141</v>
      </c>
    </row>
    <row r="562">
      <c r="A562" s="3" t="s">
        <v>79</v>
      </c>
      <c r="B562" s="3">
        <v>20.8</v>
      </c>
      <c r="C562" s="3">
        <v>46.85</v>
      </c>
      <c r="D562" s="3">
        <v>180.0</v>
      </c>
      <c r="E562" s="3">
        <v>5.5</v>
      </c>
      <c r="F562" s="3">
        <v>67.18</v>
      </c>
      <c r="G562" s="3">
        <v>82.29</v>
      </c>
      <c r="H562" s="3">
        <v>0.0</v>
      </c>
      <c r="I562" s="3">
        <v>0.04</v>
      </c>
      <c r="J562" s="3">
        <v>0.0</v>
      </c>
      <c r="K562" s="4">
        <f t="shared" si="1"/>
        <v>11284.7965</v>
      </c>
      <c r="L562" s="4">
        <f t="shared" si="2"/>
        <v>2.871119563</v>
      </c>
    </row>
    <row r="563">
      <c r="A563" s="3" t="s">
        <v>79</v>
      </c>
      <c r="B563" s="3">
        <v>20.8</v>
      </c>
      <c r="C563" s="3">
        <v>49.92</v>
      </c>
      <c r="D563" s="3">
        <v>177.0</v>
      </c>
      <c r="E563" s="3">
        <v>8.5</v>
      </c>
      <c r="F563" s="3">
        <v>65.98</v>
      </c>
      <c r="G563" s="3">
        <v>79.64</v>
      </c>
      <c r="H563" s="3">
        <v>0.0</v>
      </c>
      <c r="I563" s="3">
        <v>0.03</v>
      </c>
      <c r="J563" s="3">
        <v>0.0</v>
      </c>
      <c r="K563" s="4">
        <f t="shared" si="1"/>
        <v>10695.89</v>
      </c>
      <c r="L563" s="4">
        <f t="shared" si="2"/>
        <v>2.929069016</v>
      </c>
    </row>
    <row r="564">
      <c r="A564" s="3" t="s">
        <v>79</v>
      </c>
      <c r="B564" s="3">
        <v>20.8</v>
      </c>
      <c r="C564" s="3">
        <v>52.99</v>
      </c>
      <c r="D564" s="3">
        <v>175.0</v>
      </c>
      <c r="E564" s="3">
        <v>11.0</v>
      </c>
      <c r="F564" s="3">
        <v>65.09</v>
      </c>
      <c r="G564" s="3">
        <v>77.21</v>
      </c>
      <c r="H564" s="3">
        <v>0.0</v>
      </c>
      <c r="I564" s="3">
        <v>0.02</v>
      </c>
      <c r="J564" s="3">
        <v>0.0</v>
      </c>
      <c r="K564" s="4">
        <f t="shared" si="1"/>
        <v>10198.0922</v>
      </c>
      <c r="L564" s="4">
        <f t="shared" si="2"/>
        <v>3.003012662</v>
      </c>
    </row>
    <row r="565">
      <c r="A565" s="3" t="s">
        <v>79</v>
      </c>
      <c r="B565" s="3">
        <v>20.8</v>
      </c>
      <c r="C565" s="3">
        <v>55.96</v>
      </c>
      <c r="D565" s="3">
        <v>172.0</v>
      </c>
      <c r="E565" s="3">
        <v>11.6</v>
      </c>
      <c r="F565" s="3">
        <v>64.29</v>
      </c>
      <c r="G565" s="3">
        <v>75.06</v>
      </c>
      <c r="H565" s="3">
        <v>0.0</v>
      </c>
      <c r="I565" s="3">
        <v>0.01</v>
      </c>
      <c r="J565" s="3">
        <v>0.0</v>
      </c>
      <c r="K565" s="4">
        <f t="shared" si="1"/>
        <v>9767.2077</v>
      </c>
      <c r="L565" s="4">
        <f t="shared" si="2"/>
        <v>3.028910709</v>
      </c>
    </row>
    <row r="566">
      <c r="A566" s="3" t="s">
        <v>79</v>
      </c>
      <c r="B566" s="3">
        <v>20.8</v>
      </c>
      <c r="C566" s="3">
        <v>59.03</v>
      </c>
      <c r="D566" s="3">
        <v>168.0</v>
      </c>
      <c r="E566" s="3">
        <v>12.6</v>
      </c>
      <c r="F566" s="3">
        <v>62.6</v>
      </c>
      <c r="G566" s="3">
        <v>72.97</v>
      </c>
      <c r="H566" s="3">
        <v>0.0</v>
      </c>
      <c r="I566" s="3">
        <v>0.01</v>
      </c>
      <c r="J566" s="3">
        <v>0.0</v>
      </c>
      <c r="K566" s="4">
        <f t="shared" si="1"/>
        <v>9243.3809</v>
      </c>
      <c r="L566" s="4">
        <f t="shared" si="2"/>
        <v>3.05342821</v>
      </c>
    </row>
    <row r="567">
      <c r="A567" s="3" t="s">
        <v>79</v>
      </c>
      <c r="B567" s="3">
        <v>20.8</v>
      </c>
      <c r="C567" s="3">
        <v>62.0</v>
      </c>
      <c r="D567" s="3">
        <v>158.0</v>
      </c>
      <c r="E567" s="3">
        <v>5.38</v>
      </c>
      <c r="F567" s="3">
        <v>59.81</v>
      </c>
      <c r="G567" s="3">
        <v>71.15</v>
      </c>
      <c r="H567" s="3">
        <v>0.0</v>
      </c>
      <c r="I567" s="3">
        <v>0.0</v>
      </c>
      <c r="J567" s="3">
        <v>0.0</v>
      </c>
      <c r="K567" s="4">
        <f t="shared" si="1"/>
        <v>8639.5586</v>
      </c>
      <c r="L567" s="4">
        <f t="shared" si="2"/>
        <v>2.88949947</v>
      </c>
    </row>
    <row r="568">
      <c r="A568" s="3" t="s">
        <v>79</v>
      </c>
      <c r="B568" s="3">
        <v>20.8</v>
      </c>
      <c r="C568" s="3">
        <v>65.07</v>
      </c>
      <c r="D568" s="3">
        <v>158.0</v>
      </c>
      <c r="E568" s="3">
        <v>6.5</v>
      </c>
      <c r="F568" s="3">
        <v>57.13</v>
      </c>
      <c r="G568" s="3">
        <v>69.42</v>
      </c>
      <c r="H568" s="3">
        <v>0.0</v>
      </c>
      <c r="I568" s="3">
        <v>0.0</v>
      </c>
      <c r="J568" s="3">
        <v>0.0</v>
      </c>
      <c r="K568" s="4">
        <f t="shared" si="1"/>
        <v>8082.9733</v>
      </c>
      <c r="L568" s="4">
        <f t="shared" si="2"/>
        <v>3.088467458</v>
      </c>
    </row>
    <row r="569">
      <c r="A569" s="3" t="s">
        <v>79</v>
      </c>
      <c r="B569" s="3">
        <v>20.8</v>
      </c>
      <c r="C569" s="3">
        <v>68.05</v>
      </c>
      <c r="D569" s="3">
        <v>166.0</v>
      </c>
      <c r="E569" s="3">
        <v>15.5</v>
      </c>
      <c r="F569" s="3">
        <v>55.14</v>
      </c>
      <c r="G569" s="3">
        <v>67.85</v>
      </c>
      <c r="H569" s="3">
        <v>0.0</v>
      </c>
      <c r="I569" s="3">
        <v>0.0</v>
      </c>
      <c r="J569" s="3">
        <v>0.0</v>
      </c>
      <c r="K569" s="4">
        <f t="shared" si="1"/>
        <v>7644.0421</v>
      </c>
      <c r="L569" s="4">
        <f t="shared" si="2"/>
        <v>3.604899036</v>
      </c>
    </row>
    <row r="570">
      <c r="A570" s="3" t="s">
        <v>79</v>
      </c>
      <c r="B570" s="3">
        <v>20.8</v>
      </c>
      <c r="C570" s="3">
        <v>71.12</v>
      </c>
      <c r="D570" s="3">
        <v>165.0</v>
      </c>
      <c r="E570" s="3">
        <v>8.75</v>
      </c>
      <c r="F570" s="3">
        <v>53.24</v>
      </c>
      <c r="G570" s="3">
        <v>66.34</v>
      </c>
      <c r="H570" s="3">
        <v>0.0</v>
      </c>
      <c r="I570" s="3">
        <v>0.0</v>
      </c>
      <c r="J570" s="3">
        <v>0.0</v>
      </c>
      <c r="K570" s="4">
        <f t="shared" si="1"/>
        <v>7235.4932</v>
      </c>
      <c r="L570" s="4">
        <f t="shared" si="2"/>
        <v>3.762701346</v>
      </c>
    </row>
    <row r="571">
      <c r="A571" s="3" t="s">
        <v>80</v>
      </c>
      <c r="B571" s="3">
        <v>2.08</v>
      </c>
      <c r="C571" s="3">
        <v>0.91</v>
      </c>
      <c r="D571" s="3">
        <v>33.1</v>
      </c>
      <c r="E571" s="3">
        <v>3.9</v>
      </c>
      <c r="F571" s="3">
        <v>0.0</v>
      </c>
      <c r="G571" s="3">
        <v>31.52</v>
      </c>
      <c r="H571" s="3">
        <v>0.0</v>
      </c>
      <c r="I571" s="3">
        <v>90.5</v>
      </c>
      <c r="J571" s="3">
        <v>0.0</v>
      </c>
      <c r="K571" s="4">
        <f t="shared" si="1"/>
        <v>993.5104</v>
      </c>
      <c r="L571" s="4">
        <f t="shared" si="2"/>
        <v>1.102766514</v>
      </c>
    </row>
    <row r="572">
      <c r="A572" s="3" t="s">
        <v>80</v>
      </c>
      <c r="B572" s="3">
        <v>2.08</v>
      </c>
      <c r="C572" s="3">
        <v>1.36</v>
      </c>
      <c r="D572" s="3">
        <v>46.7</v>
      </c>
      <c r="E572" s="3">
        <v>2.7</v>
      </c>
      <c r="F572" s="3">
        <v>0.0</v>
      </c>
      <c r="G572" s="3">
        <v>37.5</v>
      </c>
      <c r="H572" s="3">
        <v>0.0</v>
      </c>
      <c r="I572" s="3">
        <v>67.25</v>
      </c>
      <c r="J572" s="3">
        <v>0.0</v>
      </c>
      <c r="K572" s="4">
        <f t="shared" si="1"/>
        <v>1406.25</v>
      </c>
      <c r="L572" s="4">
        <f t="shared" si="2"/>
        <v>1.550855111</v>
      </c>
    </row>
    <row r="573">
      <c r="A573" s="3" t="s">
        <v>80</v>
      </c>
      <c r="B573" s="3">
        <v>2.08</v>
      </c>
      <c r="C573" s="3">
        <v>1.82</v>
      </c>
      <c r="D573" s="3">
        <v>53.9</v>
      </c>
      <c r="E573" s="3">
        <v>4.7</v>
      </c>
      <c r="F573" s="3">
        <v>0.0</v>
      </c>
      <c r="G573" s="3">
        <v>42.04</v>
      </c>
      <c r="H573" s="3">
        <v>0.0</v>
      </c>
      <c r="I573" s="3">
        <v>53.8</v>
      </c>
      <c r="J573" s="3">
        <v>0.0</v>
      </c>
      <c r="K573" s="4">
        <f t="shared" si="1"/>
        <v>1767.3616</v>
      </c>
      <c r="L573" s="4">
        <f t="shared" si="2"/>
        <v>1.643811883</v>
      </c>
    </row>
    <row r="574">
      <c r="A574" s="3" t="s">
        <v>80</v>
      </c>
      <c r="B574" s="3">
        <v>2.08</v>
      </c>
      <c r="C574" s="3">
        <v>2.27</v>
      </c>
      <c r="D574" s="3">
        <v>58.8</v>
      </c>
      <c r="E574" s="3">
        <v>2.5</v>
      </c>
      <c r="F574" s="3">
        <v>2.86</v>
      </c>
      <c r="G574" s="3">
        <v>46.16</v>
      </c>
      <c r="H574" s="3">
        <v>0.0</v>
      </c>
      <c r="I574" s="3">
        <v>41.88</v>
      </c>
      <c r="J574" s="3">
        <v>0.0</v>
      </c>
      <c r="K574" s="4">
        <f t="shared" si="1"/>
        <v>2138.9252</v>
      </c>
      <c r="L574" s="4">
        <f t="shared" si="2"/>
        <v>1.616438013</v>
      </c>
    </row>
    <row r="575">
      <c r="A575" s="3" t="s">
        <v>80</v>
      </c>
      <c r="B575" s="3">
        <v>2.08</v>
      </c>
      <c r="C575" s="3">
        <v>2.72</v>
      </c>
      <c r="D575" s="3">
        <v>65.6</v>
      </c>
      <c r="E575" s="3">
        <v>2.6</v>
      </c>
      <c r="F575" s="3">
        <v>7.4</v>
      </c>
      <c r="G575" s="3">
        <v>48.37</v>
      </c>
      <c r="H575" s="3">
        <v>0.0</v>
      </c>
      <c r="I575" s="3">
        <v>31.96</v>
      </c>
      <c r="J575" s="3">
        <v>0.0</v>
      </c>
      <c r="K575" s="4">
        <f t="shared" si="1"/>
        <v>2394.4169</v>
      </c>
      <c r="L575" s="4">
        <f t="shared" si="2"/>
        <v>1.797247589</v>
      </c>
    </row>
    <row r="576">
      <c r="A576" s="3" t="s">
        <v>80</v>
      </c>
      <c r="B576" s="3">
        <v>2.08</v>
      </c>
      <c r="C576" s="3">
        <v>3.17</v>
      </c>
      <c r="D576" s="3">
        <v>70.8</v>
      </c>
      <c r="E576" s="3">
        <v>2.7</v>
      </c>
      <c r="F576" s="3">
        <v>8.38</v>
      </c>
      <c r="G576" s="3">
        <v>49.78</v>
      </c>
      <c r="H576" s="3">
        <v>0.0</v>
      </c>
      <c r="I576" s="3">
        <v>24.71</v>
      </c>
      <c r="J576" s="3">
        <v>0.0</v>
      </c>
      <c r="K576" s="4">
        <f t="shared" si="1"/>
        <v>2548.2728</v>
      </c>
      <c r="L576" s="4">
        <f t="shared" si="2"/>
        <v>1.967073541</v>
      </c>
    </row>
    <row r="577">
      <c r="A577" s="3" t="s">
        <v>80</v>
      </c>
      <c r="B577" s="3">
        <v>2.08</v>
      </c>
      <c r="C577" s="3">
        <v>3.63</v>
      </c>
      <c r="D577" s="3">
        <v>82.1</v>
      </c>
      <c r="E577" s="3">
        <v>4.9</v>
      </c>
      <c r="F577" s="3">
        <v>8.42</v>
      </c>
      <c r="G577" s="3">
        <v>50.48</v>
      </c>
      <c r="H577" s="3">
        <v>0.0</v>
      </c>
      <c r="I577" s="3">
        <v>18.99</v>
      </c>
      <c r="J577" s="3">
        <v>0.0</v>
      </c>
      <c r="K577" s="4">
        <f t="shared" si="1"/>
        <v>2619.1268</v>
      </c>
      <c r="L577" s="4">
        <f t="shared" si="2"/>
        <v>2.573533286</v>
      </c>
    </row>
    <row r="578">
      <c r="A578" s="3" t="s">
        <v>80</v>
      </c>
      <c r="B578" s="3">
        <v>2.08</v>
      </c>
      <c r="C578" s="3">
        <v>4.08</v>
      </c>
      <c r="D578" s="3">
        <v>84.1</v>
      </c>
      <c r="E578" s="3">
        <v>6.6</v>
      </c>
      <c r="F578" s="3">
        <v>9.19</v>
      </c>
      <c r="G578" s="3">
        <v>50.65</v>
      </c>
      <c r="H578" s="3">
        <v>0.0</v>
      </c>
      <c r="I578" s="3">
        <v>14.68</v>
      </c>
      <c r="J578" s="3">
        <v>0.0</v>
      </c>
      <c r="K578" s="4">
        <f t="shared" si="1"/>
        <v>2649.8786</v>
      </c>
      <c r="L578" s="4">
        <f t="shared" si="2"/>
        <v>2.669107181</v>
      </c>
    </row>
    <row r="579">
      <c r="A579" s="3" t="s">
        <v>80</v>
      </c>
      <c r="B579" s="3">
        <v>2.08</v>
      </c>
      <c r="C579" s="3">
        <v>4.54</v>
      </c>
      <c r="D579" s="3">
        <v>83.4</v>
      </c>
      <c r="E579" s="3">
        <v>6.2</v>
      </c>
      <c r="F579" s="3">
        <v>12.0</v>
      </c>
      <c r="G579" s="3">
        <v>50.39</v>
      </c>
      <c r="H579" s="3">
        <v>0.0</v>
      </c>
      <c r="I579" s="3">
        <v>11.28</v>
      </c>
      <c r="J579" s="3">
        <v>0.0</v>
      </c>
      <c r="K579" s="4">
        <f t="shared" si="1"/>
        <v>2683.1521</v>
      </c>
      <c r="L579" s="4">
        <f t="shared" si="2"/>
        <v>2.592309247</v>
      </c>
    </row>
    <row r="580">
      <c r="A580" s="3" t="s">
        <v>80</v>
      </c>
      <c r="B580" s="3">
        <v>2.08</v>
      </c>
      <c r="C580" s="3">
        <v>4.99</v>
      </c>
      <c r="D580" s="3">
        <v>81.5</v>
      </c>
      <c r="E580" s="3">
        <v>2.7</v>
      </c>
      <c r="F580" s="3">
        <v>12.98</v>
      </c>
      <c r="G580" s="3">
        <v>49.84</v>
      </c>
      <c r="H580" s="3">
        <v>0.0</v>
      </c>
      <c r="I580" s="3">
        <v>8.72</v>
      </c>
      <c r="J580" s="3">
        <v>0.0</v>
      </c>
      <c r="K580" s="4">
        <f t="shared" si="1"/>
        <v>2652.506</v>
      </c>
      <c r="L580" s="4">
        <f t="shared" si="2"/>
        <v>2.504141367</v>
      </c>
    </row>
    <row r="581">
      <c r="A581" s="3" t="s">
        <v>80</v>
      </c>
      <c r="B581" s="3">
        <v>2.08</v>
      </c>
      <c r="C581" s="3">
        <v>5.45</v>
      </c>
      <c r="D581" s="3">
        <v>80.8</v>
      </c>
      <c r="E581" s="3">
        <v>4.0</v>
      </c>
      <c r="F581" s="3">
        <v>13.57</v>
      </c>
      <c r="G581" s="3">
        <v>49.05</v>
      </c>
      <c r="H581" s="3">
        <v>0.0</v>
      </c>
      <c r="I581" s="3">
        <v>6.7</v>
      </c>
      <c r="J581" s="3">
        <v>0.0</v>
      </c>
      <c r="K581" s="4">
        <f t="shared" si="1"/>
        <v>2590.0474</v>
      </c>
      <c r="L581" s="4">
        <f t="shared" si="2"/>
        <v>2.520664294</v>
      </c>
    </row>
    <row r="582">
      <c r="A582" s="3" t="s">
        <v>80</v>
      </c>
      <c r="B582" s="3">
        <v>2.08</v>
      </c>
      <c r="C582" s="3">
        <v>5.9</v>
      </c>
      <c r="D582" s="3">
        <v>82.8</v>
      </c>
      <c r="E582" s="3">
        <v>12.4</v>
      </c>
      <c r="F582" s="3">
        <v>15.44</v>
      </c>
      <c r="G582" s="3">
        <v>48.12</v>
      </c>
      <c r="H582" s="3">
        <v>0.0</v>
      </c>
      <c r="I582" s="3">
        <v>5.18</v>
      </c>
      <c r="J582" s="3">
        <v>0.0</v>
      </c>
      <c r="K582" s="4">
        <f t="shared" si="1"/>
        <v>2553.928</v>
      </c>
      <c r="L582" s="4">
        <f t="shared" si="2"/>
        <v>2.684429632</v>
      </c>
    </row>
    <row r="583">
      <c r="A583" s="3" t="s">
        <v>80</v>
      </c>
      <c r="B583" s="3">
        <v>2.08</v>
      </c>
      <c r="C583" s="3">
        <v>6.36</v>
      </c>
      <c r="D583" s="3">
        <v>88.2</v>
      </c>
      <c r="E583" s="3">
        <v>11.7</v>
      </c>
      <c r="F583" s="3">
        <v>20.16</v>
      </c>
      <c r="G583" s="3">
        <v>47.07</v>
      </c>
      <c r="H583" s="3">
        <v>0.0</v>
      </c>
      <c r="I583" s="3">
        <v>3.98</v>
      </c>
      <c r="J583" s="3">
        <v>0.0</v>
      </c>
      <c r="K583" s="4">
        <f t="shared" si="1"/>
        <v>2622.0105</v>
      </c>
      <c r="L583" s="4">
        <f t="shared" si="2"/>
        <v>2.966898874</v>
      </c>
    </row>
    <row r="584">
      <c r="A584" s="3" t="s">
        <v>80</v>
      </c>
      <c r="B584" s="3">
        <v>2.08</v>
      </c>
      <c r="C584" s="3">
        <v>6.81</v>
      </c>
      <c r="D584" s="3">
        <v>88.5</v>
      </c>
      <c r="E584" s="3">
        <v>8.5</v>
      </c>
      <c r="F584" s="3">
        <v>24.2</v>
      </c>
      <c r="G584" s="3">
        <v>45.98</v>
      </c>
      <c r="H584" s="3">
        <v>0.0</v>
      </c>
      <c r="I584" s="3">
        <v>3.08</v>
      </c>
      <c r="J584" s="3">
        <v>0.0</v>
      </c>
      <c r="K584" s="4">
        <f t="shared" si="1"/>
        <v>2699.8004</v>
      </c>
      <c r="L584" s="4">
        <f t="shared" si="2"/>
        <v>2.901047796</v>
      </c>
    </row>
    <row r="585">
      <c r="A585" s="3" t="s">
        <v>80</v>
      </c>
      <c r="B585" s="3">
        <v>2.08</v>
      </c>
      <c r="C585" s="3">
        <v>7.26</v>
      </c>
      <c r="D585" s="3">
        <v>88.4</v>
      </c>
      <c r="E585" s="3">
        <v>8.9</v>
      </c>
      <c r="F585" s="3">
        <v>27.05</v>
      </c>
      <c r="G585" s="3">
        <v>44.86</v>
      </c>
      <c r="H585" s="3">
        <v>0.0</v>
      </c>
      <c r="I585" s="3">
        <v>2.38</v>
      </c>
      <c r="J585" s="3">
        <v>0.0</v>
      </c>
      <c r="K585" s="4">
        <f t="shared" si="1"/>
        <v>2744.1221</v>
      </c>
      <c r="L585" s="4">
        <f t="shared" si="2"/>
        <v>2.847745004</v>
      </c>
    </row>
    <row r="586">
      <c r="A586" s="3" t="s">
        <v>80</v>
      </c>
      <c r="B586" s="3">
        <v>2.08</v>
      </c>
      <c r="C586" s="3">
        <v>7.71</v>
      </c>
      <c r="D586" s="3">
        <v>88.2</v>
      </c>
      <c r="E586" s="3">
        <v>10.8</v>
      </c>
      <c r="F586" s="3">
        <v>28.23</v>
      </c>
      <c r="G586" s="3">
        <v>43.73</v>
      </c>
      <c r="H586" s="3">
        <v>0.0</v>
      </c>
      <c r="I586" s="3">
        <v>1.84</v>
      </c>
      <c r="J586" s="3">
        <v>0.0</v>
      </c>
      <c r="K586" s="4">
        <f t="shared" si="1"/>
        <v>2709.2458</v>
      </c>
      <c r="L586" s="4">
        <f t="shared" si="2"/>
        <v>2.871367375</v>
      </c>
    </row>
    <row r="587">
      <c r="A587" s="3" t="s">
        <v>80</v>
      </c>
      <c r="B587" s="3">
        <v>2.08</v>
      </c>
      <c r="C587" s="3">
        <v>8.17</v>
      </c>
      <c r="D587" s="3">
        <v>89.5</v>
      </c>
      <c r="E587" s="3">
        <v>3.1</v>
      </c>
      <c r="F587" s="3">
        <v>27.84</v>
      </c>
      <c r="G587" s="3">
        <v>42.59</v>
      </c>
      <c r="H587" s="3">
        <v>0.0</v>
      </c>
      <c r="I587" s="3">
        <v>1.41</v>
      </c>
      <c r="J587" s="3">
        <v>0.0</v>
      </c>
      <c r="K587" s="4">
        <f t="shared" si="1"/>
        <v>2588.9737</v>
      </c>
      <c r="L587" s="4">
        <f t="shared" si="2"/>
        <v>3.093986625</v>
      </c>
    </row>
    <row r="588">
      <c r="A588" s="3" t="s">
        <v>80</v>
      </c>
      <c r="B588" s="3">
        <v>2.08</v>
      </c>
      <c r="C588" s="3">
        <v>8.62</v>
      </c>
      <c r="D588" s="3">
        <v>89.7</v>
      </c>
      <c r="E588" s="3">
        <v>9.5</v>
      </c>
      <c r="F588" s="3">
        <v>26.95</v>
      </c>
      <c r="G588" s="3">
        <v>41.5</v>
      </c>
      <c r="H588" s="3">
        <v>0.0</v>
      </c>
      <c r="I588" s="3">
        <v>1.09</v>
      </c>
      <c r="J588" s="3">
        <v>0.0</v>
      </c>
      <c r="K588" s="4">
        <f t="shared" si="1"/>
        <v>2448.5525</v>
      </c>
      <c r="L588" s="4">
        <f t="shared" si="2"/>
        <v>3.286059825</v>
      </c>
    </row>
    <row r="589">
      <c r="A589" s="3" t="s">
        <v>80</v>
      </c>
      <c r="B589" s="3">
        <v>2.08</v>
      </c>
      <c r="C589" s="3">
        <v>9.07</v>
      </c>
      <c r="D589" s="3">
        <v>93.7</v>
      </c>
      <c r="E589" s="3">
        <v>7.3</v>
      </c>
      <c r="F589" s="3">
        <v>26.46</v>
      </c>
      <c r="G589" s="3">
        <v>40.45</v>
      </c>
      <c r="H589" s="3">
        <v>0.0</v>
      </c>
      <c r="I589" s="3">
        <v>0.84</v>
      </c>
      <c r="J589" s="3">
        <v>0.0</v>
      </c>
      <c r="K589" s="4">
        <f t="shared" si="1"/>
        <v>2336.3341</v>
      </c>
      <c r="L589" s="4">
        <f t="shared" si="2"/>
        <v>3.757891476</v>
      </c>
    </row>
    <row r="590">
      <c r="A590" s="3" t="s">
        <v>80</v>
      </c>
      <c r="B590" s="3">
        <v>2.08</v>
      </c>
      <c r="C590" s="3">
        <v>9.53</v>
      </c>
      <c r="D590" s="3">
        <v>97.0</v>
      </c>
      <c r="E590" s="3">
        <v>5.7</v>
      </c>
      <c r="F590" s="3">
        <v>26.26</v>
      </c>
      <c r="G590" s="3">
        <v>39.41</v>
      </c>
      <c r="H590" s="3">
        <v>0.0</v>
      </c>
      <c r="I590" s="3">
        <v>0.65</v>
      </c>
      <c r="J590" s="3">
        <v>0.0</v>
      </c>
      <c r="K590" s="4">
        <f t="shared" si="1"/>
        <v>2242.7357</v>
      </c>
      <c r="L590" s="4">
        <f t="shared" si="2"/>
        <v>4.195322703</v>
      </c>
    </row>
    <row r="591">
      <c r="A591" s="3" t="s">
        <v>80</v>
      </c>
      <c r="B591" s="3">
        <v>2.08</v>
      </c>
      <c r="C591" s="3">
        <v>9.96</v>
      </c>
      <c r="D591" s="3">
        <v>96.2</v>
      </c>
      <c r="E591" s="3">
        <v>1.5</v>
      </c>
      <c r="F591" s="3">
        <v>25.18</v>
      </c>
      <c r="G591" s="3">
        <v>38.5</v>
      </c>
      <c r="H591" s="3">
        <v>0.0</v>
      </c>
      <c r="I591" s="3">
        <v>0.51</v>
      </c>
      <c r="J591" s="3">
        <v>0.0</v>
      </c>
      <c r="K591" s="4">
        <f t="shared" si="1"/>
        <v>2116.2824</v>
      </c>
      <c r="L591" s="4">
        <f t="shared" si="2"/>
        <v>4.372970261</v>
      </c>
    </row>
    <row r="592">
      <c r="A592" s="3" t="s">
        <v>80</v>
      </c>
      <c r="B592" s="3">
        <v>2.08</v>
      </c>
      <c r="C592" s="3">
        <v>10.45</v>
      </c>
      <c r="D592" s="3">
        <v>94.8</v>
      </c>
      <c r="E592" s="3">
        <v>2.1</v>
      </c>
      <c r="F592" s="3">
        <v>24.1</v>
      </c>
      <c r="G592" s="3">
        <v>37.5</v>
      </c>
      <c r="H592" s="3">
        <v>0.0</v>
      </c>
      <c r="I592" s="3">
        <v>0.38</v>
      </c>
      <c r="J592" s="3">
        <v>0.0</v>
      </c>
      <c r="K592" s="4">
        <f t="shared" si="1"/>
        <v>1987.06</v>
      </c>
      <c r="L592" s="4">
        <f t="shared" si="2"/>
        <v>4.522782402</v>
      </c>
    </row>
    <row r="593">
      <c r="A593" s="3" t="s">
        <v>80</v>
      </c>
      <c r="B593" s="3">
        <v>2.08</v>
      </c>
      <c r="C593" s="3">
        <v>10.93</v>
      </c>
      <c r="D593" s="3">
        <v>92.5</v>
      </c>
      <c r="E593" s="3">
        <v>13.9</v>
      </c>
      <c r="F593" s="3">
        <v>23.02</v>
      </c>
      <c r="G593" s="3">
        <v>36.62</v>
      </c>
      <c r="H593" s="3">
        <v>0.0</v>
      </c>
      <c r="I593" s="3">
        <v>0.29</v>
      </c>
      <c r="J593" s="3">
        <v>0.0</v>
      </c>
      <c r="K593" s="4">
        <f t="shared" si="1"/>
        <v>1870.9448</v>
      </c>
      <c r="L593" s="4">
        <f t="shared" si="2"/>
        <v>4.573224181</v>
      </c>
    </row>
    <row r="594">
      <c r="A594" s="3" t="s">
        <v>80</v>
      </c>
      <c r="B594" s="3">
        <v>2.08</v>
      </c>
      <c r="C594" s="3">
        <v>11.32</v>
      </c>
      <c r="D594" s="3">
        <v>92.8</v>
      </c>
      <c r="E594" s="3">
        <v>10.6</v>
      </c>
      <c r="F594" s="3">
        <v>22.03</v>
      </c>
      <c r="G594" s="3">
        <v>35.97</v>
      </c>
      <c r="H594" s="3">
        <v>0.0</v>
      </c>
      <c r="I594" s="3">
        <v>0.23</v>
      </c>
      <c r="J594" s="3">
        <v>0.0</v>
      </c>
      <c r="K594" s="4">
        <f t="shared" si="1"/>
        <v>1779.1618</v>
      </c>
      <c r="L594" s="4">
        <f t="shared" si="2"/>
        <v>4.840391695</v>
      </c>
    </row>
    <row r="595">
      <c r="A595" s="3" t="s">
        <v>80</v>
      </c>
      <c r="B595" s="3">
        <v>2.08</v>
      </c>
      <c r="C595" s="3">
        <v>11.8</v>
      </c>
      <c r="D595" s="3">
        <v>93.5</v>
      </c>
      <c r="E595" s="3">
        <v>12.1</v>
      </c>
      <c r="F595" s="3">
        <v>21.74</v>
      </c>
      <c r="G595" s="3">
        <v>35.19</v>
      </c>
      <c r="H595" s="3">
        <v>0.0</v>
      </c>
      <c r="I595" s="3">
        <v>0.0</v>
      </c>
      <c r="J595" s="3">
        <v>0.0</v>
      </c>
      <c r="K595" s="4">
        <f t="shared" si="1"/>
        <v>1710.9637</v>
      </c>
      <c r="L595" s="4">
        <f t="shared" si="2"/>
        <v>5.109547327</v>
      </c>
    </row>
    <row r="596">
      <c r="A596" s="3" t="s">
        <v>81</v>
      </c>
      <c r="B596" s="3">
        <v>80.7</v>
      </c>
      <c r="C596" s="3">
        <v>1.17</v>
      </c>
      <c r="D596" s="3">
        <v>123.0</v>
      </c>
      <c r="E596" s="3">
        <v>6.2</v>
      </c>
      <c r="F596" s="3">
        <v>2.58</v>
      </c>
      <c r="G596" s="3">
        <v>183.66</v>
      </c>
      <c r="H596" s="3">
        <v>0.0</v>
      </c>
      <c r="I596" s="3">
        <v>2905.87</v>
      </c>
      <c r="J596" s="3">
        <v>0.0</v>
      </c>
      <c r="K596" s="4">
        <f t="shared" si="1"/>
        <v>33737.652</v>
      </c>
      <c r="L596" s="4">
        <f t="shared" si="2"/>
        <v>0.4484307325</v>
      </c>
    </row>
    <row r="597">
      <c r="A597" s="3" t="s">
        <v>81</v>
      </c>
      <c r="B597" s="3">
        <v>80.7</v>
      </c>
      <c r="C597" s="3">
        <v>1.56</v>
      </c>
      <c r="D597" s="3">
        <v>142.0</v>
      </c>
      <c r="E597" s="3">
        <v>6.2</v>
      </c>
      <c r="F597" s="3">
        <v>3.43</v>
      </c>
      <c r="G597" s="3">
        <v>210.66</v>
      </c>
      <c r="H597" s="3">
        <v>0.0</v>
      </c>
      <c r="I597" s="3">
        <v>2304.03</v>
      </c>
      <c r="J597" s="3">
        <v>0.0</v>
      </c>
      <c r="K597" s="4">
        <f t="shared" si="1"/>
        <v>44389.4005</v>
      </c>
      <c r="L597" s="4">
        <f t="shared" si="2"/>
        <v>0.4542525867</v>
      </c>
    </row>
    <row r="598">
      <c r="A598" s="3" t="s">
        <v>81</v>
      </c>
      <c r="B598" s="3">
        <v>80.7</v>
      </c>
      <c r="C598" s="3">
        <v>1.96</v>
      </c>
      <c r="D598" s="3">
        <v>205.0</v>
      </c>
      <c r="E598" s="3">
        <v>6.2</v>
      </c>
      <c r="F598" s="3">
        <v>4.28</v>
      </c>
      <c r="G598" s="3">
        <v>232.37</v>
      </c>
      <c r="H598" s="3">
        <v>0.0</v>
      </c>
      <c r="I598" s="3">
        <v>1870.29</v>
      </c>
      <c r="J598" s="3">
        <v>0.0</v>
      </c>
      <c r="K598" s="4">
        <f t="shared" si="1"/>
        <v>54014.1353</v>
      </c>
      <c r="L598" s="4">
        <f t="shared" si="2"/>
        <v>0.778037078</v>
      </c>
    </row>
    <row r="599">
      <c r="A599" s="3" t="s">
        <v>81</v>
      </c>
      <c r="B599" s="3">
        <v>80.7</v>
      </c>
      <c r="C599" s="3">
        <v>2.73</v>
      </c>
      <c r="D599" s="3">
        <v>228.0</v>
      </c>
      <c r="E599" s="3">
        <v>6.2</v>
      </c>
      <c r="F599" s="3">
        <v>5.96</v>
      </c>
      <c r="G599" s="3">
        <v>264.64</v>
      </c>
      <c r="H599" s="3">
        <v>0.0</v>
      </c>
      <c r="I599" s="3">
        <v>1313.72</v>
      </c>
      <c r="J599" s="3">
        <v>0.0</v>
      </c>
      <c r="K599" s="4">
        <f t="shared" si="1"/>
        <v>70069.8512</v>
      </c>
      <c r="L599" s="4">
        <f t="shared" si="2"/>
        <v>0.7418882602</v>
      </c>
    </row>
    <row r="600">
      <c r="A600" s="3" t="s">
        <v>81</v>
      </c>
      <c r="B600" s="3">
        <v>80.7</v>
      </c>
      <c r="C600" s="3">
        <v>3.52</v>
      </c>
      <c r="D600" s="3">
        <v>238.0</v>
      </c>
      <c r="E600" s="3">
        <v>6.2</v>
      </c>
      <c r="F600" s="3">
        <v>7.61</v>
      </c>
      <c r="G600" s="3">
        <v>281.54</v>
      </c>
      <c r="H600" s="3">
        <v>0.0</v>
      </c>
      <c r="I600" s="3">
        <v>825.59</v>
      </c>
      <c r="J600" s="3">
        <v>0.0</v>
      </c>
      <c r="K600" s="4">
        <f t="shared" si="1"/>
        <v>79322.6837</v>
      </c>
      <c r="L600" s="4">
        <f t="shared" si="2"/>
        <v>0.7140958596</v>
      </c>
    </row>
    <row r="601">
      <c r="A601" s="3" t="s">
        <v>81</v>
      </c>
      <c r="B601" s="3">
        <v>80.7</v>
      </c>
      <c r="C601" s="3">
        <v>10.59</v>
      </c>
      <c r="D601" s="3">
        <v>229.0</v>
      </c>
      <c r="E601" s="3">
        <v>4.2</v>
      </c>
      <c r="F601" s="3">
        <v>23.2</v>
      </c>
      <c r="G601" s="3">
        <v>269.17</v>
      </c>
      <c r="H601" s="3">
        <v>0.0</v>
      </c>
      <c r="I601" s="3">
        <v>159.49</v>
      </c>
      <c r="J601" s="3">
        <v>0.0</v>
      </c>
      <c r="K601" s="4">
        <f t="shared" si="1"/>
        <v>72990.7289</v>
      </c>
      <c r="L601" s="4">
        <f t="shared" si="2"/>
        <v>0.7184611086</v>
      </c>
    </row>
    <row r="602">
      <c r="A602" s="3" t="s">
        <v>81</v>
      </c>
      <c r="B602" s="3">
        <v>80.7</v>
      </c>
      <c r="C602" s="3">
        <v>17.65</v>
      </c>
      <c r="D602" s="3">
        <v>225.0</v>
      </c>
      <c r="E602" s="3">
        <v>6.9</v>
      </c>
      <c r="F602" s="3">
        <v>37.46</v>
      </c>
      <c r="G602" s="3">
        <v>243.6</v>
      </c>
      <c r="H602" s="3">
        <v>0.0</v>
      </c>
      <c r="I602" s="3">
        <v>48.01</v>
      </c>
      <c r="J602" s="3">
        <v>0.0</v>
      </c>
      <c r="K602" s="4">
        <f t="shared" si="1"/>
        <v>60744.2116</v>
      </c>
      <c r="L602" s="4">
        <f t="shared" si="2"/>
        <v>0.8334127428</v>
      </c>
    </row>
    <row r="603">
      <c r="A603" s="3" t="s">
        <v>81</v>
      </c>
      <c r="B603" s="3">
        <v>80.7</v>
      </c>
      <c r="C603" s="3">
        <v>24.61</v>
      </c>
      <c r="D603" s="3">
        <v>220.0</v>
      </c>
      <c r="E603" s="3">
        <v>4.0</v>
      </c>
      <c r="F603" s="3">
        <v>47.21</v>
      </c>
      <c r="G603" s="3">
        <v>226.69</v>
      </c>
      <c r="H603" s="3">
        <v>0.0</v>
      </c>
      <c r="I603" s="3">
        <v>36.25</v>
      </c>
      <c r="J603" s="3">
        <v>0.0</v>
      </c>
      <c r="K603" s="4">
        <f t="shared" si="1"/>
        <v>53617.1402</v>
      </c>
      <c r="L603" s="4">
        <f t="shared" si="2"/>
        <v>0.9026964105</v>
      </c>
    </row>
    <row r="604">
      <c r="A604" s="3" t="s">
        <v>81</v>
      </c>
      <c r="B604" s="3">
        <v>80.7</v>
      </c>
      <c r="C604" s="3">
        <v>31.67</v>
      </c>
      <c r="D604" s="3">
        <v>222.0</v>
      </c>
      <c r="E604" s="3">
        <v>2.4</v>
      </c>
      <c r="F604" s="3">
        <v>59.26</v>
      </c>
      <c r="G604" s="3">
        <v>219.45</v>
      </c>
      <c r="H604" s="3">
        <v>0.0</v>
      </c>
      <c r="I604" s="3">
        <v>15.29</v>
      </c>
      <c r="J604" s="3">
        <v>0.0</v>
      </c>
      <c r="K604" s="4">
        <f t="shared" si="1"/>
        <v>51670.0501</v>
      </c>
      <c r="L604" s="4">
        <f t="shared" si="2"/>
        <v>0.9538214092</v>
      </c>
    </row>
    <row r="605">
      <c r="A605" s="3" t="s">
        <v>81</v>
      </c>
      <c r="B605" s="3">
        <v>80.7</v>
      </c>
      <c r="C605" s="3">
        <v>38.74</v>
      </c>
      <c r="D605" s="3">
        <v>219.0</v>
      </c>
      <c r="E605" s="3">
        <v>4.1</v>
      </c>
      <c r="F605" s="3">
        <v>61.77</v>
      </c>
      <c r="G605" s="3">
        <v>202.4</v>
      </c>
      <c r="H605" s="3">
        <v>0.0</v>
      </c>
      <c r="I605" s="3">
        <v>5.94</v>
      </c>
      <c r="J605" s="3">
        <v>0.0</v>
      </c>
      <c r="K605" s="4">
        <f t="shared" si="1"/>
        <v>44781.2929</v>
      </c>
      <c r="L605" s="4">
        <f t="shared" si="2"/>
        <v>1.071005255</v>
      </c>
    </row>
    <row r="606">
      <c r="A606" s="3" t="s">
        <v>81</v>
      </c>
      <c r="B606" s="3">
        <v>80.7</v>
      </c>
      <c r="C606" s="3">
        <v>45.8</v>
      </c>
      <c r="D606" s="3">
        <v>214.0</v>
      </c>
      <c r="E606" s="3">
        <v>4.7</v>
      </c>
      <c r="F606" s="3">
        <v>58.45</v>
      </c>
      <c r="G606" s="3">
        <v>183.36</v>
      </c>
      <c r="H606" s="3">
        <v>0.0</v>
      </c>
      <c r="I606" s="3">
        <v>2.13</v>
      </c>
      <c r="J606" s="3">
        <v>0.0</v>
      </c>
      <c r="K606" s="4">
        <f t="shared" si="1"/>
        <v>37037.2921</v>
      </c>
      <c r="L606" s="4">
        <f t="shared" si="2"/>
        <v>1.236483485</v>
      </c>
    </row>
    <row r="607">
      <c r="A607" s="3" t="s">
        <v>81</v>
      </c>
      <c r="B607" s="3">
        <v>80.7</v>
      </c>
      <c r="C607" s="3">
        <v>52.86</v>
      </c>
      <c r="D607" s="3">
        <v>216.0</v>
      </c>
      <c r="E607" s="3">
        <v>2.6</v>
      </c>
      <c r="F607" s="3">
        <v>58.96</v>
      </c>
      <c r="G607" s="3">
        <v>169.7</v>
      </c>
      <c r="H607" s="3">
        <v>0.0</v>
      </c>
      <c r="I607" s="3">
        <v>1.2</v>
      </c>
      <c r="J607" s="3">
        <v>0.0</v>
      </c>
      <c r="K607" s="4">
        <f t="shared" si="1"/>
        <v>32274.3716</v>
      </c>
      <c r="L607" s="4">
        <f t="shared" si="2"/>
        <v>1.445605218</v>
      </c>
    </row>
    <row r="608">
      <c r="A608" s="3" t="s">
        <v>81</v>
      </c>
      <c r="B608" s="3">
        <v>80.7</v>
      </c>
      <c r="C608" s="3">
        <v>59.82</v>
      </c>
      <c r="D608" s="3">
        <v>216.0</v>
      </c>
      <c r="E608" s="3">
        <v>8.8</v>
      </c>
      <c r="F608" s="3">
        <v>66.89</v>
      </c>
      <c r="G608" s="3">
        <v>158.21</v>
      </c>
      <c r="H608" s="3">
        <v>0.0</v>
      </c>
      <c r="I608" s="3">
        <v>0.0</v>
      </c>
      <c r="J608" s="3">
        <v>0.0</v>
      </c>
      <c r="K608" s="4">
        <f t="shared" si="1"/>
        <v>29504.6762</v>
      </c>
      <c r="L608" s="4">
        <f t="shared" si="2"/>
        <v>1.58130866</v>
      </c>
    </row>
    <row r="609">
      <c r="A609" s="3" t="s">
        <v>82</v>
      </c>
      <c r="B609" s="3">
        <v>9.91</v>
      </c>
      <c r="C609" s="3">
        <v>0.92</v>
      </c>
      <c r="D609" s="3">
        <v>234.0</v>
      </c>
      <c r="E609" s="3">
        <v>12.0</v>
      </c>
      <c r="F609" s="3">
        <v>-5.19</v>
      </c>
      <c r="G609" s="3">
        <v>121.44</v>
      </c>
      <c r="H609" s="3">
        <v>254.98</v>
      </c>
      <c r="I609" s="3">
        <v>2850.07</v>
      </c>
      <c r="J609" s="3">
        <v>1353.62</v>
      </c>
      <c r="K609" s="4">
        <f t="shared" si="1"/>
        <v>14774.6097</v>
      </c>
      <c r="L609" s="4">
        <f t="shared" si="2"/>
        <v>3.706087749</v>
      </c>
    </row>
    <row r="610">
      <c r="A610" s="3" t="s">
        <v>82</v>
      </c>
      <c r="B610" s="3">
        <v>9.91</v>
      </c>
      <c r="C610" s="3">
        <v>2.32</v>
      </c>
      <c r="D610" s="3">
        <v>192.0</v>
      </c>
      <c r="E610" s="3">
        <v>12.0</v>
      </c>
      <c r="F610" s="3">
        <v>-10.42</v>
      </c>
      <c r="G610" s="3">
        <v>280.89</v>
      </c>
      <c r="H610" s="3">
        <v>185.98</v>
      </c>
      <c r="I610" s="3">
        <v>1970.54</v>
      </c>
      <c r="J610" s="3">
        <v>19.18</v>
      </c>
      <c r="K610" s="4">
        <f t="shared" si="1"/>
        <v>79007.7685</v>
      </c>
      <c r="L610" s="4">
        <f t="shared" si="2"/>
        <v>0.4665870294</v>
      </c>
    </row>
    <row r="611">
      <c r="A611" s="3" t="s">
        <v>82</v>
      </c>
      <c r="B611" s="3">
        <v>9.91</v>
      </c>
      <c r="C611" s="3">
        <v>3.24</v>
      </c>
      <c r="D611" s="3">
        <v>212.0</v>
      </c>
      <c r="E611" s="3">
        <v>6.3</v>
      </c>
      <c r="F611" s="3">
        <v>-11.44</v>
      </c>
      <c r="G611" s="3">
        <v>325.09</v>
      </c>
      <c r="H611" s="3">
        <v>158.37</v>
      </c>
      <c r="I611" s="3">
        <v>904.93</v>
      </c>
      <c r="J611" s="3">
        <v>1.73</v>
      </c>
      <c r="K611" s="4">
        <f t="shared" si="1"/>
        <v>105814.3817</v>
      </c>
      <c r="L611" s="4">
        <f t="shared" si="2"/>
        <v>0.4247437756</v>
      </c>
    </row>
    <row r="612">
      <c r="A612" s="3" t="s">
        <v>82</v>
      </c>
      <c r="B612" s="3">
        <v>9.91</v>
      </c>
      <c r="C612" s="3">
        <v>4.17</v>
      </c>
      <c r="D612" s="3">
        <v>223.0</v>
      </c>
      <c r="E612" s="3">
        <v>4.41</v>
      </c>
      <c r="F612" s="3">
        <v>-11.64</v>
      </c>
      <c r="G612" s="3">
        <v>311.44</v>
      </c>
      <c r="H612" s="3">
        <v>139.66</v>
      </c>
      <c r="I612" s="3">
        <v>398.34</v>
      </c>
      <c r="J612" s="3">
        <v>0.15</v>
      </c>
      <c r="K612" s="4">
        <f t="shared" si="1"/>
        <v>97130.3632</v>
      </c>
      <c r="L612" s="4">
        <f t="shared" si="2"/>
        <v>0.5119820246</v>
      </c>
    </row>
    <row r="613">
      <c r="A613" s="3" t="s">
        <v>82</v>
      </c>
      <c r="B613" s="3">
        <v>9.91</v>
      </c>
      <c r="C613" s="3">
        <v>5.1</v>
      </c>
      <c r="D613" s="3">
        <v>222.0</v>
      </c>
      <c r="E613" s="3">
        <v>4.01</v>
      </c>
      <c r="F613" s="3">
        <v>-11.54</v>
      </c>
      <c r="G613" s="3">
        <v>293.95</v>
      </c>
      <c r="H613" s="3">
        <v>126.35</v>
      </c>
      <c r="I613" s="3">
        <v>271.63</v>
      </c>
      <c r="J613" s="3">
        <v>0.01</v>
      </c>
      <c r="K613" s="4">
        <f t="shared" si="1"/>
        <v>86539.7741</v>
      </c>
      <c r="L613" s="4">
        <f t="shared" si="2"/>
        <v>0.5694953622</v>
      </c>
    </row>
    <row r="614">
      <c r="A614" s="3" t="s">
        <v>82</v>
      </c>
      <c r="B614" s="3">
        <v>9.91</v>
      </c>
      <c r="C614" s="3">
        <v>6.03</v>
      </c>
      <c r="D614" s="3">
        <v>224.0</v>
      </c>
      <c r="E614" s="3">
        <v>3.85</v>
      </c>
      <c r="F614" s="3">
        <v>-11.44</v>
      </c>
      <c r="G614" s="3">
        <v>280.55</v>
      </c>
      <c r="H614" s="3">
        <v>116.3</v>
      </c>
      <c r="I614" s="3">
        <v>183.28</v>
      </c>
      <c r="J614" s="3">
        <v>0.0</v>
      </c>
      <c r="K614" s="4">
        <f t="shared" si="1"/>
        <v>78839.1761</v>
      </c>
      <c r="L614" s="4">
        <f t="shared" si="2"/>
        <v>0.63643486</v>
      </c>
    </row>
    <row r="615">
      <c r="A615" s="3" t="s">
        <v>82</v>
      </c>
      <c r="B615" s="3">
        <v>9.91</v>
      </c>
      <c r="C615" s="3">
        <v>6.96</v>
      </c>
      <c r="D615" s="3">
        <v>224.0</v>
      </c>
      <c r="E615" s="3">
        <v>3.23</v>
      </c>
      <c r="F615" s="3">
        <v>-9.02</v>
      </c>
      <c r="G615" s="3">
        <v>271.7</v>
      </c>
      <c r="H615" s="3">
        <v>108.06</v>
      </c>
      <c r="I615" s="3">
        <v>131.67</v>
      </c>
      <c r="J615" s="3">
        <v>0.0</v>
      </c>
      <c r="K615" s="4">
        <f t="shared" si="1"/>
        <v>73902.2504</v>
      </c>
      <c r="L615" s="4">
        <f t="shared" si="2"/>
        <v>0.6789509078</v>
      </c>
    </row>
    <row r="616">
      <c r="A616" s="3" t="s">
        <v>82</v>
      </c>
      <c r="B616" s="3">
        <v>9.91</v>
      </c>
      <c r="C616" s="3">
        <v>7.89</v>
      </c>
      <c r="D616" s="3">
        <v>226.0</v>
      </c>
      <c r="E616" s="3">
        <v>3.4</v>
      </c>
      <c r="F616" s="3">
        <v>6.44</v>
      </c>
      <c r="G616" s="3">
        <v>260.33</v>
      </c>
      <c r="H616" s="3">
        <v>101.6</v>
      </c>
      <c r="I616" s="3">
        <v>102.27</v>
      </c>
      <c r="J616" s="3">
        <v>0.0</v>
      </c>
      <c r="K616" s="4">
        <f t="shared" si="1"/>
        <v>67813.1825</v>
      </c>
      <c r="L616" s="4">
        <f t="shared" si="2"/>
        <v>0.7531868896</v>
      </c>
    </row>
    <row r="617">
      <c r="A617" s="3" t="s">
        <v>82</v>
      </c>
      <c r="B617" s="3">
        <v>9.91</v>
      </c>
      <c r="C617" s="3">
        <v>8.8</v>
      </c>
      <c r="D617" s="3">
        <v>226.0</v>
      </c>
      <c r="E617" s="3">
        <v>3.21</v>
      </c>
      <c r="F617" s="3">
        <v>16.24</v>
      </c>
      <c r="G617" s="3">
        <v>254.4</v>
      </c>
      <c r="H617" s="3">
        <v>96.17</v>
      </c>
      <c r="I617" s="3">
        <v>60.87</v>
      </c>
      <c r="J617" s="3">
        <v>0.0</v>
      </c>
      <c r="K617" s="4">
        <f t="shared" si="1"/>
        <v>64983.0976</v>
      </c>
      <c r="L617" s="4">
        <f t="shared" si="2"/>
        <v>0.7859890015</v>
      </c>
    </row>
    <row r="618">
      <c r="A618" s="3" t="s">
        <v>82</v>
      </c>
      <c r="B618" s="3">
        <v>9.91</v>
      </c>
      <c r="C618" s="3">
        <v>9.73</v>
      </c>
      <c r="D618" s="3">
        <v>227.0</v>
      </c>
      <c r="E618" s="3">
        <v>2.75</v>
      </c>
      <c r="F618" s="3">
        <v>25.64</v>
      </c>
      <c r="G618" s="3">
        <v>241.26</v>
      </c>
      <c r="H618" s="3">
        <v>91.46</v>
      </c>
      <c r="I618" s="3">
        <v>35.23</v>
      </c>
      <c r="J618" s="3">
        <v>0.0</v>
      </c>
      <c r="K618" s="4">
        <f t="shared" si="1"/>
        <v>58863.7972</v>
      </c>
      <c r="L618" s="4">
        <f t="shared" si="2"/>
        <v>0.8753937471</v>
      </c>
    </row>
    <row r="619">
      <c r="A619" s="3" t="s">
        <v>82</v>
      </c>
      <c r="B619" s="3">
        <v>9.91</v>
      </c>
      <c r="C619" s="3">
        <v>10.64</v>
      </c>
      <c r="D619" s="3">
        <v>227.0</v>
      </c>
      <c r="E619" s="3">
        <v>2.65</v>
      </c>
      <c r="F619" s="3">
        <v>32.27</v>
      </c>
      <c r="G619" s="3">
        <v>231.49</v>
      </c>
      <c r="H619" s="3">
        <v>87.46</v>
      </c>
      <c r="I619" s="3">
        <v>35.29</v>
      </c>
      <c r="J619" s="3">
        <v>0.0</v>
      </c>
      <c r="K619" s="4">
        <f t="shared" si="1"/>
        <v>54628.973</v>
      </c>
      <c r="L619" s="4">
        <f t="shared" si="2"/>
        <v>0.9432540495</v>
      </c>
    </row>
    <row r="620">
      <c r="A620" s="3" t="s">
        <v>82</v>
      </c>
      <c r="B620" s="3">
        <v>9.91</v>
      </c>
      <c r="C620" s="3">
        <v>11.58</v>
      </c>
      <c r="D620" s="3">
        <v>224.0</v>
      </c>
      <c r="E620" s="3">
        <v>2.35</v>
      </c>
      <c r="F620" s="3">
        <v>35.44</v>
      </c>
      <c r="G620" s="3">
        <v>224.36</v>
      </c>
      <c r="H620" s="3">
        <v>83.84</v>
      </c>
      <c r="I620" s="3">
        <v>17.47</v>
      </c>
      <c r="J620" s="3">
        <v>0.0</v>
      </c>
      <c r="K620" s="4">
        <f t="shared" si="1"/>
        <v>51593.4032</v>
      </c>
      <c r="L620" s="4">
        <f t="shared" si="2"/>
        <v>0.9725274335</v>
      </c>
    </row>
    <row r="621">
      <c r="A621" s="3" t="s">
        <v>82</v>
      </c>
      <c r="B621" s="3">
        <v>9.91</v>
      </c>
      <c r="C621" s="3">
        <v>12.52</v>
      </c>
      <c r="D621" s="3">
        <v>220.0</v>
      </c>
      <c r="E621" s="3">
        <v>2.43</v>
      </c>
      <c r="F621" s="3">
        <v>42.18</v>
      </c>
      <c r="G621" s="3">
        <v>213.5</v>
      </c>
      <c r="H621" s="3">
        <v>80.63</v>
      </c>
      <c r="I621" s="3">
        <v>15.2</v>
      </c>
      <c r="J621" s="3">
        <v>0.0</v>
      </c>
      <c r="K621" s="4">
        <f t="shared" si="1"/>
        <v>47361.4024</v>
      </c>
      <c r="L621" s="4">
        <f t="shared" si="2"/>
        <v>1.021929199</v>
      </c>
    </row>
    <row r="622">
      <c r="A622" s="3" t="s">
        <v>82</v>
      </c>
      <c r="B622" s="3">
        <v>9.91</v>
      </c>
      <c r="C622" s="3">
        <v>13.46</v>
      </c>
      <c r="D622" s="3">
        <v>218.0</v>
      </c>
      <c r="E622" s="3">
        <v>2.3</v>
      </c>
      <c r="F622" s="3">
        <v>46.37</v>
      </c>
      <c r="G622" s="3">
        <v>208.0</v>
      </c>
      <c r="H622" s="3">
        <v>77.76</v>
      </c>
      <c r="I622" s="3">
        <v>12.53</v>
      </c>
      <c r="J622" s="3">
        <v>0.0</v>
      </c>
      <c r="K622" s="4">
        <f t="shared" si="1"/>
        <v>45414.1769</v>
      </c>
      <c r="L622" s="4">
        <f t="shared" si="2"/>
        <v>1.046457367</v>
      </c>
    </row>
    <row r="623">
      <c r="A623" s="3" t="s">
        <v>82</v>
      </c>
      <c r="B623" s="3">
        <v>9.91</v>
      </c>
      <c r="C623" s="3">
        <v>14.4</v>
      </c>
      <c r="D623" s="3">
        <v>217.0</v>
      </c>
      <c r="E623" s="3">
        <v>2.77</v>
      </c>
      <c r="F623" s="3">
        <v>49.33</v>
      </c>
      <c r="G623" s="3">
        <v>200.84</v>
      </c>
      <c r="H623" s="3">
        <v>75.18</v>
      </c>
      <c r="I623" s="3">
        <v>6.77</v>
      </c>
      <c r="J623" s="3">
        <v>0.0</v>
      </c>
      <c r="K623" s="4">
        <f t="shared" si="1"/>
        <v>42770.1545</v>
      </c>
      <c r="L623" s="4">
        <f t="shared" si="2"/>
        <v>1.10097802</v>
      </c>
    </row>
    <row r="624">
      <c r="A624" s="3" t="s">
        <v>82</v>
      </c>
      <c r="B624" s="3">
        <v>9.91</v>
      </c>
      <c r="C624" s="3">
        <v>15.33</v>
      </c>
      <c r="D624" s="3">
        <v>216.0</v>
      </c>
      <c r="E624" s="3">
        <v>4.43</v>
      </c>
      <c r="F624" s="3">
        <v>49.33</v>
      </c>
      <c r="G624" s="3">
        <v>193.84</v>
      </c>
      <c r="H624" s="3">
        <v>72.86</v>
      </c>
      <c r="I624" s="3">
        <v>4.92</v>
      </c>
      <c r="J624" s="3">
        <v>0.0</v>
      </c>
      <c r="K624" s="4">
        <f t="shared" si="1"/>
        <v>40007.3945</v>
      </c>
      <c r="L624" s="4">
        <f t="shared" si="2"/>
        <v>1.166184416</v>
      </c>
    </row>
    <row r="625">
      <c r="A625" s="3" t="s">
        <v>82</v>
      </c>
      <c r="B625" s="3">
        <v>9.91</v>
      </c>
      <c r="C625" s="3">
        <v>16.27</v>
      </c>
      <c r="D625" s="3">
        <v>210.0</v>
      </c>
      <c r="E625" s="3">
        <v>4.47</v>
      </c>
      <c r="F625" s="3">
        <v>47.29</v>
      </c>
      <c r="G625" s="3">
        <v>188.07</v>
      </c>
      <c r="H625" s="3">
        <v>70.73</v>
      </c>
      <c r="I625" s="3">
        <v>3.39</v>
      </c>
      <c r="J625" s="3">
        <v>0.0</v>
      </c>
      <c r="K625" s="4">
        <f t="shared" si="1"/>
        <v>37606.669</v>
      </c>
      <c r="L625" s="4">
        <f t="shared" si="2"/>
        <v>1.172664348</v>
      </c>
    </row>
    <row r="626">
      <c r="A626" s="3" t="s">
        <v>82</v>
      </c>
      <c r="B626" s="3">
        <v>9.91</v>
      </c>
      <c r="C626" s="3">
        <v>17.11</v>
      </c>
      <c r="D626" s="3">
        <v>208.0</v>
      </c>
      <c r="E626" s="3">
        <v>4.35</v>
      </c>
      <c r="F626" s="3">
        <v>45.04</v>
      </c>
      <c r="G626" s="3">
        <v>182.56</v>
      </c>
      <c r="H626" s="3">
        <v>68.97</v>
      </c>
      <c r="I626" s="3">
        <v>0.0</v>
      </c>
      <c r="J626" s="3">
        <v>0.0</v>
      </c>
      <c r="K626" s="4">
        <f t="shared" si="1"/>
        <v>35356.7552</v>
      </c>
      <c r="L626" s="4">
        <f t="shared" si="2"/>
        <v>1.223641699</v>
      </c>
    </row>
    <row r="627">
      <c r="A627" s="3" t="s">
        <v>83</v>
      </c>
      <c r="B627" s="3">
        <v>11.4</v>
      </c>
      <c r="C627" s="3">
        <v>1.25</v>
      </c>
      <c r="D627" s="3">
        <v>47.0</v>
      </c>
      <c r="E627" s="3">
        <v>7.6</v>
      </c>
      <c r="F627" s="3">
        <v>2.05</v>
      </c>
      <c r="G627" s="3">
        <v>56.98</v>
      </c>
      <c r="H627" s="3">
        <v>0.0</v>
      </c>
      <c r="I627" s="3">
        <v>175.71</v>
      </c>
      <c r="J627" s="3">
        <v>0.0</v>
      </c>
      <c r="K627" s="4">
        <f t="shared" si="1"/>
        <v>3250.9229</v>
      </c>
      <c r="L627" s="4">
        <f t="shared" si="2"/>
        <v>0.6794993508</v>
      </c>
    </row>
    <row r="628">
      <c r="A628" s="3" t="s">
        <v>83</v>
      </c>
      <c r="B628" s="3">
        <v>11.4</v>
      </c>
      <c r="C628" s="3">
        <v>2.08</v>
      </c>
      <c r="D628" s="3">
        <v>59.5</v>
      </c>
      <c r="E628" s="3">
        <v>4.5</v>
      </c>
      <c r="F628" s="3">
        <v>6.07</v>
      </c>
      <c r="G628" s="3">
        <v>64.63</v>
      </c>
      <c r="H628" s="3">
        <v>0.0</v>
      </c>
      <c r="I628" s="3">
        <v>107.61</v>
      </c>
      <c r="J628" s="3">
        <v>0.0</v>
      </c>
      <c r="K628" s="4">
        <f t="shared" si="1"/>
        <v>4213.8818</v>
      </c>
      <c r="L628" s="4">
        <f t="shared" si="2"/>
        <v>0.8401398445</v>
      </c>
    </row>
    <row r="629">
      <c r="A629" s="3" t="s">
        <v>83</v>
      </c>
      <c r="B629" s="3">
        <v>11.4</v>
      </c>
      <c r="C629" s="3">
        <v>2.9</v>
      </c>
      <c r="D629" s="3">
        <v>71.6</v>
      </c>
      <c r="E629" s="3">
        <v>3.7</v>
      </c>
      <c r="F629" s="3">
        <v>10.81</v>
      </c>
      <c r="G629" s="3">
        <v>74.91</v>
      </c>
      <c r="H629" s="3">
        <v>0.0</v>
      </c>
      <c r="I629" s="3">
        <v>67.61</v>
      </c>
      <c r="J629" s="3">
        <v>0.0</v>
      </c>
      <c r="K629" s="4">
        <f t="shared" si="1"/>
        <v>5728.3642</v>
      </c>
      <c r="L629" s="4">
        <f t="shared" si="2"/>
        <v>0.8949430974</v>
      </c>
    </row>
    <row r="630">
      <c r="A630" s="3" t="s">
        <v>83</v>
      </c>
      <c r="B630" s="3">
        <v>11.4</v>
      </c>
      <c r="C630" s="3">
        <v>3.73</v>
      </c>
      <c r="D630" s="3">
        <v>77.6</v>
      </c>
      <c r="E630" s="3">
        <v>3.1</v>
      </c>
      <c r="F630" s="3">
        <v>14.74</v>
      </c>
      <c r="G630" s="3">
        <v>77.71</v>
      </c>
      <c r="H630" s="3">
        <v>0.0</v>
      </c>
      <c r="I630" s="3">
        <v>47.27</v>
      </c>
      <c r="J630" s="3">
        <v>0.0</v>
      </c>
      <c r="K630" s="4">
        <f t="shared" si="1"/>
        <v>6256.1117</v>
      </c>
      <c r="L630" s="4">
        <f t="shared" si="2"/>
        <v>0.9625403587</v>
      </c>
    </row>
    <row r="631">
      <c r="A631" s="3" t="s">
        <v>83</v>
      </c>
      <c r="B631" s="3">
        <v>11.4</v>
      </c>
      <c r="C631" s="3">
        <v>4.56</v>
      </c>
      <c r="D631" s="3">
        <v>83.4</v>
      </c>
      <c r="E631" s="3">
        <v>3.6</v>
      </c>
      <c r="F631" s="3">
        <v>17.0</v>
      </c>
      <c r="G631" s="3">
        <v>79.57</v>
      </c>
      <c r="H631" s="3">
        <v>0.0</v>
      </c>
      <c r="I631" s="3">
        <v>29.91</v>
      </c>
      <c r="J631" s="3">
        <v>0.0</v>
      </c>
      <c r="K631" s="4">
        <f t="shared" si="1"/>
        <v>6620.3849</v>
      </c>
      <c r="L631" s="4">
        <f t="shared" si="2"/>
        <v>1.050627736</v>
      </c>
    </row>
    <row r="632">
      <c r="A632" s="3" t="s">
        <v>83</v>
      </c>
      <c r="B632" s="3">
        <v>11.4</v>
      </c>
      <c r="C632" s="3">
        <v>5.39</v>
      </c>
      <c r="D632" s="3">
        <v>89.7</v>
      </c>
      <c r="E632" s="3">
        <v>3.8</v>
      </c>
      <c r="F632" s="3">
        <v>19.26</v>
      </c>
      <c r="G632" s="3">
        <v>79.39</v>
      </c>
      <c r="H632" s="3">
        <v>0.0</v>
      </c>
      <c r="I632" s="3">
        <v>14.66</v>
      </c>
      <c r="J632" s="3">
        <v>0.0</v>
      </c>
      <c r="K632" s="4">
        <f t="shared" si="1"/>
        <v>6673.7197</v>
      </c>
      <c r="L632" s="4">
        <f t="shared" si="2"/>
        <v>1.205637989</v>
      </c>
    </row>
    <row r="633">
      <c r="A633" s="3" t="s">
        <v>83</v>
      </c>
      <c r="B633" s="3">
        <v>11.4</v>
      </c>
      <c r="C633" s="3">
        <v>6.22</v>
      </c>
      <c r="D633" s="3">
        <v>93.8</v>
      </c>
      <c r="E633" s="3">
        <v>2.4</v>
      </c>
      <c r="F633" s="3">
        <v>21.62</v>
      </c>
      <c r="G633" s="3">
        <v>73.38</v>
      </c>
      <c r="H633" s="3">
        <v>0.0</v>
      </c>
      <c r="I633" s="3">
        <v>7.84</v>
      </c>
      <c r="J633" s="3">
        <v>0.0</v>
      </c>
      <c r="K633" s="4">
        <f t="shared" si="1"/>
        <v>5852.0488</v>
      </c>
      <c r="L633" s="4">
        <f t="shared" si="2"/>
        <v>1.503480285</v>
      </c>
    </row>
    <row r="634">
      <c r="A634" s="3" t="s">
        <v>83</v>
      </c>
      <c r="B634" s="3">
        <v>11.4</v>
      </c>
      <c r="C634" s="3">
        <v>7.04</v>
      </c>
      <c r="D634" s="3">
        <v>99.0</v>
      </c>
      <c r="E634" s="3">
        <v>3.0</v>
      </c>
      <c r="F634" s="3">
        <v>23.59</v>
      </c>
      <c r="G634" s="3">
        <v>69.52</v>
      </c>
      <c r="H634" s="3">
        <v>0.0</v>
      </c>
      <c r="I634" s="3">
        <v>5.24</v>
      </c>
      <c r="J634" s="3">
        <v>0.0</v>
      </c>
      <c r="K634" s="4">
        <f t="shared" si="1"/>
        <v>5389.5185</v>
      </c>
      <c r="L634" s="4">
        <f t="shared" si="2"/>
        <v>1.8185298</v>
      </c>
    </row>
    <row r="635">
      <c r="A635" s="3" t="s">
        <v>83</v>
      </c>
      <c r="B635" s="3">
        <v>11.4</v>
      </c>
      <c r="C635" s="3">
        <v>7.87</v>
      </c>
      <c r="D635" s="3">
        <v>103.0</v>
      </c>
      <c r="E635" s="3">
        <v>2.5</v>
      </c>
      <c r="F635" s="3">
        <v>27.03</v>
      </c>
      <c r="G635" s="3">
        <v>65.95</v>
      </c>
      <c r="H635" s="3">
        <v>0.0</v>
      </c>
      <c r="I635" s="3">
        <v>3.23</v>
      </c>
      <c r="J635" s="3">
        <v>0.0</v>
      </c>
      <c r="K635" s="4">
        <f t="shared" si="1"/>
        <v>5080.0234</v>
      </c>
      <c r="L635" s="4">
        <f t="shared" si="2"/>
        <v>2.088376207</v>
      </c>
    </row>
    <row r="636">
      <c r="A636" s="3" t="s">
        <v>83</v>
      </c>
      <c r="B636" s="3">
        <v>11.4</v>
      </c>
      <c r="C636" s="3">
        <v>8.7</v>
      </c>
      <c r="D636" s="3">
        <v>100.0</v>
      </c>
      <c r="E636" s="3">
        <v>2.3</v>
      </c>
      <c r="F636" s="3">
        <v>28.5</v>
      </c>
      <c r="G636" s="3">
        <v>62.8</v>
      </c>
      <c r="H636" s="3">
        <v>0.0</v>
      </c>
      <c r="I636" s="3">
        <v>2.03</v>
      </c>
      <c r="J636" s="3">
        <v>0.0</v>
      </c>
      <c r="K636" s="4">
        <f t="shared" si="1"/>
        <v>4756.09</v>
      </c>
      <c r="L636" s="4">
        <f t="shared" si="2"/>
        <v>2.102567445</v>
      </c>
    </row>
    <row r="637">
      <c r="A637" s="3" t="s">
        <v>83</v>
      </c>
      <c r="B637" s="3">
        <v>11.4</v>
      </c>
      <c r="C637" s="3">
        <v>9.54</v>
      </c>
      <c r="D637" s="3">
        <v>98.3</v>
      </c>
      <c r="E637" s="3">
        <v>2.0</v>
      </c>
      <c r="F637" s="3">
        <v>29.19</v>
      </c>
      <c r="G637" s="3">
        <v>59.81</v>
      </c>
      <c r="H637" s="3">
        <v>0.0</v>
      </c>
      <c r="I637" s="3">
        <v>1.06</v>
      </c>
      <c r="J637" s="3">
        <v>0.0</v>
      </c>
      <c r="K637" s="4">
        <f t="shared" si="1"/>
        <v>4429.2922</v>
      </c>
      <c r="L637" s="4">
        <f t="shared" si="2"/>
        <v>2.181587839</v>
      </c>
    </row>
    <row r="638">
      <c r="A638" s="3" t="s">
        <v>83</v>
      </c>
      <c r="B638" s="3">
        <v>11.4</v>
      </c>
      <c r="C638" s="3">
        <v>10.34</v>
      </c>
      <c r="D638" s="3">
        <v>98.4</v>
      </c>
      <c r="E638" s="3">
        <v>1.7</v>
      </c>
      <c r="F638" s="3">
        <v>29.29</v>
      </c>
      <c r="G638" s="3">
        <v>56.87</v>
      </c>
      <c r="H638" s="3">
        <v>0.0</v>
      </c>
      <c r="I638" s="3">
        <v>0.59</v>
      </c>
      <c r="J638" s="3">
        <v>0.0</v>
      </c>
      <c r="K638" s="4">
        <f t="shared" si="1"/>
        <v>4092.101</v>
      </c>
      <c r="L638" s="4">
        <f t="shared" si="2"/>
        <v>2.366158607</v>
      </c>
    </row>
    <row r="639">
      <c r="A639" s="3" t="s">
        <v>83</v>
      </c>
      <c r="B639" s="3">
        <v>11.4</v>
      </c>
      <c r="C639" s="3">
        <v>11.21</v>
      </c>
      <c r="D639" s="3">
        <v>94.5</v>
      </c>
      <c r="E639" s="3">
        <v>1.8</v>
      </c>
      <c r="F639" s="3">
        <v>30.27</v>
      </c>
      <c r="G639" s="3">
        <v>54.18</v>
      </c>
      <c r="H639" s="3">
        <v>0.0</v>
      </c>
      <c r="I639" s="3">
        <v>0.37</v>
      </c>
      <c r="J639" s="3">
        <v>0.0</v>
      </c>
      <c r="K639" s="4">
        <f t="shared" si="1"/>
        <v>3851.7453</v>
      </c>
      <c r="L639" s="4">
        <f t="shared" si="2"/>
        <v>2.318494424</v>
      </c>
    </row>
    <row r="640">
      <c r="A640" s="3" t="s">
        <v>83</v>
      </c>
      <c r="B640" s="3">
        <v>11.4</v>
      </c>
      <c r="C640" s="3">
        <v>11.98</v>
      </c>
      <c r="D640" s="3">
        <v>94.9</v>
      </c>
      <c r="E640" s="3">
        <v>2.4</v>
      </c>
      <c r="F640" s="3">
        <v>31.35</v>
      </c>
      <c r="G640" s="3">
        <v>52.09</v>
      </c>
      <c r="H640" s="3">
        <v>0.0</v>
      </c>
      <c r="I640" s="3">
        <v>0.22</v>
      </c>
      <c r="J640" s="3">
        <v>0.0</v>
      </c>
      <c r="K640" s="4">
        <f t="shared" si="1"/>
        <v>3696.1906</v>
      </c>
      <c r="L640" s="4">
        <f t="shared" si="2"/>
        <v>2.436565365</v>
      </c>
    </row>
    <row r="641">
      <c r="A641" s="3" t="s">
        <v>83</v>
      </c>
      <c r="B641" s="3">
        <v>11.4</v>
      </c>
      <c r="C641" s="3">
        <v>12.85</v>
      </c>
      <c r="D641" s="3">
        <v>95.3</v>
      </c>
      <c r="E641" s="3">
        <v>1.6</v>
      </c>
      <c r="F641" s="3">
        <v>32.24</v>
      </c>
      <c r="G641" s="3">
        <v>49.97</v>
      </c>
      <c r="H641" s="3">
        <v>0.0</v>
      </c>
      <c r="I641" s="3">
        <v>0.13</v>
      </c>
      <c r="J641" s="3">
        <v>0.0</v>
      </c>
      <c r="K641" s="4">
        <f t="shared" si="1"/>
        <v>3536.4185</v>
      </c>
      <c r="L641" s="4">
        <f t="shared" si="2"/>
        <v>2.568160414</v>
      </c>
    </row>
    <row r="642">
      <c r="A642" s="3" t="s">
        <v>83</v>
      </c>
      <c r="B642" s="3">
        <v>11.4</v>
      </c>
      <c r="C642" s="3">
        <v>13.72</v>
      </c>
      <c r="D642" s="3">
        <v>96.9</v>
      </c>
      <c r="E642" s="3">
        <v>1.8</v>
      </c>
      <c r="F642" s="3">
        <v>32.83</v>
      </c>
      <c r="G642" s="3">
        <v>48.07</v>
      </c>
      <c r="H642" s="3">
        <v>0.0</v>
      </c>
      <c r="I642" s="3">
        <v>0.08</v>
      </c>
      <c r="J642" s="3">
        <v>0.0</v>
      </c>
      <c r="K642" s="4">
        <f t="shared" si="1"/>
        <v>3388.5338</v>
      </c>
      <c r="L642" s="4">
        <f t="shared" si="2"/>
        <v>2.770994936</v>
      </c>
    </row>
    <row r="643">
      <c r="A643" s="3" t="s">
        <v>83</v>
      </c>
      <c r="B643" s="3">
        <v>11.4</v>
      </c>
      <c r="C643" s="3">
        <v>14.49</v>
      </c>
      <c r="D643" s="3">
        <v>97.2</v>
      </c>
      <c r="E643" s="3">
        <v>1.3</v>
      </c>
      <c r="F643" s="3">
        <v>33.03</v>
      </c>
      <c r="G643" s="3">
        <v>46.57</v>
      </c>
      <c r="H643" s="3">
        <v>0.0</v>
      </c>
      <c r="I643" s="3">
        <v>0.05</v>
      </c>
      <c r="J643" s="3">
        <v>0.0</v>
      </c>
      <c r="K643" s="4">
        <f t="shared" si="1"/>
        <v>3259.7458</v>
      </c>
      <c r="L643" s="4">
        <f t="shared" si="2"/>
        <v>2.898336429</v>
      </c>
    </row>
    <row r="644">
      <c r="A644" s="3" t="s">
        <v>83</v>
      </c>
      <c r="B644" s="3">
        <v>11.4</v>
      </c>
      <c r="C644" s="3">
        <v>15.36</v>
      </c>
      <c r="D644" s="3">
        <v>100.0</v>
      </c>
      <c r="E644" s="3">
        <v>1.8</v>
      </c>
      <c r="F644" s="3">
        <v>33.12</v>
      </c>
      <c r="G644" s="3">
        <v>45.03</v>
      </c>
      <c r="H644" s="3">
        <v>0.0</v>
      </c>
      <c r="I644" s="3">
        <v>0.03</v>
      </c>
      <c r="J644" s="3">
        <v>0.0</v>
      </c>
      <c r="K644" s="4">
        <f t="shared" si="1"/>
        <v>3124.6353</v>
      </c>
      <c r="L644" s="4">
        <f t="shared" si="2"/>
        <v>3.200373496</v>
      </c>
    </row>
    <row r="645">
      <c r="A645" s="3" t="s">
        <v>83</v>
      </c>
      <c r="B645" s="3">
        <v>11.4</v>
      </c>
      <c r="C645" s="3">
        <v>16.13</v>
      </c>
      <c r="D645" s="3">
        <v>104.0</v>
      </c>
      <c r="E645" s="3">
        <v>2.7</v>
      </c>
      <c r="F645" s="3">
        <v>32.83</v>
      </c>
      <c r="G645" s="3">
        <v>43.81</v>
      </c>
      <c r="H645" s="3">
        <v>0.0</v>
      </c>
      <c r="I645" s="3">
        <v>0.02</v>
      </c>
      <c r="J645" s="3">
        <v>0.0</v>
      </c>
      <c r="K645" s="4">
        <f t="shared" si="1"/>
        <v>2997.125</v>
      </c>
      <c r="L645" s="4">
        <f t="shared" si="2"/>
        <v>3.608791759</v>
      </c>
    </row>
    <row r="646">
      <c r="A646" s="3" t="s">
        <v>83</v>
      </c>
      <c r="B646" s="3">
        <v>11.4</v>
      </c>
      <c r="C646" s="3">
        <v>17.0</v>
      </c>
      <c r="D646" s="3">
        <v>104.0</v>
      </c>
      <c r="E646" s="3">
        <v>3.2</v>
      </c>
      <c r="F646" s="3">
        <v>33.52</v>
      </c>
      <c r="G646" s="3">
        <v>42.53</v>
      </c>
      <c r="H646" s="3">
        <v>0.0</v>
      </c>
      <c r="I646" s="3">
        <v>0.01</v>
      </c>
      <c r="J646" s="3">
        <v>0.0</v>
      </c>
      <c r="K646" s="4">
        <f t="shared" si="1"/>
        <v>2932.3913</v>
      </c>
      <c r="L646" s="4">
        <f t="shared" si="2"/>
        <v>3.688457267</v>
      </c>
    </row>
    <row r="647">
      <c r="A647" s="3" t="s">
        <v>83</v>
      </c>
      <c r="B647" s="3">
        <v>11.4</v>
      </c>
      <c r="C647" s="3">
        <v>17.78</v>
      </c>
      <c r="D647" s="3">
        <v>105.0</v>
      </c>
      <c r="E647" s="3">
        <v>3.4</v>
      </c>
      <c r="F647" s="3">
        <v>32.34</v>
      </c>
      <c r="G647" s="3">
        <v>41.49</v>
      </c>
      <c r="H647" s="3">
        <v>0.0</v>
      </c>
      <c r="I647" s="3">
        <v>0.01</v>
      </c>
      <c r="J647" s="3">
        <v>0.0</v>
      </c>
      <c r="K647" s="4">
        <f t="shared" si="1"/>
        <v>2767.2957</v>
      </c>
      <c r="L647" s="4">
        <f t="shared" si="2"/>
        <v>3.984033943</v>
      </c>
    </row>
    <row r="648">
      <c r="A648" s="3" t="s">
        <v>83</v>
      </c>
      <c r="B648" s="3">
        <v>11.4</v>
      </c>
      <c r="C648" s="3">
        <v>18.65</v>
      </c>
      <c r="D648" s="3">
        <v>109.0</v>
      </c>
      <c r="E648" s="3">
        <v>3.9</v>
      </c>
      <c r="F648" s="3">
        <v>31.65</v>
      </c>
      <c r="G648" s="3">
        <v>40.42</v>
      </c>
      <c r="H648" s="3">
        <v>0.0</v>
      </c>
      <c r="I648" s="3">
        <v>0.0</v>
      </c>
      <c r="J648" s="3">
        <v>0.0</v>
      </c>
      <c r="K648" s="4">
        <f t="shared" si="1"/>
        <v>2635.4989</v>
      </c>
      <c r="L648" s="4">
        <f t="shared" si="2"/>
        <v>4.508064868</v>
      </c>
    </row>
    <row r="649">
      <c r="A649" s="3" t="s">
        <v>83</v>
      </c>
      <c r="B649" s="3">
        <v>11.4</v>
      </c>
      <c r="C649" s="3">
        <v>19.52</v>
      </c>
      <c r="D649" s="3">
        <v>110.0</v>
      </c>
      <c r="E649" s="3">
        <v>3.8</v>
      </c>
      <c r="F649" s="3">
        <v>29.88</v>
      </c>
      <c r="G649" s="3">
        <v>39.42</v>
      </c>
      <c r="H649" s="3">
        <v>0.0</v>
      </c>
      <c r="I649" s="3">
        <v>0.0</v>
      </c>
      <c r="J649" s="3">
        <v>0.0</v>
      </c>
      <c r="K649" s="4">
        <f t="shared" si="1"/>
        <v>2446.7508</v>
      </c>
      <c r="L649" s="4">
        <f t="shared" si="2"/>
        <v>4.945334032</v>
      </c>
    </row>
    <row r="650">
      <c r="A650" s="3" t="s">
        <v>83</v>
      </c>
      <c r="B650" s="3">
        <v>11.4</v>
      </c>
      <c r="C650" s="3">
        <v>20.29</v>
      </c>
      <c r="D650" s="3">
        <v>107.0</v>
      </c>
      <c r="E650" s="3">
        <v>3.8</v>
      </c>
      <c r="F650" s="3">
        <v>29.39</v>
      </c>
      <c r="G650" s="3">
        <v>38.61</v>
      </c>
      <c r="H650" s="3">
        <v>0.0</v>
      </c>
      <c r="I650" s="3">
        <v>0.0</v>
      </c>
      <c r="J650" s="3">
        <v>0.0</v>
      </c>
      <c r="K650" s="4">
        <f t="shared" si="1"/>
        <v>2354.5042</v>
      </c>
      <c r="L650" s="4">
        <f t="shared" si="2"/>
        <v>4.862594851</v>
      </c>
    </row>
    <row r="651">
      <c r="A651" s="3" t="s">
        <v>83</v>
      </c>
      <c r="B651" s="3">
        <v>11.4</v>
      </c>
      <c r="C651" s="3">
        <v>21.16</v>
      </c>
      <c r="D651" s="3">
        <v>106.0</v>
      </c>
      <c r="E651" s="3">
        <v>3.8</v>
      </c>
      <c r="F651" s="3">
        <v>29.0</v>
      </c>
      <c r="G651" s="3">
        <v>37.75</v>
      </c>
      <c r="H651" s="3">
        <v>0.0</v>
      </c>
      <c r="I651" s="3">
        <v>0.0</v>
      </c>
      <c r="J651" s="3">
        <v>0.0</v>
      </c>
      <c r="K651" s="4">
        <f t="shared" si="1"/>
        <v>2266.0625</v>
      </c>
      <c r="L651" s="4">
        <f t="shared" si="2"/>
        <v>4.958380451</v>
      </c>
    </row>
    <row r="652">
      <c r="A652" s="3" t="s">
        <v>83</v>
      </c>
      <c r="B652" s="3">
        <v>11.4</v>
      </c>
      <c r="C652" s="3">
        <v>21.93</v>
      </c>
      <c r="D652" s="3">
        <v>106.0</v>
      </c>
      <c r="E652" s="3">
        <v>4.0</v>
      </c>
      <c r="F652" s="3">
        <v>27.91</v>
      </c>
      <c r="G652" s="3">
        <v>37.04</v>
      </c>
      <c r="H652" s="3">
        <v>0.0</v>
      </c>
      <c r="I652" s="3">
        <v>0.0</v>
      </c>
      <c r="J652" s="3">
        <v>0.0</v>
      </c>
      <c r="K652" s="4">
        <f t="shared" si="1"/>
        <v>2150.9297</v>
      </c>
      <c r="L652" s="4">
        <f t="shared" si="2"/>
        <v>5.223787649</v>
      </c>
    </row>
    <row r="653">
      <c r="A653" s="3" t="s">
        <v>83</v>
      </c>
      <c r="B653" s="3">
        <v>11.4</v>
      </c>
      <c r="C653" s="3">
        <v>22.8</v>
      </c>
      <c r="D653" s="3">
        <v>108.0</v>
      </c>
      <c r="E653" s="3">
        <v>3.4</v>
      </c>
      <c r="F653" s="3">
        <v>27.03</v>
      </c>
      <c r="G653" s="3">
        <v>36.29</v>
      </c>
      <c r="H653" s="3">
        <v>0.0</v>
      </c>
      <c r="I653" s="3">
        <v>0.0</v>
      </c>
      <c r="J653" s="3">
        <v>0.0</v>
      </c>
      <c r="K653" s="4">
        <f t="shared" si="1"/>
        <v>2047.585</v>
      </c>
      <c r="L653" s="4">
        <f t="shared" si="2"/>
        <v>5.696466813</v>
      </c>
    </row>
    <row r="654">
      <c r="A654" s="3" t="s">
        <v>83</v>
      </c>
      <c r="B654" s="3">
        <v>11.4</v>
      </c>
      <c r="C654" s="3">
        <v>23.67</v>
      </c>
      <c r="D654" s="3">
        <v>109.0</v>
      </c>
      <c r="E654" s="3">
        <v>3.2</v>
      </c>
      <c r="F654" s="3">
        <v>25.65</v>
      </c>
      <c r="G654" s="3">
        <v>35.58</v>
      </c>
      <c r="H654" s="3">
        <v>0.0</v>
      </c>
      <c r="I654" s="3">
        <v>0.0</v>
      </c>
      <c r="J654" s="3">
        <v>0.0</v>
      </c>
      <c r="K654" s="4">
        <f t="shared" si="1"/>
        <v>1923.8589</v>
      </c>
      <c r="L654" s="4">
        <f t="shared" si="2"/>
        <v>6.175608825</v>
      </c>
    </row>
    <row r="655">
      <c r="A655" s="3" t="s">
        <v>83</v>
      </c>
      <c r="B655" s="3">
        <v>11.4</v>
      </c>
      <c r="C655" s="3">
        <v>24.44</v>
      </c>
      <c r="D655" s="3">
        <v>110.0</v>
      </c>
      <c r="E655" s="3">
        <v>3.3</v>
      </c>
      <c r="F655" s="3">
        <v>26.24</v>
      </c>
      <c r="G655" s="3">
        <v>34.99</v>
      </c>
      <c r="H655" s="3">
        <v>0.0</v>
      </c>
      <c r="I655" s="3">
        <v>0.0</v>
      </c>
      <c r="J655" s="3">
        <v>0.0</v>
      </c>
      <c r="K655" s="4">
        <f t="shared" si="1"/>
        <v>1912.8377</v>
      </c>
      <c r="L655" s="4">
        <f t="shared" si="2"/>
        <v>6.325680428</v>
      </c>
    </row>
    <row r="656">
      <c r="A656" s="3" t="s">
        <v>83</v>
      </c>
      <c r="B656" s="3">
        <v>11.4</v>
      </c>
      <c r="C656" s="3">
        <v>25.31</v>
      </c>
      <c r="D656" s="3">
        <v>110.0</v>
      </c>
      <c r="E656" s="3">
        <v>2.7</v>
      </c>
      <c r="F656" s="3">
        <v>25.85</v>
      </c>
      <c r="G656" s="3">
        <v>34.35</v>
      </c>
      <c r="H656" s="3">
        <v>0.0</v>
      </c>
      <c r="I656" s="3">
        <v>0.0</v>
      </c>
      <c r="J656" s="3">
        <v>0.0</v>
      </c>
      <c r="K656" s="4">
        <f t="shared" si="1"/>
        <v>1848.145</v>
      </c>
      <c r="L656" s="4">
        <f t="shared" si="2"/>
        <v>6.547105341</v>
      </c>
    </row>
    <row r="657">
      <c r="A657" s="3" t="s">
        <v>83</v>
      </c>
      <c r="B657" s="3">
        <v>11.4</v>
      </c>
      <c r="C657" s="3">
        <v>26.08</v>
      </c>
      <c r="D657" s="3">
        <v>110.0</v>
      </c>
      <c r="E657" s="3">
        <v>2.4</v>
      </c>
      <c r="F657" s="3">
        <v>25.26</v>
      </c>
      <c r="G657" s="3">
        <v>33.82</v>
      </c>
      <c r="H657" s="3">
        <v>0.0</v>
      </c>
      <c r="I657" s="3">
        <v>0.0</v>
      </c>
      <c r="J657" s="3">
        <v>0.0</v>
      </c>
      <c r="K657" s="4">
        <f t="shared" si="1"/>
        <v>1781.86</v>
      </c>
      <c r="L657" s="4">
        <f t="shared" si="2"/>
        <v>6.790656954</v>
      </c>
    </row>
    <row r="658">
      <c r="A658" s="3" t="s">
        <v>83</v>
      </c>
      <c r="B658" s="3">
        <v>11.4</v>
      </c>
      <c r="C658" s="3">
        <v>26.95</v>
      </c>
      <c r="D658" s="3">
        <v>113.0</v>
      </c>
      <c r="E658" s="3">
        <v>2.5</v>
      </c>
      <c r="F658" s="3">
        <v>26.83</v>
      </c>
      <c r="G658" s="3">
        <v>33.25</v>
      </c>
      <c r="H658" s="3">
        <v>0.0</v>
      </c>
      <c r="I658" s="3">
        <v>0.0</v>
      </c>
      <c r="J658" s="3">
        <v>0.0</v>
      </c>
      <c r="K658" s="4">
        <f t="shared" si="1"/>
        <v>1825.4114</v>
      </c>
      <c r="L658" s="4">
        <f t="shared" si="2"/>
        <v>6.995135453</v>
      </c>
    </row>
    <row r="659">
      <c r="A659" s="3" t="s">
        <v>83</v>
      </c>
      <c r="B659" s="3">
        <v>11.4</v>
      </c>
      <c r="C659" s="3">
        <v>27.73</v>
      </c>
      <c r="D659" s="3">
        <v>114.0</v>
      </c>
      <c r="E659" s="3">
        <v>2.2</v>
      </c>
      <c r="F659" s="3">
        <v>30.76</v>
      </c>
      <c r="G659" s="3">
        <v>32.76</v>
      </c>
      <c r="H659" s="3">
        <v>0.0</v>
      </c>
      <c r="I659" s="3">
        <v>0.0</v>
      </c>
      <c r="J659" s="3">
        <v>0.0</v>
      </c>
      <c r="K659" s="4">
        <f t="shared" si="1"/>
        <v>2019.3952</v>
      </c>
      <c r="L659" s="4">
        <f t="shared" si="2"/>
        <v>6.43559022</v>
      </c>
    </row>
    <row r="660">
      <c r="A660" s="3" t="s">
        <v>83</v>
      </c>
      <c r="B660" s="3">
        <v>11.4</v>
      </c>
      <c r="C660" s="3">
        <v>28.6</v>
      </c>
      <c r="D660" s="3">
        <v>112.0</v>
      </c>
      <c r="E660" s="3">
        <v>1.7</v>
      </c>
      <c r="F660" s="3">
        <v>31.75</v>
      </c>
      <c r="G660" s="3">
        <v>32.24</v>
      </c>
      <c r="H660" s="3">
        <v>0.0</v>
      </c>
      <c r="I660" s="3">
        <v>0.0</v>
      </c>
      <c r="J660" s="3">
        <v>0.0</v>
      </c>
      <c r="K660" s="4">
        <f t="shared" si="1"/>
        <v>2047.4801</v>
      </c>
      <c r="L660" s="4">
        <f t="shared" si="2"/>
        <v>6.126555272</v>
      </c>
    </row>
    <row r="661">
      <c r="A661" s="3" t="s">
        <v>83</v>
      </c>
      <c r="B661" s="3">
        <v>11.4</v>
      </c>
      <c r="C661" s="3">
        <v>29.47</v>
      </c>
      <c r="D661" s="3">
        <v>113.0</v>
      </c>
      <c r="E661" s="3">
        <v>1.8</v>
      </c>
      <c r="F661" s="3">
        <v>34.6</v>
      </c>
      <c r="G661" s="3">
        <v>31.75</v>
      </c>
      <c r="H661" s="3">
        <v>0.0</v>
      </c>
      <c r="I661" s="3">
        <v>0.0</v>
      </c>
      <c r="J661" s="3">
        <v>0.0</v>
      </c>
      <c r="K661" s="4">
        <f t="shared" si="1"/>
        <v>2205.2225</v>
      </c>
      <c r="L661" s="4">
        <f t="shared" si="2"/>
        <v>5.790345419</v>
      </c>
    </row>
    <row r="662">
      <c r="A662" s="3" t="s">
        <v>83</v>
      </c>
      <c r="B662" s="3">
        <v>11.4</v>
      </c>
      <c r="C662" s="3">
        <v>30.24</v>
      </c>
      <c r="D662" s="3">
        <v>115.0</v>
      </c>
      <c r="E662" s="3">
        <v>1.6</v>
      </c>
      <c r="F662" s="3">
        <v>37.45</v>
      </c>
      <c r="G662" s="3">
        <v>31.33</v>
      </c>
      <c r="H662" s="3">
        <v>0.0</v>
      </c>
      <c r="I662" s="3">
        <v>0.0</v>
      </c>
      <c r="J662" s="3">
        <v>0.0</v>
      </c>
      <c r="K662" s="4">
        <f t="shared" si="1"/>
        <v>2384.0714</v>
      </c>
      <c r="L662" s="4">
        <f t="shared" si="2"/>
        <v>5.547233191</v>
      </c>
    </row>
    <row r="663">
      <c r="A663" s="3" t="s">
        <v>84</v>
      </c>
      <c r="B663" s="3">
        <v>37.0</v>
      </c>
      <c r="C663" s="3">
        <v>0.35</v>
      </c>
      <c r="D663" s="3">
        <v>20.9</v>
      </c>
      <c r="E663" s="3">
        <v>9.81</v>
      </c>
      <c r="F663" s="3">
        <v>-0.82</v>
      </c>
      <c r="G663" s="3">
        <v>48.76</v>
      </c>
      <c r="H663" s="3">
        <v>0.0</v>
      </c>
      <c r="I663" s="3">
        <v>1540.43</v>
      </c>
      <c r="J663" s="3">
        <v>0.0</v>
      </c>
      <c r="K663" s="4">
        <f t="shared" si="1"/>
        <v>2378.21</v>
      </c>
      <c r="L663" s="4">
        <f t="shared" si="2"/>
        <v>0.1836717531</v>
      </c>
    </row>
    <row r="664">
      <c r="A664" s="3" t="s">
        <v>84</v>
      </c>
      <c r="B664" s="3">
        <v>37.0</v>
      </c>
      <c r="C664" s="3">
        <v>1.07</v>
      </c>
      <c r="D664" s="3">
        <v>61.7</v>
      </c>
      <c r="E664" s="3">
        <v>8.19</v>
      </c>
      <c r="F664" s="3">
        <v>-2.5</v>
      </c>
      <c r="G664" s="3">
        <v>98.26</v>
      </c>
      <c r="H664" s="3">
        <v>0.0</v>
      </c>
      <c r="I664" s="3">
        <v>772.11</v>
      </c>
      <c r="J664" s="3">
        <v>0.0</v>
      </c>
      <c r="K664" s="4">
        <f t="shared" si="1"/>
        <v>9661.2776</v>
      </c>
      <c r="L664" s="4">
        <f t="shared" si="2"/>
        <v>0.3940358778</v>
      </c>
    </row>
    <row r="665">
      <c r="A665" s="3" t="s">
        <v>84</v>
      </c>
      <c r="B665" s="3">
        <v>37.0</v>
      </c>
      <c r="C665" s="3">
        <v>1.6</v>
      </c>
      <c r="D665" s="3">
        <v>81.3</v>
      </c>
      <c r="E665" s="3">
        <v>4.32</v>
      </c>
      <c r="F665" s="3">
        <v>-3.73</v>
      </c>
      <c r="G665" s="3">
        <v>114.22</v>
      </c>
      <c r="H665" s="3">
        <v>0.0</v>
      </c>
      <c r="I665" s="3">
        <v>533.24</v>
      </c>
      <c r="J665" s="3">
        <v>0.0</v>
      </c>
      <c r="K665" s="4">
        <f t="shared" si="1"/>
        <v>13060.1213</v>
      </c>
      <c r="L665" s="4">
        <f t="shared" si="2"/>
        <v>0.5060971371</v>
      </c>
    </row>
    <row r="666">
      <c r="A666" s="3" t="s">
        <v>84</v>
      </c>
      <c r="B666" s="3">
        <v>37.0</v>
      </c>
      <c r="C666" s="3">
        <v>3.7</v>
      </c>
      <c r="D666" s="3">
        <v>124.0</v>
      </c>
      <c r="E666" s="3">
        <v>3.41</v>
      </c>
      <c r="F666" s="3">
        <v>-7.4</v>
      </c>
      <c r="G666" s="3">
        <v>144.04</v>
      </c>
      <c r="H666" s="3">
        <v>0.0</v>
      </c>
      <c r="I666" s="3">
        <v>300.12</v>
      </c>
      <c r="J666" s="3">
        <v>0.0</v>
      </c>
      <c r="K666" s="4">
        <f t="shared" si="1"/>
        <v>20802.2816</v>
      </c>
      <c r="L666" s="4">
        <f t="shared" si="2"/>
        <v>0.7391496902</v>
      </c>
    </row>
    <row r="667">
      <c r="A667" s="3" t="s">
        <v>84</v>
      </c>
      <c r="B667" s="3">
        <v>37.0</v>
      </c>
      <c r="C667" s="3">
        <v>5.09</v>
      </c>
      <c r="D667" s="3">
        <v>156.0</v>
      </c>
      <c r="E667" s="3">
        <v>7.02</v>
      </c>
      <c r="F667" s="3">
        <v>-9.39</v>
      </c>
      <c r="G667" s="3">
        <v>154.24</v>
      </c>
      <c r="H667" s="3">
        <v>0.0</v>
      </c>
      <c r="I667" s="3">
        <v>183.64</v>
      </c>
      <c r="J667" s="3">
        <v>0.0</v>
      </c>
      <c r="K667" s="4">
        <f t="shared" si="1"/>
        <v>23878.1497</v>
      </c>
      <c r="L667" s="4">
        <f t="shared" si="2"/>
        <v>1.019174446</v>
      </c>
    </row>
    <row r="668">
      <c r="A668" s="3" t="s">
        <v>84</v>
      </c>
      <c r="B668" s="3">
        <v>37.0</v>
      </c>
      <c r="C668" s="3">
        <v>6.61</v>
      </c>
      <c r="D668" s="3">
        <v>166.0</v>
      </c>
      <c r="E668" s="3">
        <v>6.34</v>
      </c>
      <c r="F668" s="3">
        <v>-10.89</v>
      </c>
      <c r="G668" s="3">
        <v>166.19</v>
      </c>
      <c r="H668" s="3">
        <v>0.0</v>
      </c>
      <c r="I668" s="3">
        <v>152.68</v>
      </c>
      <c r="J668" s="3">
        <v>0.0</v>
      </c>
      <c r="K668" s="4">
        <f t="shared" si="1"/>
        <v>27737.7082</v>
      </c>
      <c r="L668" s="4">
        <f t="shared" si="2"/>
        <v>0.993449055</v>
      </c>
    </row>
    <row r="669">
      <c r="A669" s="3" t="s">
        <v>84</v>
      </c>
      <c r="B669" s="3">
        <v>37.0</v>
      </c>
      <c r="C669" s="3">
        <v>8.17</v>
      </c>
      <c r="D669" s="3">
        <v>165.0</v>
      </c>
      <c r="E669" s="3">
        <v>12.1</v>
      </c>
      <c r="F669" s="3">
        <v>-5.79</v>
      </c>
      <c r="G669" s="3">
        <v>171.87</v>
      </c>
      <c r="H669" s="3">
        <v>0.0</v>
      </c>
      <c r="I669" s="3">
        <v>89.5</v>
      </c>
      <c r="J669" s="3">
        <v>0.0</v>
      </c>
      <c r="K669" s="4">
        <f t="shared" si="1"/>
        <v>29572.821</v>
      </c>
      <c r="L669" s="4">
        <f t="shared" si="2"/>
        <v>0.9206088252</v>
      </c>
    </row>
    <row r="670">
      <c r="A670" s="3" t="s">
        <v>84</v>
      </c>
      <c r="B670" s="3">
        <v>37.0</v>
      </c>
      <c r="C670" s="3">
        <v>9.11</v>
      </c>
      <c r="D670" s="3">
        <v>174.0</v>
      </c>
      <c r="E670" s="3">
        <v>4.84</v>
      </c>
      <c r="F670" s="3">
        <v>9.64</v>
      </c>
      <c r="G670" s="3">
        <v>169.05</v>
      </c>
      <c r="H670" s="3">
        <v>0.0</v>
      </c>
      <c r="I670" s="3">
        <v>67.81</v>
      </c>
      <c r="J670" s="3">
        <v>0.0</v>
      </c>
      <c r="K670" s="4">
        <f t="shared" si="1"/>
        <v>28670.8321</v>
      </c>
      <c r="L670" s="4">
        <f t="shared" si="2"/>
        <v>1.055986094</v>
      </c>
    </row>
    <row r="671">
      <c r="A671" s="3" t="s">
        <v>84</v>
      </c>
      <c r="B671" s="3">
        <v>37.0</v>
      </c>
      <c r="C671" s="3">
        <v>10.37</v>
      </c>
      <c r="D671" s="3">
        <v>164.0</v>
      </c>
      <c r="E671" s="3">
        <v>5.86</v>
      </c>
      <c r="F671" s="3">
        <v>17.85</v>
      </c>
      <c r="G671" s="3">
        <v>166.21</v>
      </c>
      <c r="H671" s="3">
        <v>0.0</v>
      </c>
      <c r="I671" s="3">
        <v>59.0</v>
      </c>
      <c r="J671" s="3">
        <v>0.0</v>
      </c>
      <c r="K671" s="4">
        <f t="shared" si="1"/>
        <v>27944.3866</v>
      </c>
      <c r="L671" s="4">
        <f t="shared" si="2"/>
        <v>0.9624831056</v>
      </c>
    </row>
    <row r="672">
      <c r="A672" s="3" t="s">
        <v>84</v>
      </c>
      <c r="B672" s="3">
        <v>37.0</v>
      </c>
      <c r="C672" s="3">
        <v>11.28</v>
      </c>
      <c r="D672" s="3">
        <v>176.0</v>
      </c>
      <c r="E672" s="3">
        <v>7.35</v>
      </c>
      <c r="F672" s="3">
        <v>22.68</v>
      </c>
      <c r="G672" s="3">
        <v>167.76</v>
      </c>
      <c r="H672" s="3">
        <v>0.0</v>
      </c>
      <c r="I672" s="3">
        <v>48.87</v>
      </c>
      <c r="J672" s="3">
        <v>0.0</v>
      </c>
      <c r="K672" s="4">
        <f t="shared" si="1"/>
        <v>28657.8</v>
      </c>
      <c r="L672" s="4">
        <f t="shared" si="2"/>
        <v>1.080892462</v>
      </c>
    </row>
    <row r="673">
      <c r="A673" s="3" t="s">
        <v>84</v>
      </c>
      <c r="B673" s="3">
        <v>37.0</v>
      </c>
      <c r="C673" s="3">
        <v>13.62</v>
      </c>
      <c r="D673" s="3">
        <v>174.0</v>
      </c>
      <c r="E673" s="3">
        <v>3.28</v>
      </c>
      <c r="F673" s="3">
        <v>31.86</v>
      </c>
      <c r="G673" s="3">
        <v>164.88</v>
      </c>
      <c r="H673" s="3">
        <v>0.0</v>
      </c>
      <c r="I673" s="3">
        <v>24.37</v>
      </c>
      <c r="J673" s="3">
        <v>0.0</v>
      </c>
      <c r="K673" s="4">
        <f t="shared" si="1"/>
        <v>28200.474</v>
      </c>
      <c r="L673" s="4">
        <f t="shared" si="2"/>
        <v>1.073598976</v>
      </c>
    </row>
    <row r="674">
      <c r="A674" s="3" t="s">
        <v>84</v>
      </c>
      <c r="B674" s="3">
        <v>37.0</v>
      </c>
      <c r="C674" s="3">
        <v>15.04</v>
      </c>
      <c r="D674" s="3">
        <v>168.0</v>
      </c>
      <c r="E674" s="3">
        <v>2.23</v>
      </c>
      <c r="F674" s="3">
        <v>35.59</v>
      </c>
      <c r="G674" s="3">
        <v>159.31</v>
      </c>
      <c r="H674" s="3">
        <v>0.0</v>
      </c>
      <c r="I674" s="3">
        <v>14.96</v>
      </c>
      <c r="J674" s="3">
        <v>0.0</v>
      </c>
      <c r="K674" s="4">
        <f t="shared" si="1"/>
        <v>26646.3242</v>
      </c>
      <c r="L674" s="4">
        <f t="shared" si="2"/>
        <v>1.059208009</v>
      </c>
    </row>
    <row r="675">
      <c r="A675" s="3" t="s">
        <v>84</v>
      </c>
      <c r="B675" s="3">
        <v>37.0</v>
      </c>
      <c r="C675" s="3">
        <v>16.37</v>
      </c>
      <c r="D675" s="3">
        <v>166.0</v>
      </c>
      <c r="E675" s="3">
        <v>2.23</v>
      </c>
      <c r="F675" s="3">
        <v>38.11</v>
      </c>
      <c r="G675" s="3">
        <v>153.0</v>
      </c>
      <c r="H675" s="3">
        <v>0.0</v>
      </c>
      <c r="I675" s="3">
        <v>8.69</v>
      </c>
      <c r="J675" s="3">
        <v>0.0</v>
      </c>
      <c r="K675" s="4">
        <f t="shared" si="1"/>
        <v>24861.3721</v>
      </c>
      <c r="L675" s="4">
        <f t="shared" si="2"/>
        <v>1.10838613</v>
      </c>
    </row>
    <row r="676">
      <c r="A676" s="3" t="s">
        <v>84</v>
      </c>
      <c r="B676" s="3">
        <v>37.0</v>
      </c>
      <c r="C676" s="3">
        <v>17.59</v>
      </c>
      <c r="D676" s="3">
        <v>167.0</v>
      </c>
      <c r="E676" s="3">
        <v>4.59</v>
      </c>
      <c r="F676" s="3">
        <v>40.13</v>
      </c>
      <c r="G676" s="3">
        <v>146.12</v>
      </c>
      <c r="H676" s="3">
        <v>0.0</v>
      </c>
      <c r="I676" s="3">
        <v>5.36</v>
      </c>
      <c r="J676" s="3">
        <v>0.0</v>
      </c>
      <c r="K676" s="4">
        <f t="shared" si="1"/>
        <v>22961.4713</v>
      </c>
      <c r="L676" s="4">
        <f t="shared" si="2"/>
        <v>1.214599868</v>
      </c>
    </row>
    <row r="677">
      <c r="A677" s="3" t="s">
        <v>84</v>
      </c>
      <c r="B677" s="3">
        <v>37.0</v>
      </c>
      <c r="C677" s="3">
        <v>18.8</v>
      </c>
      <c r="D677" s="3">
        <v>167.0</v>
      </c>
      <c r="E677" s="3">
        <v>5.3</v>
      </c>
      <c r="F677" s="3">
        <v>41.74</v>
      </c>
      <c r="G677" s="3">
        <v>140.2</v>
      </c>
      <c r="H677" s="3">
        <v>0.0</v>
      </c>
      <c r="I677" s="3">
        <v>3.94</v>
      </c>
      <c r="J677" s="3">
        <v>0.0</v>
      </c>
      <c r="K677" s="4">
        <f t="shared" si="1"/>
        <v>21398.2676</v>
      </c>
      <c r="L677" s="4">
        <f t="shared" si="2"/>
        <v>1.303329808</v>
      </c>
    </row>
    <row r="678">
      <c r="A678" s="3" t="s">
        <v>84</v>
      </c>
      <c r="B678" s="3">
        <v>37.0</v>
      </c>
      <c r="C678" s="3">
        <v>20.13</v>
      </c>
      <c r="D678" s="3">
        <v>165.0</v>
      </c>
      <c r="E678" s="3">
        <v>3.48</v>
      </c>
      <c r="F678" s="3">
        <v>42.85</v>
      </c>
      <c r="G678" s="3">
        <v>134.43</v>
      </c>
      <c r="H678" s="3">
        <v>0.0</v>
      </c>
      <c r="I678" s="3">
        <v>2.74</v>
      </c>
      <c r="J678" s="3">
        <v>0.0</v>
      </c>
      <c r="K678" s="4">
        <f t="shared" si="1"/>
        <v>19907.5474</v>
      </c>
      <c r="L678" s="4">
        <f t="shared" si="2"/>
        <v>1.367571778</v>
      </c>
    </row>
    <row r="679">
      <c r="A679" s="3" t="s">
        <v>84</v>
      </c>
      <c r="B679" s="3">
        <v>37.0</v>
      </c>
      <c r="C679" s="3">
        <v>21.35</v>
      </c>
      <c r="D679" s="3">
        <v>165.0</v>
      </c>
      <c r="E679" s="3">
        <v>3.12</v>
      </c>
      <c r="F679" s="3">
        <v>43.55</v>
      </c>
      <c r="G679" s="3">
        <v>129.7</v>
      </c>
      <c r="H679" s="3">
        <v>0.0</v>
      </c>
      <c r="I679" s="3">
        <v>2.05</v>
      </c>
      <c r="J679" s="3">
        <v>0.0</v>
      </c>
      <c r="K679" s="4">
        <f t="shared" si="1"/>
        <v>18718.6925</v>
      </c>
      <c r="L679" s="4">
        <f t="shared" si="2"/>
        <v>1.454428508</v>
      </c>
    </row>
    <row r="680">
      <c r="A680" s="3" t="s">
        <v>84</v>
      </c>
      <c r="B680" s="3">
        <v>37.0</v>
      </c>
      <c r="C680" s="3">
        <v>22.57</v>
      </c>
      <c r="D680" s="3">
        <v>165.0</v>
      </c>
      <c r="E680" s="3">
        <v>2.39</v>
      </c>
      <c r="F680" s="3">
        <v>44.16</v>
      </c>
      <c r="G680" s="3">
        <v>125.69</v>
      </c>
      <c r="H680" s="3">
        <v>0.0</v>
      </c>
      <c r="I680" s="3">
        <v>1.61</v>
      </c>
      <c r="J680" s="3">
        <v>0.0</v>
      </c>
      <c r="K680" s="4">
        <f t="shared" si="1"/>
        <v>17748.0817</v>
      </c>
      <c r="L680" s="4">
        <f t="shared" si="2"/>
        <v>1.533968598</v>
      </c>
    </row>
    <row r="681">
      <c r="A681" s="3" t="s">
        <v>84</v>
      </c>
      <c r="B681" s="3">
        <v>37.0</v>
      </c>
      <c r="C681" s="3">
        <v>23.89</v>
      </c>
      <c r="D681" s="3">
        <v>165.0</v>
      </c>
      <c r="E681" s="3">
        <v>2.23</v>
      </c>
      <c r="F681" s="3">
        <v>45.07</v>
      </c>
      <c r="G681" s="3">
        <v>121.68</v>
      </c>
      <c r="H681" s="3">
        <v>0.0</v>
      </c>
      <c r="I681" s="3">
        <v>1.08</v>
      </c>
      <c r="J681" s="3">
        <v>0.0</v>
      </c>
      <c r="K681" s="4">
        <f t="shared" si="1"/>
        <v>16837.3273</v>
      </c>
      <c r="L681" s="4">
        <f t="shared" si="2"/>
        <v>1.616943088</v>
      </c>
    </row>
    <row r="682">
      <c r="A682" s="3" t="s">
        <v>84</v>
      </c>
      <c r="B682" s="3">
        <v>37.0</v>
      </c>
      <c r="C682" s="3">
        <v>25.11</v>
      </c>
      <c r="D682" s="3">
        <v>163.0</v>
      </c>
      <c r="E682" s="3">
        <v>2.23</v>
      </c>
      <c r="F682" s="3">
        <v>46.68</v>
      </c>
      <c r="G682" s="3">
        <v>118.15</v>
      </c>
      <c r="H682" s="3">
        <v>0.0</v>
      </c>
      <c r="I682" s="3">
        <v>0.76</v>
      </c>
      <c r="J682" s="3">
        <v>0.0</v>
      </c>
      <c r="K682" s="4">
        <f t="shared" si="1"/>
        <v>16138.4449</v>
      </c>
      <c r="L682" s="4">
        <f t="shared" si="2"/>
        <v>1.646317236</v>
      </c>
    </row>
    <row r="683">
      <c r="A683" s="3" t="s">
        <v>84</v>
      </c>
      <c r="B683" s="3">
        <v>37.0</v>
      </c>
      <c r="C683" s="3">
        <v>26.33</v>
      </c>
      <c r="D683" s="3">
        <v>162.0</v>
      </c>
      <c r="E683" s="3">
        <v>2.23</v>
      </c>
      <c r="F683" s="3">
        <v>48.39</v>
      </c>
      <c r="G683" s="3">
        <v>114.89</v>
      </c>
      <c r="H683" s="3">
        <v>0.0</v>
      </c>
      <c r="I683" s="3">
        <v>0.54</v>
      </c>
      <c r="J683" s="3">
        <v>0.0</v>
      </c>
      <c r="K683" s="4">
        <f t="shared" si="1"/>
        <v>15541.3042</v>
      </c>
      <c r="L683" s="4">
        <f t="shared" si="2"/>
        <v>1.688661367</v>
      </c>
    </row>
    <row r="684">
      <c r="A684" s="3" t="s">
        <v>84</v>
      </c>
      <c r="B684" s="3">
        <v>37.0</v>
      </c>
      <c r="C684" s="3">
        <v>27.65</v>
      </c>
      <c r="D684" s="3">
        <v>162.0</v>
      </c>
      <c r="E684" s="3">
        <v>2.23</v>
      </c>
      <c r="F684" s="3">
        <v>50.01</v>
      </c>
      <c r="G684" s="3">
        <v>111.67</v>
      </c>
      <c r="H684" s="3">
        <v>0.0</v>
      </c>
      <c r="I684" s="3">
        <v>0.37</v>
      </c>
      <c r="J684" s="3">
        <v>0.0</v>
      </c>
      <c r="K684" s="4">
        <f t="shared" si="1"/>
        <v>14971.189</v>
      </c>
      <c r="L684" s="4">
        <f t="shared" si="2"/>
        <v>1.752966982</v>
      </c>
    </row>
    <row r="685">
      <c r="A685" s="3" t="s">
        <v>84</v>
      </c>
      <c r="B685" s="3">
        <v>37.0</v>
      </c>
      <c r="C685" s="3">
        <v>28.87</v>
      </c>
      <c r="D685" s="3">
        <v>162.0</v>
      </c>
      <c r="E685" s="3">
        <v>2.23</v>
      </c>
      <c r="F685" s="3">
        <v>51.42</v>
      </c>
      <c r="G685" s="3">
        <v>108.99</v>
      </c>
      <c r="H685" s="3">
        <v>0.0</v>
      </c>
      <c r="I685" s="3">
        <v>0.26</v>
      </c>
      <c r="J685" s="3">
        <v>0.0</v>
      </c>
      <c r="K685" s="4">
        <f t="shared" si="1"/>
        <v>14522.8365</v>
      </c>
      <c r="L685" s="4">
        <f t="shared" si="2"/>
        <v>1.807085</v>
      </c>
    </row>
    <row r="686">
      <c r="A686" s="3" t="s">
        <v>84</v>
      </c>
      <c r="B686" s="3">
        <v>37.0</v>
      </c>
      <c r="C686" s="3">
        <v>30.09</v>
      </c>
      <c r="D686" s="3">
        <v>160.0</v>
      </c>
      <c r="E686" s="3">
        <v>2.23</v>
      </c>
      <c r="F686" s="3">
        <v>52.53</v>
      </c>
      <c r="G686" s="3">
        <v>106.1</v>
      </c>
      <c r="H686" s="3">
        <v>0.0</v>
      </c>
      <c r="I686" s="3">
        <v>0.0</v>
      </c>
      <c r="J686" s="3">
        <v>0.0</v>
      </c>
      <c r="K686" s="4">
        <f t="shared" si="1"/>
        <v>14016.6109</v>
      </c>
      <c r="L686" s="4">
        <f t="shared" si="2"/>
        <v>1.826404413</v>
      </c>
    </row>
    <row r="687">
      <c r="A687" s="3" t="s">
        <v>14</v>
      </c>
      <c r="B687" s="3">
        <v>5.73</v>
      </c>
      <c r="C687" s="3">
        <v>0.22</v>
      </c>
      <c r="D687" s="3">
        <v>50.2</v>
      </c>
      <c r="E687" s="3">
        <v>7.5</v>
      </c>
      <c r="F687" s="3">
        <v>5.62</v>
      </c>
      <c r="G687" s="3">
        <v>33.24</v>
      </c>
      <c r="H687" s="3">
        <v>0.0</v>
      </c>
      <c r="I687" s="3">
        <v>512.85</v>
      </c>
      <c r="J687" s="3">
        <v>0.0</v>
      </c>
      <c r="K687" s="4">
        <f t="shared" si="1"/>
        <v>1136.482</v>
      </c>
      <c r="L687" s="4">
        <f t="shared" si="2"/>
        <v>2.217404235</v>
      </c>
    </row>
    <row r="688">
      <c r="A688" s="3" t="s">
        <v>14</v>
      </c>
      <c r="B688" s="3">
        <v>5.73</v>
      </c>
      <c r="C688" s="3">
        <v>0.66</v>
      </c>
      <c r="D688" s="3">
        <v>62.2</v>
      </c>
      <c r="E688" s="3">
        <v>7.51</v>
      </c>
      <c r="F688" s="3">
        <v>13.36</v>
      </c>
      <c r="G688" s="3">
        <v>44.88</v>
      </c>
      <c r="H688" s="3">
        <v>0.0</v>
      </c>
      <c r="I688" s="3">
        <v>84.05</v>
      </c>
      <c r="J688" s="3">
        <v>0.0</v>
      </c>
      <c r="K688" s="4">
        <f t="shared" si="1"/>
        <v>2192.704</v>
      </c>
      <c r="L688" s="4">
        <f t="shared" si="2"/>
        <v>1.764415078</v>
      </c>
    </row>
    <row r="689">
      <c r="A689" s="3" t="s">
        <v>14</v>
      </c>
      <c r="B689" s="3">
        <v>5.73</v>
      </c>
      <c r="C689" s="3">
        <v>1.11</v>
      </c>
      <c r="D689" s="3">
        <v>72.4</v>
      </c>
      <c r="E689" s="3">
        <v>5.35</v>
      </c>
      <c r="F689" s="3">
        <v>17.38</v>
      </c>
      <c r="G689" s="3">
        <v>43.65</v>
      </c>
      <c r="H689" s="3">
        <v>0.0</v>
      </c>
      <c r="I689" s="3">
        <v>25.33</v>
      </c>
      <c r="J689" s="3">
        <v>0.0</v>
      </c>
      <c r="K689" s="4">
        <f t="shared" si="1"/>
        <v>2207.3869</v>
      </c>
      <c r="L689" s="4">
        <f t="shared" si="2"/>
        <v>2.37464488</v>
      </c>
    </row>
    <row r="690">
      <c r="A690" s="3" t="s">
        <v>14</v>
      </c>
      <c r="B690" s="3">
        <v>5.73</v>
      </c>
      <c r="C690" s="3">
        <v>1.55</v>
      </c>
      <c r="D690" s="3">
        <v>73.2</v>
      </c>
      <c r="E690" s="3">
        <v>3.31</v>
      </c>
      <c r="F690" s="3">
        <v>17.38</v>
      </c>
      <c r="G690" s="3">
        <v>39.37</v>
      </c>
      <c r="H690" s="3">
        <v>0.0</v>
      </c>
      <c r="I690" s="3">
        <v>8.23</v>
      </c>
      <c r="J690" s="3">
        <v>0.0</v>
      </c>
      <c r="K690" s="4">
        <f t="shared" si="1"/>
        <v>1852.0613</v>
      </c>
      <c r="L690" s="4">
        <f t="shared" si="2"/>
        <v>2.893122382</v>
      </c>
    </row>
    <row r="691">
      <c r="A691" s="3" t="s">
        <v>14</v>
      </c>
      <c r="B691" s="3">
        <v>5.73</v>
      </c>
      <c r="C691" s="3">
        <v>2.0</v>
      </c>
      <c r="D691" s="3">
        <v>72.9</v>
      </c>
      <c r="E691" s="3">
        <v>3.21</v>
      </c>
      <c r="F691" s="3">
        <v>17.17</v>
      </c>
      <c r="G691" s="3">
        <v>35.3</v>
      </c>
      <c r="H691" s="3">
        <v>0.0</v>
      </c>
      <c r="I691" s="3">
        <v>3.0</v>
      </c>
      <c r="J691" s="3">
        <v>0.0</v>
      </c>
      <c r="K691" s="4">
        <f t="shared" si="1"/>
        <v>1540.8989</v>
      </c>
      <c r="L691" s="4">
        <f t="shared" si="2"/>
        <v>3.448902456</v>
      </c>
    </row>
    <row r="692">
      <c r="A692" s="3" t="s">
        <v>14</v>
      </c>
      <c r="B692" s="3">
        <v>5.73</v>
      </c>
      <c r="C692" s="3">
        <v>2.45</v>
      </c>
      <c r="D692" s="3">
        <v>72.6</v>
      </c>
      <c r="E692" s="3">
        <v>2.73</v>
      </c>
      <c r="F692" s="3">
        <v>16.22</v>
      </c>
      <c r="G692" s="3">
        <v>31.81</v>
      </c>
      <c r="H692" s="3">
        <v>0.0</v>
      </c>
      <c r="I692" s="3">
        <v>0.83</v>
      </c>
      <c r="J692" s="3">
        <v>0.0</v>
      </c>
      <c r="K692" s="4">
        <f t="shared" si="1"/>
        <v>1274.9645</v>
      </c>
      <c r="L692" s="4">
        <f t="shared" si="2"/>
        <v>4.134044517</v>
      </c>
    </row>
    <row r="693">
      <c r="A693" s="3" t="s">
        <v>14</v>
      </c>
      <c r="B693" s="3">
        <v>5.73</v>
      </c>
      <c r="C693" s="3">
        <v>2.89</v>
      </c>
      <c r="D693" s="3">
        <v>71.5</v>
      </c>
      <c r="E693" s="3">
        <v>3.41</v>
      </c>
      <c r="F693" s="3">
        <v>15.26</v>
      </c>
      <c r="G693" s="3">
        <v>28.94</v>
      </c>
      <c r="H693" s="3">
        <v>0.0</v>
      </c>
      <c r="I693" s="3">
        <v>0.29</v>
      </c>
      <c r="J693" s="3">
        <v>0.0</v>
      </c>
      <c r="K693" s="4">
        <f t="shared" si="1"/>
        <v>1070.3912</v>
      </c>
      <c r="L693" s="4">
        <f t="shared" si="2"/>
        <v>4.776057576</v>
      </c>
    </row>
    <row r="694">
      <c r="A694" s="3" t="s">
        <v>14</v>
      </c>
      <c r="B694" s="3">
        <v>5.73</v>
      </c>
      <c r="C694" s="3">
        <v>3.34</v>
      </c>
      <c r="D694" s="3">
        <v>71.1</v>
      </c>
      <c r="E694" s="3">
        <v>4.38</v>
      </c>
      <c r="F694" s="3">
        <v>14.31</v>
      </c>
      <c r="G694" s="3">
        <v>26.66</v>
      </c>
      <c r="H694" s="3">
        <v>0.0</v>
      </c>
      <c r="I694" s="3">
        <v>0.09</v>
      </c>
      <c r="J694" s="3">
        <v>0.0</v>
      </c>
      <c r="K694" s="4">
        <f t="shared" si="1"/>
        <v>915.5317</v>
      </c>
      <c r="L694" s="4">
        <f t="shared" si="2"/>
        <v>5.521611103</v>
      </c>
    </row>
    <row r="695">
      <c r="A695" s="3" t="s">
        <v>14</v>
      </c>
      <c r="B695" s="3">
        <v>5.73</v>
      </c>
      <c r="C695" s="3">
        <v>3.78</v>
      </c>
      <c r="D695" s="3">
        <v>71.4</v>
      </c>
      <c r="E695" s="3">
        <v>4.6</v>
      </c>
      <c r="F695" s="3">
        <v>13.46</v>
      </c>
      <c r="G695" s="3">
        <v>24.88</v>
      </c>
      <c r="H695" s="3">
        <v>0.0</v>
      </c>
      <c r="I695" s="3">
        <v>0.03</v>
      </c>
      <c r="J695" s="3">
        <v>0.0</v>
      </c>
      <c r="K695" s="4">
        <f t="shared" si="1"/>
        <v>800.186</v>
      </c>
      <c r="L695" s="4">
        <f t="shared" si="2"/>
        <v>6.37096875</v>
      </c>
    </row>
    <row r="696">
      <c r="A696" s="3" t="s">
        <v>14</v>
      </c>
      <c r="B696" s="3">
        <v>5.73</v>
      </c>
      <c r="C696" s="3">
        <v>4.22</v>
      </c>
      <c r="D696" s="3">
        <v>71.5</v>
      </c>
      <c r="E696" s="3">
        <v>5.68</v>
      </c>
      <c r="F696" s="3">
        <v>13.36</v>
      </c>
      <c r="G696" s="3">
        <v>23.42</v>
      </c>
      <c r="H696" s="3">
        <v>0.0</v>
      </c>
      <c r="I696" s="3">
        <v>0.01</v>
      </c>
      <c r="J696" s="3">
        <v>0.0</v>
      </c>
      <c r="K696" s="4">
        <f t="shared" si="1"/>
        <v>726.986</v>
      </c>
      <c r="L696" s="4">
        <f t="shared" si="2"/>
        <v>7.032116162</v>
      </c>
    </row>
    <row r="697">
      <c r="A697" s="3" t="s">
        <v>14</v>
      </c>
      <c r="B697" s="3">
        <v>5.73</v>
      </c>
      <c r="C697" s="3">
        <v>4.66</v>
      </c>
      <c r="D697" s="3">
        <v>71.5</v>
      </c>
      <c r="E697" s="3">
        <v>6.2</v>
      </c>
      <c r="F697" s="3">
        <v>13.36</v>
      </c>
      <c r="G697" s="3">
        <v>22.2</v>
      </c>
      <c r="H697" s="3">
        <v>0.0</v>
      </c>
      <c r="I697" s="3">
        <v>0.0</v>
      </c>
      <c r="J697" s="3">
        <v>0.0</v>
      </c>
      <c r="K697" s="4">
        <f t="shared" si="1"/>
        <v>671.3296</v>
      </c>
      <c r="L697" s="4">
        <f t="shared" si="2"/>
        <v>7.615111862</v>
      </c>
    </row>
    <row r="698">
      <c r="A698" s="3" t="s">
        <v>14</v>
      </c>
      <c r="B698" s="3">
        <v>5.73</v>
      </c>
      <c r="C698" s="3">
        <v>5.11</v>
      </c>
      <c r="D698" s="3">
        <v>71.3</v>
      </c>
      <c r="E698" s="3">
        <v>6.43</v>
      </c>
      <c r="F698" s="3">
        <v>13.46</v>
      </c>
      <c r="G698" s="3">
        <v>21.14</v>
      </c>
      <c r="H698" s="3">
        <v>0.0</v>
      </c>
      <c r="I698" s="3">
        <v>0.0</v>
      </c>
      <c r="J698" s="3">
        <v>0.0</v>
      </c>
      <c r="K698" s="4">
        <f t="shared" si="1"/>
        <v>628.0712</v>
      </c>
      <c r="L698" s="4">
        <f t="shared" si="2"/>
        <v>8.094130092</v>
      </c>
    </row>
    <row r="699">
      <c r="A699" s="3" t="s">
        <v>14</v>
      </c>
      <c r="B699" s="3">
        <v>5.73</v>
      </c>
      <c r="C699" s="3">
        <v>5.56</v>
      </c>
      <c r="D699" s="3">
        <v>71.8</v>
      </c>
      <c r="E699" s="3">
        <v>9.68</v>
      </c>
      <c r="F699" s="3">
        <v>13.46</v>
      </c>
      <c r="G699" s="3">
        <v>20.22</v>
      </c>
      <c r="H699" s="3">
        <v>0.0</v>
      </c>
      <c r="I699" s="3">
        <v>0.0</v>
      </c>
      <c r="J699" s="3">
        <v>0.0</v>
      </c>
      <c r="K699" s="4">
        <f t="shared" si="1"/>
        <v>590.02</v>
      </c>
      <c r="L699" s="4">
        <f t="shared" si="2"/>
        <v>8.737398732</v>
      </c>
    </row>
    <row r="700">
      <c r="A700" s="3" t="s">
        <v>14</v>
      </c>
      <c r="B700" s="3">
        <v>5.73</v>
      </c>
      <c r="C700" s="3">
        <v>6.0</v>
      </c>
      <c r="D700" s="3">
        <v>71.5</v>
      </c>
      <c r="E700" s="3">
        <v>10.5</v>
      </c>
      <c r="F700" s="3">
        <v>14.31</v>
      </c>
      <c r="G700" s="3">
        <v>19.44</v>
      </c>
      <c r="H700" s="3">
        <v>0.0</v>
      </c>
      <c r="I700" s="3">
        <v>0.0</v>
      </c>
      <c r="J700" s="3">
        <v>0.0</v>
      </c>
      <c r="K700" s="4">
        <f t="shared" si="1"/>
        <v>582.6897</v>
      </c>
      <c r="L700" s="4">
        <f t="shared" si="2"/>
        <v>8.773537614</v>
      </c>
    </row>
    <row r="701">
      <c r="A701" s="3" t="s">
        <v>15</v>
      </c>
      <c r="B701" s="3">
        <v>3.27</v>
      </c>
      <c r="C701" s="3">
        <v>0.12</v>
      </c>
      <c r="D701" s="3">
        <v>4.2</v>
      </c>
      <c r="E701" s="3">
        <v>3.15</v>
      </c>
      <c r="F701" s="3">
        <v>-0.46</v>
      </c>
      <c r="G701" s="3">
        <v>3.95</v>
      </c>
      <c r="H701" s="3">
        <v>0.0</v>
      </c>
      <c r="I701" s="3">
        <v>51.7</v>
      </c>
      <c r="J701" s="3">
        <v>0.0</v>
      </c>
      <c r="K701" s="4">
        <f t="shared" si="1"/>
        <v>15.8141</v>
      </c>
      <c r="L701" s="4">
        <f t="shared" si="2"/>
        <v>1.115460254</v>
      </c>
    </row>
    <row r="702">
      <c r="A702" s="3" t="s">
        <v>15</v>
      </c>
      <c r="B702" s="3">
        <v>3.27</v>
      </c>
      <c r="C702" s="3">
        <v>0.36</v>
      </c>
      <c r="D702" s="3">
        <v>9.41</v>
      </c>
      <c r="E702" s="3">
        <v>1.83</v>
      </c>
      <c r="F702" s="3">
        <v>-0.53</v>
      </c>
      <c r="G702" s="3">
        <v>11.2</v>
      </c>
      <c r="H702" s="3">
        <v>0.0</v>
      </c>
      <c r="I702" s="3">
        <v>47.22</v>
      </c>
      <c r="J702" s="3">
        <v>0.0</v>
      </c>
      <c r="K702" s="4">
        <f t="shared" si="1"/>
        <v>125.7209</v>
      </c>
      <c r="L702" s="4">
        <f t="shared" si="2"/>
        <v>0.7043228294</v>
      </c>
    </row>
    <row r="703">
      <c r="A703" s="3" t="s">
        <v>15</v>
      </c>
      <c r="B703" s="3">
        <v>3.27</v>
      </c>
      <c r="C703" s="3">
        <v>0.59</v>
      </c>
      <c r="D703" s="3">
        <v>15.3</v>
      </c>
      <c r="E703" s="3">
        <v>1.37</v>
      </c>
      <c r="F703" s="3">
        <v>1.73</v>
      </c>
      <c r="G703" s="3">
        <v>15.88</v>
      </c>
      <c r="H703" s="3">
        <v>0.0</v>
      </c>
      <c r="I703" s="3">
        <v>35.13</v>
      </c>
      <c r="J703" s="3">
        <v>0.0</v>
      </c>
      <c r="K703" s="4">
        <f t="shared" si="1"/>
        <v>255.1673</v>
      </c>
      <c r="L703" s="4">
        <f t="shared" si="2"/>
        <v>0.9173981149</v>
      </c>
    </row>
    <row r="704">
      <c r="A704" s="3" t="s">
        <v>15</v>
      </c>
      <c r="B704" s="3">
        <v>3.27</v>
      </c>
      <c r="C704" s="3">
        <v>0.83</v>
      </c>
      <c r="D704" s="3">
        <v>18.4</v>
      </c>
      <c r="E704" s="3">
        <v>1.64</v>
      </c>
      <c r="F704" s="3">
        <v>4.19</v>
      </c>
      <c r="G704" s="3">
        <v>19.68</v>
      </c>
      <c r="H704" s="3">
        <v>0.0</v>
      </c>
      <c r="I704" s="3">
        <v>28.17</v>
      </c>
      <c r="J704" s="3">
        <v>0.0</v>
      </c>
      <c r="K704" s="4">
        <f t="shared" si="1"/>
        <v>404.8585</v>
      </c>
      <c r="L704" s="4">
        <f t="shared" si="2"/>
        <v>0.8362427861</v>
      </c>
    </row>
    <row r="705">
      <c r="A705" s="3" t="s">
        <v>15</v>
      </c>
      <c r="B705" s="3">
        <v>3.27</v>
      </c>
      <c r="C705" s="3">
        <v>1.07</v>
      </c>
      <c r="D705" s="3">
        <v>23.4</v>
      </c>
      <c r="E705" s="3">
        <v>2.08</v>
      </c>
      <c r="F705" s="3">
        <v>6.57</v>
      </c>
      <c r="G705" s="3">
        <v>22.21</v>
      </c>
      <c r="H705" s="3">
        <v>0.0</v>
      </c>
      <c r="I705" s="3">
        <v>17.57</v>
      </c>
      <c r="J705" s="3">
        <v>0.0</v>
      </c>
      <c r="K705" s="4">
        <f t="shared" si="1"/>
        <v>536.449</v>
      </c>
      <c r="L705" s="4">
        <f t="shared" si="2"/>
        <v>1.020712127</v>
      </c>
    </row>
    <row r="706">
      <c r="A706" s="3" t="s">
        <v>15</v>
      </c>
      <c r="B706" s="3">
        <v>3.27</v>
      </c>
      <c r="C706" s="3">
        <v>1.31</v>
      </c>
      <c r="D706" s="3">
        <v>28.1</v>
      </c>
      <c r="E706" s="3">
        <v>2.46</v>
      </c>
      <c r="F706" s="3">
        <v>9.69</v>
      </c>
      <c r="G706" s="3">
        <v>23.33</v>
      </c>
      <c r="H706" s="3">
        <v>0.0</v>
      </c>
      <c r="I706" s="3">
        <v>11.56</v>
      </c>
      <c r="J706" s="3">
        <v>0.0</v>
      </c>
      <c r="K706" s="4">
        <f t="shared" si="1"/>
        <v>638.185</v>
      </c>
      <c r="L706" s="4">
        <f t="shared" si="2"/>
        <v>1.237274458</v>
      </c>
    </row>
    <row r="707">
      <c r="A707" s="3" t="s">
        <v>15</v>
      </c>
      <c r="B707" s="3">
        <v>3.27</v>
      </c>
      <c r="C707" s="3">
        <v>1.54</v>
      </c>
      <c r="D707" s="3">
        <v>33.1</v>
      </c>
      <c r="E707" s="3">
        <v>2.01</v>
      </c>
      <c r="F707" s="3">
        <v>12.94</v>
      </c>
      <c r="G707" s="3">
        <v>22.77</v>
      </c>
      <c r="H707" s="3">
        <v>0.0</v>
      </c>
      <c r="I707" s="3">
        <v>7.62</v>
      </c>
      <c r="J707" s="3">
        <v>0.0</v>
      </c>
      <c r="K707" s="4">
        <f t="shared" si="1"/>
        <v>685.9165</v>
      </c>
      <c r="L707" s="4">
        <f t="shared" si="2"/>
        <v>1.597293548</v>
      </c>
    </row>
    <row r="708">
      <c r="A708" s="3" t="s">
        <v>15</v>
      </c>
      <c r="B708" s="3">
        <v>3.27</v>
      </c>
      <c r="C708" s="3">
        <v>1.79</v>
      </c>
      <c r="D708" s="3">
        <v>37.5</v>
      </c>
      <c r="E708" s="3">
        <v>1.62</v>
      </c>
      <c r="F708" s="3">
        <v>15.67</v>
      </c>
      <c r="G708" s="3">
        <v>22.48</v>
      </c>
      <c r="H708" s="3">
        <v>0.0</v>
      </c>
      <c r="I708" s="3">
        <v>5.72</v>
      </c>
      <c r="J708" s="3">
        <v>0.0</v>
      </c>
      <c r="K708" s="4">
        <f t="shared" si="1"/>
        <v>750.8993</v>
      </c>
      <c r="L708" s="4">
        <f t="shared" si="2"/>
        <v>1.872754443</v>
      </c>
    </row>
    <row r="709">
      <c r="A709" s="3" t="s">
        <v>15</v>
      </c>
      <c r="B709" s="3">
        <v>3.27</v>
      </c>
      <c r="C709" s="3">
        <v>2.02</v>
      </c>
      <c r="D709" s="3">
        <v>40.5</v>
      </c>
      <c r="E709" s="3">
        <v>1.68</v>
      </c>
      <c r="F709" s="3">
        <v>17.89</v>
      </c>
      <c r="G709" s="3">
        <v>22.28</v>
      </c>
      <c r="H709" s="3">
        <v>0.0</v>
      </c>
      <c r="I709" s="3">
        <v>4.38</v>
      </c>
      <c r="J709" s="3">
        <v>0.0</v>
      </c>
      <c r="K709" s="4">
        <f t="shared" si="1"/>
        <v>816.4505</v>
      </c>
      <c r="L709" s="4">
        <f t="shared" si="2"/>
        <v>2.009001158</v>
      </c>
    </row>
    <row r="710">
      <c r="A710" s="3" t="s">
        <v>15</v>
      </c>
      <c r="B710" s="3">
        <v>3.27</v>
      </c>
      <c r="C710" s="3">
        <v>2.26</v>
      </c>
      <c r="D710" s="3">
        <v>42.3</v>
      </c>
      <c r="E710" s="3">
        <v>1.69</v>
      </c>
      <c r="F710" s="3">
        <v>19.31</v>
      </c>
      <c r="G710" s="3">
        <v>22.0</v>
      </c>
      <c r="H710" s="3">
        <v>0.0</v>
      </c>
      <c r="I710" s="3">
        <v>2.95</v>
      </c>
      <c r="J710" s="3">
        <v>0.0</v>
      </c>
      <c r="K710" s="4">
        <f t="shared" si="1"/>
        <v>856.8761</v>
      </c>
      <c r="L710" s="4">
        <f t="shared" si="2"/>
        <v>2.088154869</v>
      </c>
    </row>
    <row r="711">
      <c r="A711" s="3" t="s">
        <v>15</v>
      </c>
      <c r="B711" s="3">
        <v>3.27</v>
      </c>
      <c r="C711" s="3">
        <v>2.49</v>
      </c>
      <c r="D711" s="3">
        <v>45.2</v>
      </c>
      <c r="E711" s="3">
        <v>1.91</v>
      </c>
      <c r="F711" s="3">
        <v>20.12</v>
      </c>
      <c r="G711" s="3">
        <v>21.29</v>
      </c>
      <c r="H711" s="3">
        <v>0.0</v>
      </c>
      <c r="I711" s="3">
        <v>1.9</v>
      </c>
      <c r="J711" s="3">
        <v>0.0</v>
      </c>
      <c r="K711" s="4">
        <f t="shared" si="1"/>
        <v>858.0785</v>
      </c>
      <c r="L711" s="4">
        <f t="shared" si="2"/>
        <v>2.380947664</v>
      </c>
    </row>
    <row r="712">
      <c r="A712" s="3" t="s">
        <v>15</v>
      </c>
      <c r="B712" s="3">
        <v>3.27</v>
      </c>
      <c r="C712" s="3">
        <v>2.74</v>
      </c>
      <c r="D712" s="3">
        <v>47.4</v>
      </c>
      <c r="E712" s="3">
        <v>1.95</v>
      </c>
      <c r="F712" s="3">
        <v>21.03</v>
      </c>
      <c r="G712" s="3">
        <v>20.52</v>
      </c>
      <c r="H712" s="3">
        <v>0.0</v>
      </c>
      <c r="I712" s="3">
        <v>1.32</v>
      </c>
      <c r="J712" s="3">
        <v>0.0</v>
      </c>
      <c r="K712" s="4">
        <f t="shared" si="1"/>
        <v>863.3313</v>
      </c>
      <c r="L712" s="4">
        <f t="shared" si="2"/>
        <v>2.60243084</v>
      </c>
    </row>
    <row r="713">
      <c r="A713" s="3" t="s">
        <v>15</v>
      </c>
      <c r="B713" s="3">
        <v>3.27</v>
      </c>
      <c r="C713" s="3">
        <v>2.97</v>
      </c>
      <c r="D713" s="3">
        <v>48.1</v>
      </c>
      <c r="E713" s="3">
        <v>1.74</v>
      </c>
      <c r="F713" s="3">
        <v>22.14</v>
      </c>
      <c r="G713" s="3">
        <v>19.83</v>
      </c>
      <c r="H713" s="3">
        <v>0.0</v>
      </c>
      <c r="I713" s="3">
        <v>0.93</v>
      </c>
      <c r="J713" s="3">
        <v>0.0</v>
      </c>
      <c r="K713" s="4">
        <f t="shared" si="1"/>
        <v>883.4085</v>
      </c>
      <c r="L713" s="4">
        <f t="shared" si="2"/>
        <v>2.618958274</v>
      </c>
    </row>
    <row r="714">
      <c r="A714" s="3" t="s">
        <v>15</v>
      </c>
      <c r="B714" s="3">
        <v>3.27</v>
      </c>
      <c r="C714" s="3">
        <v>3.21</v>
      </c>
      <c r="D714" s="3">
        <v>48.8</v>
      </c>
      <c r="E714" s="3">
        <v>1.08</v>
      </c>
      <c r="F714" s="3">
        <v>23.15</v>
      </c>
      <c r="G714" s="3">
        <v>19.12</v>
      </c>
      <c r="H714" s="3">
        <v>0.0</v>
      </c>
      <c r="I714" s="3">
        <v>0.64</v>
      </c>
      <c r="J714" s="3">
        <v>0.0</v>
      </c>
      <c r="K714" s="4">
        <f t="shared" si="1"/>
        <v>901.4969</v>
      </c>
      <c r="L714" s="4">
        <f t="shared" si="2"/>
        <v>2.641650792</v>
      </c>
    </row>
    <row r="715">
      <c r="A715" s="3" t="s">
        <v>15</v>
      </c>
      <c r="B715" s="3">
        <v>3.27</v>
      </c>
      <c r="C715" s="3">
        <v>3.44</v>
      </c>
      <c r="D715" s="3">
        <v>50.7</v>
      </c>
      <c r="E715" s="3">
        <v>1.55</v>
      </c>
      <c r="F715" s="3">
        <v>23.96</v>
      </c>
      <c r="G715" s="3">
        <v>18.46</v>
      </c>
      <c r="H715" s="3">
        <v>0.0</v>
      </c>
      <c r="I715" s="3">
        <v>0.45</v>
      </c>
      <c r="J715" s="3">
        <v>0.0</v>
      </c>
      <c r="K715" s="4">
        <f t="shared" si="1"/>
        <v>914.8532</v>
      </c>
      <c r="L715" s="4">
        <f t="shared" si="2"/>
        <v>2.809729474</v>
      </c>
    </row>
    <row r="716">
      <c r="A716" s="3" t="s">
        <v>15</v>
      </c>
      <c r="B716" s="3">
        <v>3.27</v>
      </c>
      <c r="C716" s="3">
        <v>3.69</v>
      </c>
      <c r="D716" s="3">
        <v>52.1</v>
      </c>
      <c r="E716" s="3">
        <v>2.78</v>
      </c>
      <c r="F716" s="3">
        <v>24.56</v>
      </c>
      <c r="G716" s="3">
        <v>17.79</v>
      </c>
      <c r="H716" s="3">
        <v>0.0</v>
      </c>
      <c r="I716" s="3">
        <v>0.31</v>
      </c>
      <c r="J716" s="3">
        <v>0.0</v>
      </c>
      <c r="K716" s="4">
        <f t="shared" si="1"/>
        <v>919.6777</v>
      </c>
      <c r="L716" s="4">
        <f t="shared" si="2"/>
        <v>2.951479632</v>
      </c>
    </row>
    <row r="717">
      <c r="A717" s="3" t="s">
        <v>15</v>
      </c>
      <c r="B717" s="3">
        <v>3.27</v>
      </c>
      <c r="C717" s="3">
        <v>3.92</v>
      </c>
      <c r="D717" s="3">
        <v>53.0</v>
      </c>
      <c r="E717" s="3">
        <v>2.98</v>
      </c>
      <c r="F717" s="3">
        <v>25.07</v>
      </c>
      <c r="G717" s="3">
        <v>17.2</v>
      </c>
      <c r="H717" s="3">
        <v>0.0</v>
      </c>
      <c r="I717" s="3">
        <v>0.22</v>
      </c>
      <c r="J717" s="3">
        <v>0.0</v>
      </c>
      <c r="K717" s="4">
        <f t="shared" si="1"/>
        <v>924.3449</v>
      </c>
      <c r="L717" s="4">
        <f t="shared" si="2"/>
        <v>3.038908961</v>
      </c>
    </row>
    <row r="718">
      <c r="A718" s="3" t="s">
        <v>15</v>
      </c>
      <c r="B718" s="3">
        <v>3.27</v>
      </c>
      <c r="C718" s="3">
        <v>4.16</v>
      </c>
      <c r="D718" s="3">
        <v>53.7</v>
      </c>
      <c r="E718" s="3">
        <v>2.39</v>
      </c>
      <c r="F718" s="3">
        <v>25.27</v>
      </c>
      <c r="G718" s="3">
        <v>16.63</v>
      </c>
      <c r="H718" s="3">
        <v>0.0</v>
      </c>
      <c r="I718" s="3">
        <v>0.15</v>
      </c>
      <c r="J718" s="3">
        <v>0.0</v>
      </c>
      <c r="K718" s="4">
        <f t="shared" si="1"/>
        <v>915.1298</v>
      </c>
      <c r="L718" s="4">
        <f t="shared" si="2"/>
        <v>3.151126758</v>
      </c>
    </row>
    <row r="719">
      <c r="A719" s="3" t="s">
        <v>15</v>
      </c>
      <c r="B719" s="3">
        <v>3.27</v>
      </c>
      <c r="C719" s="3">
        <v>4.4</v>
      </c>
      <c r="D719" s="3">
        <v>51.2</v>
      </c>
      <c r="E719" s="3">
        <v>2.21</v>
      </c>
      <c r="F719" s="3">
        <v>25.47</v>
      </c>
      <c r="G719" s="3">
        <v>16.1</v>
      </c>
      <c r="H719" s="3">
        <v>0.0</v>
      </c>
      <c r="I719" s="3">
        <v>0.1</v>
      </c>
      <c r="J719" s="3">
        <v>0.0</v>
      </c>
      <c r="K719" s="4">
        <f t="shared" si="1"/>
        <v>907.9309</v>
      </c>
      <c r="L719" s="4">
        <f t="shared" si="2"/>
        <v>2.887268183</v>
      </c>
    </row>
    <row r="720">
      <c r="A720" s="3" t="s">
        <v>15</v>
      </c>
      <c r="B720" s="3">
        <v>3.27</v>
      </c>
      <c r="C720" s="3">
        <v>4.64</v>
      </c>
      <c r="D720" s="3">
        <v>51.6</v>
      </c>
      <c r="E720" s="3">
        <v>1.45</v>
      </c>
      <c r="F720" s="3">
        <v>25.68</v>
      </c>
      <c r="G720" s="3">
        <v>15.61</v>
      </c>
      <c r="H720" s="3">
        <v>0.0</v>
      </c>
      <c r="I720" s="3">
        <v>0.07</v>
      </c>
      <c r="J720" s="3">
        <v>0.0</v>
      </c>
      <c r="K720" s="4">
        <f t="shared" si="1"/>
        <v>903.1345</v>
      </c>
      <c r="L720" s="4">
        <f t="shared" si="2"/>
        <v>2.94813231</v>
      </c>
    </row>
    <row r="721">
      <c r="A721" s="3" t="s">
        <v>15</v>
      </c>
      <c r="B721" s="3">
        <v>3.27</v>
      </c>
      <c r="C721" s="3">
        <v>4.87</v>
      </c>
      <c r="D721" s="3">
        <v>51.5</v>
      </c>
      <c r="E721" s="3">
        <v>1.84</v>
      </c>
      <c r="F721" s="3">
        <v>26.18</v>
      </c>
      <c r="G721" s="3">
        <v>15.18</v>
      </c>
      <c r="H721" s="3">
        <v>0.0</v>
      </c>
      <c r="I721" s="3">
        <v>0.05</v>
      </c>
      <c r="J721" s="3">
        <v>0.0</v>
      </c>
      <c r="K721" s="4">
        <f t="shared" si="1"/>
        <v>915.8248</v>
      </c>
      <c r="L721" s="4">
        <f t="shared" si="2"/>
        <v>2.896023344</v>
      </c>
    </row>
    <row r="722">
      <c r="A722" s="3" t="s">
        <v>15</v>
      </c>
      <c r="B722" s="3">
        <v>3.27</v>
      </c>
      <c r="C722" s="3">
        <v>5.11</v>
      </c>
      <c r="D722" s="3">
        <v>50.4</v>
      </c>
      <c r="E722" s="3">
        <v>2.53</v>
      </c>
      <c r="F722" s="3">
        <v>26.59</v>
      </c>
      <c r="G722" s="3">
        <v>14.76</v>
      </c>
      <c r="H722" s="3">
        <v>0.0</v>
      </c>
      <c r="I722" s="3">
        <v>0.03</v>
      </c>
      <c r="J722" s="3">
        <v>0.0</v>
      </c>
      <c r="K722" s="4">
        <f t="shared" si="1"/>
        <v>924.8857</v>
      </c>
      <c r="L722" s="4">
        <f t="shared" si="2"/>
        <v>2.746458292</v>
      </c>
    </row>
    <row r="723">
      <c r="A723" s="3" t="s">
        <v>15</v>
      </c>
      <c r="B723" s="3">
        <v>3.27</v>
      </c>
      <c r="C723" s="3">
        <v>5.35</v>
      </c>
      <c r="D723" s="3">
        <v>48.5</v>
      </c>
      <c r="E723" s="3">
        <v>4.6</v>
      </c>
      <c r="F723" s="3">
        <v>26.69</v>
      </c>
      <c r="G723" s="3">
        <v>14.37</v>
      </c>
      <c r="H723" s="3">
        <v>0.0</v>
      </c>
      <c r="I723" s="3">
        <v>0.02</v>
      </c>
      <c r="J723" s="3">
        <v>0.0</v>
      </c>
      <c r="K723" s="4">
        <f t="shared" si="1"/>
        <v>918.853</v>
      </c>
      <c r="L723" s="4">
        <f t="shared" si="2"/>
        <v>2.559985112</v>
      </c>
    </row>
    <row r="724">
      <c r="A724" s="3" t="s">
        <v>15</v>
      </c>
      <c r="B724" s="3">
        <v>3.27</v>
      </c>
      <c r="C724" s="3">
        <v>5.59</v>
      </c>
      <c r="D724" s="3">
        <v>50.0</v>
      </c>
      <c r="E724" s="3">
        <v>5.91</v>
      </c>
      <c r="F724" s="3">
        <v>26.59</v>
      </c>
      <c r="G724" s="3">
        <v>14.01</v>
      </c>
      <c r="H724" s="3">
        <v>0.0</v>
      </c>
      <c r="I724" s="3">
        <v>0.02</v>
      </c>
      <c r="J724" s="3">
        <v>0.0</v>
      </c>
      <c r="K724" s="4">
        <f t="shared" si="1"/>
        <v>903.3082</v>
      </c>
      <c r="L724" s="4">
        <f t="shared" si="2"/>
        <v>2.767604678</v>
      </c>
    </row>
    <row r="725">
      <c r="A725" s="3" t="s">
        <v>15</v>
      </c>
      <c r="B725" s="3">
        <v>3.27</v>
      </c>
      <c r="C725" s="3">
        <v>5.82</v>
      </c>
      <c r="D725" s="3">
        <v>49.0</v>
      </c>
      <c r="E725" s="3">
        <v>7.42</v>
      </c>
      <c r="F725" s="3">
        <v>26.28</v>
      </c>
      <c r="G725" s="3">
        <v>13.7</v>
      </c>
      <c r="H725" s="3">
        <v>0.0</v>
      </c>
      <c r="I725" s="3">
        <v>0.01</v>
      </c>
      <c r="J725" s="3">
        <v>0.0</v>
      </c>
      <c r="K725" s="4">
        <f t="shared" si="1"/>
        <v>878.3284</v>
      </c>
      <c r="L725" s="4">
        <f t="shared" si="2"/>
        <v>2.733601692</v>
      </c>
    </row>
    <row r="726">
      <c r="A726" s="3" t="s">
        <v>15</v>
      </c>
      <c r="B726" s="3">
        <v>3.27</v>
      </c>
      <c r="C726" s="3">
        <v>6.06</v>
      </c>
      <c r="D726" s="3">
        <v>49.4</v>
      </c>
      <c r="E726" s="3">
        <v>5.92</v>
      </c>
      <c r="F726" s="3">
        <v>26.18</v>
      </c>
      <c r="G726" s="3">
        <v>13.37</v>
      </c>
      <c r="H726" s="3">
        <v>0.0</v>
      </c>
      <c r="I726" s="3">
        <v>0.0</v>
      </c>
      <c r="J726" s="3">
        <v>0.0</v>
      </c>
      <c r="K726" s="4">
        <f t="shared" si="1"/>
        <v>864.1493</v>
      </c>
      <c r="L726" s="4">
        <f t="shared" si="2"/>
        <v>2.82400275</v>
      </c>
    </row>
    <row r="727">
      <c r="A727" s="3" t="s">
        <v>85</v>
      </c>
      <c r="B727" s="3">
        <v>3.16</v>
      </c>
      <c r="C727" s="3">
        <v>0.16</v>
      </c>
      <c r="D727" s="3">
        <v>24.5</v>
      </c>
      <c r="E727" s="3">
        <v>2.83</v>
      </c>
      <c r="F727" s="3">
        <v>0.0</v>
      </c>
      <c r="G727" s="3">
        <v>23.21</v>
      </c>
      <c r="H727" s="3">
        <v>0.0</v>
      </c>
      <c r="I727" s="3">
        <v>1105.79</v>
      </c>
      <c r="J727" s="3">
        <v>0.0</v>
      </c>
      <c r="K727" s="4">
        <f t="shared" si="1"/>
        <v>538.7041</v>
      </c>
      <c r="L727" s="4">
        <f t="shared" si="2"/>
        <v>1.114248063</v>
      </c>
    </row>
    <row r="728">
      <c r="A728" s="3" t="s">
        <v>85</v>
      </c>
      <c r="B728" s="3">
        <v>3.16</v>
      </c>
      <c r="C728" s="3">
        <v>0.26</v>
      </c>
      <c r="D728" s="3">
        <v>35.3</v>
      </c>
      <c r="E728" s="3">
        <v>2.46</v>
      </c>
      <c r="F728" s="3">
        <v>0.0</v>
      </c>
      <c r="G728" s="3">
        <v>35.33</v>
      </c>
      <c r="H728" s="3">
        <v>0.0</v>
      </c>
      <c r="I728" s="3">
        <v>1006.36</v>
      </c>
      <c r="J728" s="3">
        <v>0.0</v>
      </c>
      <c r="K728" s="4">
        <f t="shared" si="1"/>
        <v>1248.2089</v>
      </c>
      <c r="L728" s="4">
        <f t="shared" si="2"/>
        <v>0.9983024476</v>
      </c>
    </row>
    <row r="729">
      <c r="A729" s="3" t="s">
        <v>85</v>
      </c>
      <c r="B729" s="3">
        <v>3.16</v>
      </c>
      <c r="C729" s="3">
        <v>0.36</v>
      </c>
      <c r="D729" s="3">
        <v>43.2</v>
      </c>
      <c r="E729" s="3">
        <v>1.12</v>
      </c>
      <c r="F729" s="3">
        <v>1.92</v>
      </c>
      <c r="G729" s="3">
        <v>46.97</v>
      </c>
      <c r="H729" s="3">
        <v>0.0</v>
      </c>
      <c r="I729" s="3">
        <v>938.26</v>
      </c>
      <c r="J729" s="3">
        <v>0.0</v>
      </c>
      <c r="K729" s="4">
        <f t="shared" si="1"/>
        <v>2209.8673</v>
      </c>
      <c r="L729" s="4">
        <f t="shared" si="2"/>
        <v>0.8445031971</v>
      </c>
    </row>
    <row r="730">
      <c r="A730" s="3" t="s">
        <v>85</v>
      </c>
      <c r="B730" s="3">
        <v>3.16</v>
      </c>
      <c r="C730" s="3">
        <v>0.46</v>
      </c>
      <c r="D730" s="3">
        <v>52.0</v>
      </c>
      <c r="E730" s="3">
        <v>1.25</v>
      </c>
      <c r="F730" s="3">
        <v>2.29</v>
      </c>
      <c r="G730" s="3">
        <v>56.68</v>
      </c>
      <c r="H730" s="3">
        <v>0.0</v>
      </c>
      <c r="I730" s="3">
        <v>789.78</v>
      </c>
      <c r="J730" s="3">
        <v>0.0</v>
      </c>
      <c r="K730" s="4">
        <f t="shared" si="1"/>
        <v>3217.8665</v>
      </c>
      <c r="L730" s="4">
        <f t="shared" si="2"/>
        <v>0.8403083223</v>
      </c>
    </row>
    <row r="731">
      <c r="A731" s="3" t="s">
        <v>85</v>
      </c>
      <c r="B731" s="3">
        <v>3.16</v>
      </c>
      <c r="C731" s="3">
        <v>0.56</v>
      </c>
      <c r="D731" s="3">
        <v>60.9</v>
      </c>
      <c r="E731" s="3">
        <v>2.93</v>
      </c>
      <c r="F731" s="3">
        <v>2.64</v>
      </c>
      <c r="G731" s="3">
        <v>63.77</v>
      </c>
      <c r="H731" s="3">
        <v>0.0</v>
      </c>
      <c r="I731" s="3">
        <v>624.65</v>
      </c>
      <c r="J731" s="3">
        <v>0.0</v>
      </c>
      <c r="K731" s="4">
        <f t="shared" si="1"/>
        <v>4073.5825</v>
      </c>
      <c r="L731" s="4">
        <f t="shared" si="2"/>
        <v>0.9104541273</v>
      </c>
    </row>
    <row r="732">
      <c r="A732" s="3" t="s">
        <v>85</v>
      </c>
      <c r="B732" s="3">
        <v>3.16</v>
      </c>
      <c r="C732" s="3">
        <v>0.66</v>
      </c>
      <c r="D732" s="3">
        <v>65.8</v>
      </c>
      <c r="E732" s="3">
        <v>1.25</v>
      </c>
      <c r="F732" s="3">
        <v>3.0</v>
      </c>
      <c r="G732" s="3">
        <v>67.56</v>
      </c>
      <c r="H732" s="3">
        <v>0.0</v>
      </c>
      <c r="I732" s="3">
        <v>511.64</v>
      </c>
      <c r="J732" s="3">
        <v>0.0</v>
      </c>
      <c r="K732" s="4">
        <f t="shared" si="1"/>
        <v>4573.3536</v>
      </c>
      <c r="L732" s="4">
        <f t="shared" si="2"/>
        <v>0.9467100904</v>
      </c>
    </row>
    <row r="733">
      <c r="A733" s="3" t="s">
        <v>85</v>
      </c>
      <c r="B733" s="3">
        <v>3.16</v>
      </c>
      <c r="C733" s="3">
        <v>0.76</v>
      </c>
      <c r="D733" s="3">
        <v>71.7</v>
      </c>
      <c r="E733" s="3">
        <v>1.25</v>
      </c>
      <c r="F733" s="3">
        <v>3.34</v>
      </c>
      <c r="G733" s="3">
        <v>70.83</v>
      </c>
      <c r="H733" s="3">
        <v>0.0</v>
      </c>
      <c r="I733" s="3">
        <v>469.31</v>
      </c>
      <c r="J733" s="3">
        <v>0.0</v>
      </c>
      <c r="K733" s="4">
        <f t="shared" si="1"/>
        <v>5028.0445</v>
      </c>
      <c r="L733" s="4">
        <f t="shared" si="2"/>
        <v>1.022443218</v>
      </c>
    </row>
    <row r="734">
      <c r="A734" s="3" t="s">
        <v>85</v>
      </c>
      <c r="B734" s="3">
        <v>3.16</v>
      </c>
      <c r="C734" s="3">
        <v>0.86</v>
      </c>
      <c r="D734" s="3">
        <v>74.6</v>
      </c>
      <c r="E734" s="3">
        <v>1.6</v>
      </c>
      <c r="F734" s="3">
        <v>3.68</v>
      </c>
      <c r="G734" s="3">
        <v>72.8</v>
      </c>
      <c r="H734" s="3">
        <v>0.0</v>
      </c>
      <c r="I734" s="3">
        <v>402.53</v>
      </c>
      <c r="J734" s="3">
        <v>0.0</v>
      </c>
      <c r="K734" s="4">
        <f t="shared" si="1"/>
        <v>5313.3824</v>
      </c>
      <c r="L734" s="4">
        <f t="shared" si="2"/>
        <v>1.04738556</v>
      </c>
    </row>
    <row r="735">
      <c r="A735" s="3" t="s">
        <v>85</v>
      </c>
      <c r="B735" s="3">
        <v>3.16</v>
      </c>
      <c r="C735" s="3">
        <v>0.96</v>
      </c>
      <c r="D735" s="3">
        <v>74.6</v>
      </c>
      <c r="E735" s="3">
        <v>1.03</v>
      </c>
      <c r="F735" s="3">
        <v>4.02</v>
      </c>
      <c r="G735" s="3">
        <v>74.87</v>
      </c>
      <c r="H735" s="3">
        <v>0.0</v>
      </c>
      <c r="I735" s="3">
        <v>381.19</v>
      </c>
      <c r="J735" s="3">
        <v>0.0</v>
      </c>
      <c r="K735" s="4">
        <f t="shared" si="1"/>
        <v>5621.6773</v>
      </c>
      <c r="L735" s="4">
        <f t="shared" si="2"/>
        <v>0.9899465414</v>
      </c>
    </row>
    <row r="736">
      <c r="A736" s="3" t="s">
        <v>85</v>
      </c>
      <c r="B736" s="3">
        <v>3.16</v>
      </c>
      <c r="C736" s="3">
        <v>1.06</v>
      </c>
      <c r="D736" s="3">
        <v>76.6</v>
      </c>
      <c r="E736" s="3">
        <v>1.12</v>
      </c>
      <c r="F736" s="3">
        <v>4.37</v>
      </c>
      <c r="G736" s="3">
        <v>77.12</v>
      </c>
      <c r="H736" s="3">
        <v>0.0</v>
      </c>
      <c r="I736" s="3">
        <v>359.63</v>
      </c>
      <c r="J736" s="3">
        <v>0.0</v>
      </c>
      <c r="K736" s="4">
        <f t="shared" si="1"/>
        <v>5966.5913</v>
      </c>
      <c r="L736" s="4">
        <f t="shared" si="2"/>
        <v>0.9834023658</v>
      </c>
    </row>
    <row r="737">
      <c r="A737" s="3" t="s">
        <v>85</v>
      </c>
      <c r="B737" s="3">
        <v>3.16</v>
      </c>
      <c r="C737" s="3">
        <v>1.16</v>
      </c>
      <c r="D737" s="3">
        <v>78.5</v>
      </c>
      <c r="E737" s="3">
        <v>1.6</v>
      </c>
      <c r="F737" s="3">
        <v>4.75</v>
      </c>
      <c r="G737" s="3">
        <v>79.47</v>
      </c>
      <c r="H737" s="3">
        <v>0.0</v>
      </c>
      <c r="I737" s="3">
        <v>345.41</v>
      </c>
      <c r="J737" s="3">
        <v>0.0</v>
      </c>
      <c r="K737" s="4">
        <f t="shared" si="1"/>
        <v>6338.0434</v>
      </c>
      <c r="L737" s="4">
        <f t="shared" si="2"/>
        <v>0.9722637747</v>
      </c>
    </row>
    <row r="738">
      <c r="A738" s="3" t="s">
        <v>85</v>
      </c>
      <c r="B738" s="3">
        <v>3.16</v>
      </c>
      <c r="C738" s="3">
        <v>1.27</v>
      </c>
      <c r="D738" s="3">
        <v>83.4</v>
      </c>
      <c r="E738" s="3">
        <v>1.8</v>
      </c>
      <c r="F738" s="3">
        <v>5.15</v>
      </c>
      <c r="G738" s="3">
        <v>82.18</v>
      </c>
      <c r="H738" s="3">
        <v>0.0</v>
      </c>
      <c r="I738" s="3">
        <v>332.26</v>
      </c>
      <c r="J738" s="3">
        <v>0.0</v>
      </c>
      <c r="K738" s="4">
        <f t="shared" si="1"/>
        <v>6780.0749</v>
      </c>
      <c r="L738" s="4">
        <f t="shared" si="2"/>
        <v>1.025882472</v>
      </c>
    </row>
    <row r="739">
      <c r="A739" s="3" t="s">
        <v>85</v>
      </c>
      <c r="B739" s="3">
        <v>3.16</v>
      </c>
      <c r="C739" s="3">
        <v>1.36</v>
      </c>
      <c r="D739" s="3">
        <v>86.4</v>
      </c>
      <c r="E739" s="3">
        <v>1.6</v>
      </c>
      <c r="F739" s="3">
        <v>5.51</v>
      </c>
      <c r="G739" s="3">
        <v>85.19</v>
      </c>
      <c r="H739" s="3">
        <v>0.0</v>
      </c>
      <c r="I739" s="3">
        <v>317.57</v>
      </c>
      <c r="J739" s="3">
        <v>0.0</v>
      </c>
      <c r="K739" s="4">
        <f t="shared" si="1"/>
        <v>7287.6962</v>
      </c>
      <c r="L739" s="4">
        <f t="shared" si="2"/>
        <v>1.024323709</v>
      </c>
    </row>
    <row r="740">
      <c r="A740" s="3" t="s">
        <v>85</v>
      </c>
      <c r="B740" s="3">
        <v>3.16</v>
      </c>
      <c r="C740" s="3">
        <v>1.47</v>
      </c>
      <c r="D740" s="3">
        <v>87.4</v>
      </c>
      <c r="E740" s="3">
        <v>1.41</v>
      </c>
      <c r="F740" s="3">
        <v>5.76</v>
      </c>
      <c r="G740" s="3">
        <v>87.94</v>
      </c>
      <c r="H740" s="3">
        <v>0.0</v>
      </c>
      <c r="I740" s="3">
        <v>297.25</v>
      </c>
      <c r="J740" s="3">
        <v>0.0</v>
      </c>
      <c r="K740" s="4">
        <f t="shared" si="1"/>
        <v>7766.6212</v>
      </c>
      <c r="L740" s="4">
        <f t="shared" si="2"/>
        <v>0.9835370882</v>
      </c>
    </row>
    <row r="741">
      <c r="A741" s="3" t="s">
        <v>85</v>
      </c>
      <c r="B741" s="3">
        <v>3.16</v>
      </c>
      <c r="C741" s="3">
        <v>1.57</v>
      </c>
      <c r="D741" s="3">
        <v>90.3</v>
      </c>
      <c r="E741" s="3">
        <v>1.41</v>
      </c>
      <c r="F741" s="3">
        <v>5.98</v>
      </c>
      <c r="G741" s="3">
        <v>90.77</v>
      </c>
      <c r="H741" s="3">
        <v>0.0</v>
      </c>
      <c r="I741" s="3">
        <v>286.72</v>
      </c>
      <c r="J741" s="3">
        <v>0.0</v>
      </c>
      <c r="K741" s="4">
        <f t="shared" si="1"/>
        <v>8274.9533</v>
      </c>
      <c r="L741" s="4">
        <f t="shared" si="2"/>
        <v>0.9853940807</v>
      </c>
    </row>
    <row r="742">
      <c r="A742" s="3" t="s">
        <v>85</v>
      </c>
      <c r="B742" s="3">
        <v>3.16</v>
      </c>
      <c r="C742" s="3">
        <v>1.67</v>
      </c>
      <c r="D742" s="3">
        <v>93.3</v>
      </c>
      <c r="E742" s="3">
        <v>1.6</v>
      </c>
      <c r="F742" s="3">
        <v>6.21</v>
      </c>
      <c r="G742" s="3">
        <v>93.98</v>
      </c>
      <c r="H742" s="3">
        <v>0.0</v>
      </c>
      <c r="I742" s="3">
        <v>271.01</v>
      </c>
      <c r="J742" s="3">
        <v>0.0</v>
      </c>
      <c r="K742" s="4">
        <f t="shared" si="1"/>
        <v>8870.8045</v>
      </c>
      <c r="L742" s="4">
        <f t="shared" si="2"/>
        <v>0.9812965667</v>
      </c>
    </row>
    <row r="743">
      <c r="A743" s="3" t="s">
        <v>85</v>
      </c>
      <c r="B743" s="3">
        <v>3.16</v>
      </c>
      <c r="C743" s="3">
        <v>1.77</v>
      </c>
      <c r="D743" s="3">
        <v>93.3</v>
      </c>
      <c r="E743" s="3">
        <v>1.41</v>
      </c>
      <c r="F743" s="3">
        <v>6.42</v>
      </c>
      <c r="G743" s="3">
        <v>96.86</v>
      </c>
      <c r="H743" s="3">
        <v>0.0</v>
      </c>
      <c r="I743" s="3">
        <v>252.38</v>
      </c>
      <c r="J743" s="3">
        <v>0.0</v>
      </c>
      <c r="K743" s="4">
        <f t="shared" si="1"/>
        <v>9423.076</v>
      </c>
      <c r="L743" s="4">
        <f t="shared" si="2"/>
        <v>0.9237843354</v>
      </c>
    </row>
    <row r="744">
      <c r="A744" s="3" t="s">
        <v>85</v>
      </c>
      <c r="B744" s="3">
        <v>3.16</v>
      </c>
      <c r="C744" s="3">
        <v>1.87</v>
      </c>
      <c r="D744" s="3">
        <v>95.2</v>
      </c>
      <c r="E744" s="3">
        <v>1.25</v>
      </c>
      <c r="F744" s="3">
        <v>6.61</v>
      </c>
      <c r="G744" s="3">
        <v>99.21</v>
      </c>
      <c r="H744" s="3">
        <v>0.0</v>
      </c>
      <c r="I744" s="3">
        <v>231.06</v>
      </c>
      <c r="J744" s="3">
        <v>0.0</v>
      </c>
      <c r="K744" s="4">
        <f t="shared" si="1"/>
        <v>9886.3162</v>
      </c>
      <c r="L744" s="4">
        <f t="shared" si="2"/>
        <v>0.916725686</v>
      </c>
    </row>
    <row r="745">
      <c r="A745" s="3" t="s">
        <v>85</v>
      </c>
      <c r="B745" s="3">
        <v>3.16</v>
      </c>
      <c r="C745" s="3">
        <v>1.97</v>
      </c>
      <c r="D745" s="3">
        <v>97.2</v>
      </c>
      <c r="E745" s="3">
        <v>1.6</v>
      </c>
      <c r="F745" s="3">
        <v>6.81</v>
      </c>
      <c r="G745" s="3">
        <v>101.42</v>
      </c>
      <c r="H745" s="3">
        <v>0.0</v>
      </c>
      <c r="I745" s="3">
        <v>214.5</v>
      </c>
      <c r="J745" s="3">
        <v>0.0</v>
      </c>
      <c r="K745" s="4">
        <f t="shared" si="1"/>
        <v>10332.3925</v>
      </c>
      <c r="L745" s="4">
        <f t="shared" si="2"/>
        <v>0.9143903505</v>
      </c>
    </row>
    <row r="746">
      <c r="A746" s="3" t="s">
        <v>85</v>
      </c>
      <c r="B746" s="3">
        <v>3.16</v>
      </c>
      <c r="C746" s="3">
        <v>2.08</v>
      </c>
      <c r="D746" s="3">
        <v>99.1</v>
      </c>
      <c r="E746" s="3">
        <v>2.02</v>
      </c>
      <c r="F746" s="3">
        <v>7.01</v>
      </c>
      <c r="G746" s="3">
        <v>103.79</v>
      </c>
      <c r="H746" s="3">
        <v>0.0</v>
      </c>
      <c r="I746" s="3">
        <v>203.15</v>
      </c>
      <c r="J746" s="3">
        <v>0.0</v>
      </c>
      <c r="K746" s="4">
        <f t="shared" si="1"/>
        <v>10821.5042</v>
      </c>
      <c r="L746" s="4">
        <f t="shared" si="2"/>
        <v>0.9075272549</v>
      </c>
    </row>
    <row r="747">
      <c r="A747" s="3" t="s">
        <v>85</v>
      </c>
      <c r="B747" s="3">
        <v>3.16</v>
      </c>
      <c r="C747" s="3">
        <v>2.18</v>
      </c>
      <c r="D747" s="3">
        <v>98.2</v>
      </c>
      <c r="E747" s="3">
        <v>2.02</v>
      </c>
      <c r="F747" s="3">
        <v>7.27</v>
      </c>
      <c r="G747" s="3">
        <v>106.07</v>
      </c>
      <c r="H747" s="3">
        <v>0.0</v>
      </c>
      <c r="I747" s="3">
        <v>177.77</v>
      </c>
      <c r="J747" s="3">
        <v>0.0</v>
      </c>
      <c r="K747" s="4">
        <f t="shared" si="1"/>
        <v>11303.6978</v>
      </c>
      <c r="L747" s="4">
        <f t="shared" si="2"/>
        <v>0.8531049017</v>
      </c>
    </row>
    <row r="748">
      <c r="A748" s="3" t="s">
        <v>85</v>
      </c>
      <c r="B748" s="3">
        <v>3.16</v>
      </c>
      <c r="C748" s="3">
        <v>2.28</v>
      </c>
      <c r="D748" s="3">
        <v>98.2</v>
      </c>
      <c r="E748" s="3">
        <v>1.6</v>
      </c>
      <c r="F748" s="3">
        <v>7.54</v>
      </c>
      <c r="G748" s="3">
        <v>106.73</v>
      </c>
      <c r="H748" s="3">
        <v>0.0</v>
      </c>
      <c r="I748" s="3">
        <v>143.26</v>
      </c>
      <c r="J748" s="3">
        <v>0.0</v>
      </c>
      <c r="K748" s="4">
        <f t="shared" si="1"/>
        <v>11448.1445</v>
      </c>
      <c r="L748" s="4">
        <f t="shared" si="2"/>
        <v>0.8423408702</v>
      </c>
    </row>
    <row r="749">
      <c r="A749" s="3" t="s">
        <v>85</v>
      </c>
      <c r="B749" s="3">
        <v>3.16</v>
      </c>
      <c r="C749" s="3">
        <v>2.37</v>
      </c>
      <c r="D749" s="3">
        <v>98.2</v>
      </c>
      <c r="E749" s="3">
        <v>1.0</v>
      </c>
      <c r="F749" s="3">
        <v>7.81</v>
      </c>
      <c r="G749" s="3">
        <v>106.19</v>
      </c>
      <c r="H749" s="3">
        <v>0.0</v>
      </c>
      <c r="I749" s="3">
        <v>125.45</v>
      </c>
      <c r="J749" s="3">
        <v>0.0</v>
      </c>
      <c r="K749" s="4">
        <f t="shared" si="1"/>
        <v>11337.3122</v>
      </c>
      <c r="L749" s="4">
        <f t="shared" si="2"/>
        <v>0.8505755006</v>
      </c>
    </row>
    <row r="750">
      <c r="A750" s="3" t="s">
        <v>85</v>
      </c>
      <c r="B750" s="3">
        <v>3.16</v>
      </c>
      <c r="C750" s="3">
        <v>2.47</v>
      </c>
      <c r="D750" s="3">
        <v>97.2</v>
      </c>
      <c r="E750" s="3">
        <v>1.12</v>
      </c>
      <c r="F750" s="3">
        <v>8.25</v>
      </c>
      <c r="G750" s="3">
        <v>105.57</v>
      </c>
      <c r="H750" s="3">
        <v>0.0</v>
      </c>
      <c r="I750" s="3">
        <v>115.5</v>
      </c>
      <c r="J750" s="3">
        <v>0.0</v>
      </c>
      <c r="K750" s="4">
        <f t="shared" si="1"/>
        <v>11213.0874</v>
      </c>
      <c r="L750" s="4">
        <f t="shared" si="2"/>
        <v>0.8425725817</v>
      </c>
    </row>
    <row r="751">
      <c r="A751" s="3" t="s">
        <v>85</v>
      </c>
      <c r="B751" s="3">
        <v>3.16</v>
      </c>
      <c r="C751" s="3">
        <v>2.57</v>
      </c>
      <c r="D751" s="3">
        <v>98.2</v>
      </c>
      <c r="E751" s="3">
        <v>1.41</v>
      </c>
      <c r="F751" s="3">
        <v>8.77</v>
      </c>
      <c r="G751" s="3">
        <v>105.08</v>
      </c>
      <c r="H751" s="3">
        <v>0.0</v>
      </c>
      <c r="I751" s="3">
        <v>108.64</v>
      </c>
      <c r="J751" s="3">
        <v>0.0</v>
      </c>
      <c r="K751" s="4">
        <f t="shared" si="1"/>
        <v>11118.7193</v>
      </c>
      <c r="L751" s="4">
        <f t="shared" si="2"/>
        <v>0.8672977292</v>
      </c>
    </row>
    <row r="752">
      <c r="A752" s="3" t="s">
        <v>85</v>
      </c>
      <c r="B752" s="3">
        <v>3.16</v>
      </c>
      <c r="C752" s="3">
        <v>2.68</v>
      </c>
      <c r="D752" s="3">
        <v>98.2</v>
      </c>
      <c r="E752" s="3">
        <v>1.12</v>
      </c>
      <c r="F752" s="3">
        <v>9.31</v>
      </c>
      <c r="G752" s="3">
        <v>104.39</v>
      </c>
      <c r="H752" s="3">
        <v>0.0</v>
      </c>
      <c r="I752" s="3">
        <v>99.02</v>
      </c>
      <c r="J752" s="3">
        <v>0.0</v>
      </c>
      <c r="K752" s="4">
        <f t="shared" si="1"/>
        <v>10983.9482</v>
      </c>
      <c r="L752" s="4">
        <f t="shared" si="2"/>
        <v>0.8779393188</v>
      </c>
    </row>
    <row r="753">
      <c r="A753" s="3" t="s">
        <v>85</v>
      </c>
      <c r="B753" s="3">
        <v>3.16</v>
      </c>
      <c r="C753" s="3">
        <v>2.78</v>
      </c>
      <c r="D753" s="3">
        <v>98.2</v>
      </c>
      <c r="E753" s="3">
        <v>1.6</v>
      </c>
      <c r="F753" s="3">
        <v>9.95</v>
      </c>
      <c r="G753" s="3">
        <v>103.8</v>
      </c>
      <c r="H753" s="3">
        <v>0.0</v>
      </c>
      <c r="I753" s="3">
        <v>91.66</v>
      </c>
      <c r="J753" s="3">
        <v>0.0</v>
      </c>
      <c r="K753" s="4">
        <f t="shared" si="1"/>
        <v>10873.4425</v>
      </c>
      <c r="L753" s="4">
        <f t="shared" si="2"/>
        <v>0.8868617276</v>
      </c>
    </row>
    <row r="754">
      <c r="A754" s="3" t="s">
        <v>85</v>
      </c>
      <c r="B754" s="3">
        <v>3.16</v>
      </c>
      <c r="C754" s="3">
        <v>2.88</v>
      </c>
      <c r="D754" s="3">
        <v>99.1</v>
      </c>
      <c r="E754" s="3">
        <v>2.69</v>
      </c>
      <c r="F754" s="3">
        <v>10.97</v>
      </c>
      <c r="G754" s="3">
        <v>103.16</v>
      </c>
      <c r="H754" s="3">
        <v>0.0</v>
      </c>
      <c r="I754" s="3">
        <v>86.76</v>
      </c>
      <c r="J754" s="3">
        <v>0.0</v>
      </c>
      <c r="K754" s="4">
        <f t="shared" si="1"/>
        <v>10762.3265</v>
      </c>
      <c r="L754" s="4">
        <f t="shared" si="2"/>
        <v>0.9125173818</v>
      </c>
    </row>
    <row r="755">
      <c r="A755" s="3" t="s">
        <v>85</v>
      </c>
      <c r="B755" s="3">
        <v>3.16</v>
      </c>
      <c r="C755" s="3">
        <v>2.98</v>
      </c>
      <c r="D755" s="3">
        <v>100.0</v>
      </c>
      <c r="E755" s="3">
        <v>2.69</v>
      </c>
      <c r="F755" s="3">
        <v>11.96</v>
      </c>
      <c r="G755" s="3">
        <v>102.68</v>
      </c>
      <c r="H755" s="3">
        <v>0.0</v>
      </c>
      <c r="I755" s="3">
        <v>83.79</v>
      </c>
      <c r="J755" s="3">
        <v>0.0</v>
      </c>
      <c r="K755" s="4">
        <f t="shared" si="1"/>
        <v>10686.224</v>
      </c>
      <c r="L755" s="4">
        <f t="shared" si="2"/>
        <v>0.9357842396</v>
      </c>
    </row>
    <row r="756">
      <c r="A756" s="3" t="s">
        <v>85</v>
      </c>
      <c r="B756" s="3">
        <v>3.16</v>
      </c>
      <c r="C756" s="3">
        <v>3.08</v>
      </c>
      <c r="D756" s="3">
        <v>102.0</v>
      </c>
      <c r="E756" s="3">
        <v>3.16</v>
      </c>
      <c r="F756" s="3">
        <v>13.06</v>
      </c>
      <c r="G756" s="3">
        <v>102.46</v>
      </c>
      <c r="H756" s="3">
        <v>0.0</v>
      </c>
      <c r="I756" s="3">
        <v>81.8</v>
      </c>
      <c r="J756" s="3">
        <v>0.0</v>
      </c>
      <c r="K756" s="4">
        <f t="shared" si="1"/>
        <v>10668.6152</v>
      </c>
      <c r="L756" s="4">
        <f t="shared" si="2"/>
        <v>0.9751968559</v>
      </c>
    </row>
    <row r="757">
      <c r="A757" s="3" t="s">
        <v>85</v>
      </c>
      <c r="B757" s="3">
        <v>3.16</v>
      </c>
      <c r="C757" s="3">
        <v>3.19</v>
      </c>
      <c r="D757" s="3">
        <v>101.0</v>
      </c>
      <c r="E757" s="3">
        <v>3.4</v>
      </c>
      <c r="F757" s="3">
        <v>14.06</v>
      </c>
      <c r="G757" s="3">
        <v>102.29</v>
      </c>
      <c r="H757" s="3">
        <v>0.0</v>
      </c>
      <c r="I757" s="3">
        <v>78.36</v>
      </c>
      <c r="J757" s="3">
        <v>0.0</v>
      </c>
      <c r="K757" s="4">
        <f t="shared" si="1"/>
        <v>10660.9277</v>
      </c>
      <c r="L757" s="4">
        <f t="shared" si="2"/>
        <v>0.9568585668</v>
      </c>
    </row>
    <row r="758">
      <c r="A758" s="3" t="s">
        <v>85</v>
      </c>
      <c r="B758" s="3">
        <v>3.16</v>
      </c>
      <c r="C758" s="3">
        <v>3.29</v>
      </c>
      <c r="D758" s="3">
        <v>101.0</v>
      </c>
      <c r="E758" s="3">
        <v>3.4</v>
      </c>
      <c r="F758" s="3">
        <v>15.05</v>
      </c>
      <c r="G758" s="3">
        <v>102.51</v>
      </c>
      <c r="H758" s="3">
        <v>0.0</v>
      </c>
      <c r="I758" s="3">
        <v>75.36</v>
      </c>
      <c r="J758" s="3">
        <v>0.0</v>
      </c>
      <c r="K758" s="4">
        <f t="shared" si="1"/>
        <v>10734.8026</v>
      </c>
      <c r="L758" s="4">
        <f t="shared" si="2"/>
        <v>0.9502736455</v>
      </c>
    </row>
    <row r="759">
      <c r="A759" s="3" t="s">
        <v>85</v>
      </c>
      <c r="B759" s="3">
        <v>3.16</v>
      </c>
      <c r="C759" s="3">
        <v>3.39</v>
      </c>
      <c r="D759" s="3">
        <v>103.0</v>
      </c>
      <c r="E759" s="3">
        <v>2.93</v>
      </c>
      <c r="F759" s="3">
        <v>16.15</v>
      </c>
      <c r="G759" s="3">
        <v>102.82</v>
      </c>
      <c r="H759" s="3">
        <v>0.0</v>
      </c>
      <c r="I759" s="3">
        <v>71.99</v>
      </c>
      <c r="J759" s="3">
        <v>0.0</v>
      </c>
      <c r="K759" s="4">
        <f t="shared" si="1"/>
        <v>10832.7749</v>
      </c>
      <c r="L759" s="4">
        <f t="shared" si="2"/>
        <v>0.9793427906</v>
      </c>
    </row>
    <row r="760">
      <c r="A760" s="3" t="s">
        <v>85</v>
      </c>
      <c r="B760" s="3">
        <v>3.16</v>
      </c>
      <c r="C760" s="3">
        <v>3.49</v>
      </c>
      <c r="D760" s="3">
        <v>107.0</v>
      </c>
      <c r="E760" s="3">
        <v>2.46</v>
      </c>
      <c r="F760" s="3">
        <v>17.15</v>
      </c>
      <c r="G760" s="3">
        <v>103.06</v>
      </c>
      <c r="H760" s="3">
        <v>0.0</v>
      </c>
      <c r="I760" s="3">
        <v>67.49</v>
      </c>
      <c r="J760" s="3">
        <v>0.0</v>
      </c>
      <c r="K760" s="4">
        <f t="shared" si="1"/>
        <v>10915.4861</v>
      </c>
      <c r="L760" s="4">
        <f t="shared" si="2"/>
        <v>1.048876788</v>
      </c>
    </row>
    <row r="761">
      <c r="A761" s="3" t="s">
        <v>85</v>
      </c>
      <c r="B761" s="3">
        <v>3.16</v>
      </c>
      <c r="C761" s="3">
        <v>3.59</v>
      </c>
      <c r="D761" s="3">
        <v>110.0</v>
      </c>
      <c r="E761" s="3">
        <v>2.46</v>
      </c>
      <c r="F761" s="3">
        <v>18.14</v>
      </c>
      <c r="G761" s="3">
        <v>102.95</v>
      </c>
      <c r="H761" s="3">
        <v>0.0</v>
      </c>
      <c r="I761" s="3">
        <v>62.39</v>
      </c>
      <c r="J761" s="3">
        <v>0.0</v>
      </c>
      <c r="K761" s="4">
        <f t="shared" si="1"/>
        <v>10927.7621</v>
      </c>
      <c r="L761" s="4">
        <f t="shared" si="2"/>
        <v>1.107271543</v>
      </c>
    </row>
    <row r="762">
      <c r="A762" s="3" t="s">
        <v>85</v>
      </c>
      <c r="B762" s="3">
        <v>3.16</v>
      </c>
      <c r="C762" s="3">
        <v>3.69</v>
      </c>
      <c r="D762" s="3">
        <v>112.0</v>
      </c>
      <c r="E762" s="3">
        <v>3.4</v>
      </c>
      <c r="F762" s="3">
        <v>19.24</v>
      </c>
      <c r="G762" s="3">
        <v>103.12</v>
      </c>
      <c r="H762" s="3">
        <v>0.0</v>
      </c>
      <c r="I762" s="3">
        <v>56.77</v>
      </c>
      <c r="J762" s="3">
        <v>0.0</v>
      </c>
      <c r="K762" s="4">
        <f t="shared" si="1"/>
        <v>11003.912</v>
      </c>
      <c r="L762" s="4">
        <f t="shared" si="2"/>
        <v>1.139958226</v>
      </c>
    </row>
    <row r="763">
      <c r="A763" s="3" t="s">
        <v>85</v>
      </c>
      <c r="B763" s="3">
        <v>3.16</v>
      </c>
      <c r="C763" s="3">
        <v>3.79</v>
      </c>
      <c r="D763" s="3">
        <v>114.0</v>
      </c>
      <c r="E763" s="3">
        <v>5.1</v>
      </c>
      <c r="F763" s="3">
        <v>20.24</v>
      </c>
      <c r="G763" s="3">
        <v>102.93</v>
      </c>
      <c r="H763" s="3">
        <v>0.0</v>
      </c>
      <c r="I763" s="3">
        <v>52.43</v>
      </c>
      <c r="J763" s="3">
        <v>0.0</v>
      </c>
      <c r="K763" s="4">
        <f t="shared" si="1"/>
        <v>11004.2425</v>
      </c>
      <c r="L763" s="4">
        <f t="shared" si="2"/>
        <v>1.180999056</v>
      </c>
    </row>
    <row r="764">
      <c r="A764" s="3" t="s">
        <v>85</v>
      </c>
      <c r="B764" s="3">
        <v>3.16</v>
      </c>
      <c r="C764" s="3">
        <v>3.9</v>
      </c>
      <c r="D764" s="3">
        <v>118.0</v>
      </c>
      <c r="E764" s="3">
        <v>5.1</v>
      </c>
      <c r="F764" s="3">
        <v>21.03</v>
      </c>
      <c r="G764" s="3">
        <v>102.5</v>
      </c>
      <c r="H764" s="3">
        <v>0.0</v>
      </c>
      <c r="I764" s="3">
        <v>47.97</v>
      </c>
      <c r="J764" s="3">
        <v>0.0</v>
      </c>
      <c r="K764" s="4">
        <f t="shared" si="1"/>
        <v>10948.5109</v>
      </c>
      <c r="L764" s="4">
        <f t="shared" si="2"/>
        <v>1.271771123</v>
      </c>
    </row>
    <row r="765">
      <c r="A765" s="3" t="s">
        <v>85</v>
      </c>
      <c r="B765" s="3">
        <v>3.16</v>
      </c>
      <c r="C765" s="3">
        <v>3.99</v>
      </c>
      <c r="D765" s="3">
        <v>118.0</v>
      </c>
      <c r="E765" s="3">
        <v>4.85</v>
      </c>
      <c r="F765" s="3">
        <v>21.83</v>
      </c>
      <c r="G765" s="3">
        <v>101.99</v>
      </c>
      <c r="H765" s="3">
        <v>0.0</v>
      </c>
      <c r="I765" s="3">
        <v>44.58</v>
      </c>
      <c r="J765" s="3">
        <v>0.0</v>
      </c>
      <c r="K765" s="4">
        <f t="shared" si="1"/>
        <v>10878.509</v>
      </c>
      <c r="L765" s="4">
        <f t="shared" si="2"/>
        <v>1.279954817</v>
      </c>
    </row>
    <row r="766">
      <c r="A766" s="3" t="s">
        <v>85</v>
      </c>
      <c r="B766" s="3">
        <v>3.16</v>
      </c>
      <c r="C766" s="3">
        <v>4.47</v>
      </c>
      <c r="D766" s="3">
        <v>118.0</v>
      </c>
      <c r="E766" s="3">
        <v>5.36</v>
      </c>
      <c r="F766" s="3">
        <v>25.72</v>
      </c>
      <c r="G766" s="3">
        <v>99.49</v>
      </c>
      <c r="H766" s="3">
        <v>0.0</v>
      </c>
      <c r="I766" s="3">
        <v>31.94</v>
      </c>
      <c r="J766" s="3">
        <v>0.0</v>
      </c>
      <c r="K766" s="4">
        <f t="shared" si="1"/>
        <v>10559.7785</v>
      </c>
      <c r="L766" s="4">
        <f t="shared" si="2"/>
        <v>1.318588264</v>
      </c>
    </row>
    <row r="767">
      <c r="A767" s="3" t="s">
        <v>85</v>
      </c>
      <c r="B767" s="3">
        <v>3.16</v>
      </c>
      <c r="C767" s="3">
        <v>4.97</v>
      </c>
      <c r="D767" s="3">
        <v>121.0</v>
      </c>
      <c r="E767" s="3">
        <v>2.57</v>
      </c>
      <c r="F767" s="3">
        <v>27.81</v>
      </c>
      <c r="G767" s="3">
        <v>97.06</v>
      </c>
      <c r="H767" s="3">
        <v>0.0</v>
      </c>
      <c r="I767" s="3">
        <v>24.17</v>
      </c>
      <c r="J767" s="3">
        <v>0.0</v>
      </c>
      <c r="K767" s="4">
        <f t="shared" si="1"/>
        <v>10194.0397</v>
      </c>
      <c r="L767" s="4">
        <f t="shared" si="2"/>
        <v>1.436231409</v>
      </c>
    </row>
    <row r="768">
      <c r="A768" s="3" t="s">
        <v>85</v>
      </c>
      <c r="B768" s="3">
        <v>3.16</v>
      </c>
      <c r="C768" s="3">
        <v>5.47</v>
      </c>
      <c r="D768" s="3">
        <v>124.0</v>
      </c>
      <c r="E768" s="3">
        <v>0.22</v>
      </c>
      <c r="F768" s="3">
        <v>29.41</v>
      </c>
      <c r="G768" s="3">
        <v>94.4</v>
      </c>
      <c r="H768" s="3">
        <v>0.0</v>
      </c>
      <c r="I768" s="3">
        <v>15.97</v>
      </c>
      <c r="J768" s="3">
        <v>0.0</v>
      </c>
      <c r="K768" s="4">
        <f t="shared" si="1"/>
        <v>9776.3081</v>
      </c>
      <c r="L768" s="4">
        <f t="shared" si="2"/>
        <v>1.572781856</v>
      </c>
    </row>
    <row r="769">
      <c r="A769" s="3" t="s">
        <v>85</v>
      </c>
      <c r="B769" s="3">
        <v>3.16</v>
      </c>
      <c r="C769" s="3">
        <v>5.96</v>
      </c>
      <c r="D769" s="3">
        <v>125.0</v>
      </c>
      <c r="E769" s="3">
        <v>0.88</v>
      </c>
      <c r="F769" s="3">
        <v>30.7</v>
      </c>
      <c r="G769" s="3">
        <v>91.13</v>
      </c>
      <c r="H769" s="3">
        <v>0.0</v>
      </c>
      <c r="I769" s="3">
        <v>11.31</v>
      </c>
      <c r="J769" s="3">
        <v>0.0</v>
      </c>
      <c r="K769" s="4">
        <f t="shared" si="1"/>
        <v>9247.1669</v>
      </c>
      <c r="L769" s="4">
        <f t="shared" si="2"/>
        <v>1.689706714</v>
      </c>
    </row>
    <row r="770">
      <c r="A770" s="3" t="s">
        <v>85</v>
      </c>
      <c r="B770" s="3">
        <v>3.16</v>
      </c>
      <c r="C770" s="3">
        <v>6.46</v>
      </c>
      <c r="D770" s="3">
        <v>126.0</v>
      </c>
      <c r="E770" s="3">
        <v>0.45</v>
      </c>
      <c r="F770" s="3">
        <v>31.7</v>
      </c>
      <c r="G770" s="3">
        <v>87.9</v>
      </c>
      <c r="H770" s="3">
        <v>0.0</v>
      </c>
      <c r="I770" s="3">
        <v>7.9</v>
      </c>
      <c r="J770" s="3">
        <v>0.0</v>
      </c>
      <c r="K770" s="4">
        <f t="shared" si="1"/>
        <v>8731.3</v>
      </c>
      <c r="L770" s="4">
        <f t="shared" si="2"/>
        <v>1.818285937</v>
      </c>
    </row>
    <row r="771">
      <c r="A771" s="3" t="s">
        <v>85</v>
      </c>
      <c r="B771" s="3">
        <v>3.16</v>
      </c>
      <c r="C771" s="3">
        <v>6.96</v>
      </c>
      <c r="D771" s="3">
        <v>126.0</v>
      </c>
      <c r="E771" s="3">
        <v>0.55</v>
      </c>
      <c r="F771" s="3">
        <v>33.29</v>
      </c>
      <c r="G771" s="3">
        <v>84.95</v>
      </c>
      <c r="H771" s="3">
        <v>0.0</v>
      </c>
      <c r="I771" s="3">
        <v>5.51</v>
      </c>
      <c r="J771" s="3">
        <v>0.0</v>
      </c>
      <c r="K771" s="4">
        <f t="shared" si="1"/>
        <v>8324.7266</v>
      </c>
      <c r="L771" s="4">
        <f t="shared" si="2"/>
        <v>1.907089657</v>
      </c>
    </row>
    <row r="772">
      <c r="A772" s="3" t="s">
        <v>85</v>
      </c>
      <c r="B772" s="3">
        <v>3.16</v>
      </c>
      <c r="C772" s="3">
        <v>7.45</v>
      </c>
      <c r="D772" s="3">
        <v>126.0</v>
      </c>
      <c r="E772" s="3">
        <v>0.45</v>
      </c>
      <c r="F772" s="3">
        <v>34.99</v>
      </c>
      <c r="G772" s="3">
        <v>81.98</v>
      </c>
      <c r="H772" s="3">
        <v>0.0</v>
      </c>
      <c r="I772" s="3">
        <v>3.88</v>
      </c>
      <c r="J772" s="3">
        <v>0.0</v>
      </c>
      <c r="K772" s="4">
        <f t="shared" si="1"/>
        <v>7945.0205</v>
      </c>
      <c r="L772" s="4">
        <f t="shared" si="2"/>
        <v>1.99823273</v>
      </c>
    </row>
    <row r="773">
      <c r="A773" s="3" t="s">
        <v>85</v>
      </c>
      <c r="B773" s="3">
        <v>3.16</v>
      </c>
      <c r="C773" s="3">
        <v>7.95</v>
      </c>
      <c r="D773" s="3">
        <v>126.0</v>
      </c>
      <c r="E773" s="3">
        <v>0.24</v>
      </c>
      <c r="F773" s="3">
        <v>36.58</v>
      </c>
      <c r="G773" s="3">
        <v>79.11</v>
      </c>
      <c r="H773" s="3">
        <v>0.0</v>
      </c>
      <c r="I773" s="3">
        <v>2.71</v>
      </c>
      <c r="J773" s="3">
        <v>0.0</v>
      </c>
      <c r="K773" s="4">
        <f t="shared" si="1"/>
        <v>7596.4885</v>
      </c>
      <c r="L773" s="4">
        <f t="shared" si="2"/>
        <v>2.089912991</v>
      </c>
    </row>
    <row r="774">
      <c r="A774" s="3" t="s">
        <v>85</v>
      </c>
      <c r="B774" s="3">
        <v>3.16</v>
      </c>
      <c r="C774" s="3">
        <v>8.45</v>
      </c>
      <c r="D774" s="3">
        <v>127.0</v>
      </c>
      <c r="E774" s="3">
        <v>1.45</v>
      </c>
      <c r="F774" s="3">
        <v>38.38</v>
      </c>
      <c r="G774" s="3">
        <v>76.42</v>
      </c>
      <c r="H774" s="3">
        <v>0.0</v>
      </c>
      <c r="I774" s="3">
        <v>1.9</v>
      </c>
      <c r="J774" s="3">
        <v>0.0</v>
      </c>
      <c r="K774" s="4">
        <f t="shared" si="1"/>
        <v>7313.0408</v>
      </c>
      <c r="L774" s="4">
        <f t="shared" si="2"/>
        <v>2.205512104</v>
      </c>
    </row>
    <row r="775">
      <c r="A775" s="3" t="s">
        <v>85</v>
      </c>
      <c r="B775" s="3">
        <v>3.16</v>
      </c>
      <c r="C775" s="3">
        <v>8.94</v>
      </c>
      <c r="D775" s="3">
        <v>128.0</v>
      </c>
      <c r="E775" s="3">
        <v>1.12</v>
      </c>
      <c r="F775" s="3">
        <v>39.97</v>
      </c>
      <c r="G775" s="3">
        <v>74.09</v>
      </c>
      <c r="H775" s="3">
        <v>0.0</v>
      </c>
      <c r="I775" s="3">
        <v>1.34</v>
      </c>
      <c r="J775" s="3">
        <v>0.0</v>
      </c>
      <c r="K775" s="4">
        <f t="shared" si="1"/>
        <v>7086.929</v>
      </c>
      <c r="L775" s="4">
        <f t="shared" si="2"/>
        <v>2.311861739</v>
      </c>
    </row>
    <row r="776">
      <c r="A776" s="3" t="s">
        <v>85</v>
      </c>
      <c r="B776" s="3">
        <v>3.16</v>
      </c>
      <c r="C776" s="3">
        <v>9.44</v>
      </c>
      <c r="D776" s="3">
        <v>128.0</v>
      </c>
      <c r="E776" s="3">
        <v>1.68</v>
      </c>
      <c r="F776" s="3">
        <v>41.47</v>
      </c>
      <c r="G776" s="3">
        <v>71.75</v>
      </c>
      <c r="H776" s="3">
        <v>0.0</v>
      </c>
      <c r="I776" s="3">
        <v>0.93</v>
      </c>
      <c r="J776" s="3">
        <v>0.0</v>
      </c>
      <c r="K776" s="4">
        <f t="shared" si="1"/>
        <v>6867.8234</v>
      </c>
      <c r="L776" s="4">
        <f t="shared" si="2"/>
        <v>2.385617545</v>
      </c>
    </row>
    <row r="777">
      <c r="A777" s="3" t="s">
        <v>85</v>
      </c>
      <c r="B777" s="3">
        <v>3.16</v>
      </c>
      <c r="C777" s="3">
        <v>9.94</v>
      </c>
      <c r="D777" s="3">
        <v>127.0</v>
      </c>
      <c r="E777" s="3">
        <v>2.56</v>
      </c>
      <c r="F777" s="3">
        <v>42.57</v>
      </c>
      <c r="G777" s="3">
        <v>69.58</v>
      </c>
      <c r="H777" s="3">
        <v>0.0</v>
      </c>
      <c r="I777" s="3">
        <v>0.65</v>
      </c>
      <c r="J777" s="3">
        <v>0.0</v>
      </c>
      <c r="K777" s="4">
        <f t="shared" si="1"/>
        <v>6653.5813</v>
      </c>
      <c r="L777" s="4">
        <f t="shared" si="2"/>
        <v>2.424108051</v>
      </c>
    </row>
    <row r="778">
      <c r="A778" s="3" t="s">
        <v>85</v>
      </c>
      <c r="B778" s="3">
        <v>3.16</v>
      </c>
      <c r="C778" s="3">
        <v>10.43</v>
      </c>
      <c r="D778" s="3">
        <v>127.0</v>
      </c>
      <c r="E778" s="3">
        <v>1.24</v>
      </c>
      <c r="F778" s="3">
        <v>43.96</v>
      </c>
      <c r="G778" s="3">
        <v>67.61</v>
      </c>
      <c r="H778" s="3">
        <v>0.0</v>
      </c>
      <c r="I778" s="3">
        <v>0.46</v>
      </c>
      <c r="J778" s="3">
        <v>0.0</v>
      </c>
      <c r="K778" s="4">
        <f t="shared" si="1"/>
        <v>6503.5937</v>
      </c>
      <c r="L778" s="4">
        <f t="shared" si="2"/>
        <v>2.480013473</v>
      </c>
    </row>
    <row r="779">
      <c r="A779" s="3" t="s">
        <v>85</v>
      </c>
      <c r="B779" s="3">
        <v>3.16</v>
      </c>
      <c r="C779" s="3">
        <v>10.93</v>
      </c>
      <c r="D779" s="3">
        <v>128.0</v>
      </c>
      <c r="E779" s="3">
        <v>0.21</v>
      </c>
      <c r="F779" s="3">
        <v>45.06</v>
      </c>
      <c r="G779" s="3">
        <v>65.75</v>
      </c>
      <c r="H779" s="3">
        <v>0.0</v>
      </c>
      <c r="I779" s="3">
        <v>0.32</v>
      </c>
      <c r="J779" s="3">
        <v>0.0</v>
      </c>
      <c r="K779" s="4">
        <f t="shared" si="1"/>
        <v>6353.4661</v>
      </c>
      <c r="L779" s="4">
        <f t="shared" si="2"/>
        <v>2.578749889</v>
      </c>
    </row>
    <row r="780">
      <c r="A780" s="3" t="s">
        <v>85</v>
      </c>
      <c r="B780" s="3">
        <v>3.16</v>
      </c>
      <c r="C780" s="3">
        <v>11.43</v>
      </c>
      <c r="D780" s="3">
        <v>130.0</v>
      </c>
      <c r="E780" s="3">
        <v>1.13</v>
      </c>
      <c r="F780" s="3">
        <v>45.76</v>
      </c>
      <c r="G780" s="3">
        <v>64.12</v>
      </c>
      <c r="H780" s="3">
        <v>0.0</v>
      </c>
      <c r="I780" s="3">
        <v>0.22</v>
      </c>
      <c r="J780" s="3">
        <v>0.0</v>
      </c>
      <c r="K780" s="4">
        <f t="shared" si="1"/>
        <v>6205.352</v>
      </c>
      <c r="L780" s="4">
        <f t="shared" si="2"/>
        <v>2.723455495</v>
      </c>
    </row>
    <row r="781">
      <c r="A781" s="3" t="s">
        <v>85</v>
      </c>
      <c r="B781" s="3">
        <v>3.16</v>
      </c>
      <c r="C781" s="3">
        <v>11.92</v>
      </c>
      <c r="D781" s="3">
        <v>130.0</v>
      </c>
      <c r="E781" s="3">
        <v>2.23</v>
      </c>
      <c r="F781" s="3">
        <v>46.15</v>
      </c>
      <c r="G781" s="3">
        <v>62.55</v>
      </c>
      <c r="H781" s="3">
        <v>0.0</v>
      </c>
      <c r="I781" s="3">
        <v>0.16</v>
      </c>
      <c r="J781" s="3">
        <v>0.0</v>
      </c>
      <c r="K781" s="4">
        <f t="shared" si="1"/>
        <v>6042.325</v>
      </c>
      <c r="L781" s="4">
        <f t="shared" si="2"/>
        <v>2.79693661</v>
      </c>
    </row>
    <row r="782">
      <c r="A782" s="3" t="s">
        <v>85</v>
      </c>
      <c r="B782" s="3">
        <v>3.16</v>
      </c>
      <c r="C782" s="3">
        <v>12.42</v>
      </c>
      <c r="D782" s="3">
        <v>132.0</v>
      </c>
      <c r="E782" s="3">
        <v>2.68</v>
      </c>
      <c r="F782" s="3">
        <v>46.65</v>
      </c>
      <c r="G782" s="3">
        <v>61.06</v>
      </c>
      <c r="H782" s="3">
        <v>0.0</v>
      </c>
      <c r="I782" s="3">
        <v>0.11</v>
      </c>
      <c r="J782" s="3">
        <v>0.0</v>
      </c>
      <c r="K782" s="4">
        <f t="shared" si="1"/>
        <v>5904.5461</v>
      </c>
      <c r="L782" s="4">
        <f t="shared" si="2"/>
        <v>2.95094656</v>
      </c>
    </row>
    <row r="783">
      <c r="A783" s="3" t="s">
        <v>85</v>
      </c>
      <c r="B783" s="3">
        <v>3.16</v>
      </c>
      <c r="C783" s="3">
        <v>12.92</v>
      </c>
      <c r="D783" s="3">
        <v>133.0</v>
      </c>
      <c r="E783" s="3">
        <v>2.68</v>
      </c>
      <c r="F783" s="3">
        <v>46.95</v>
      </c>
      <c r="G783" s="3">
        <v>59.67</v>
      </c>
      <c r="H783" s="3">
        <v>0.0</v>
      </c>
      <c r="I783" s="3">
        <v>0.08</v>
      </c>
      <c r="J783" s="3">
        <v>0.0</v>
      </c>
      <c r="K783" s="4">
        <f t="shared" si="1"/>
        <v>5764.8114</v>
      </c>
      <c r="L783" s="4">
        <f t="shared" si="2"/>
        <v>3.068443835</v>
      </c>
    </row>
    <row r="784">
      <c r="A784" s="3" t="s">
        <v>85</v>
      </c>
      <c r="B784" s="3">
        <v>3.16</v>
      </c>
      <c r="C784" s="3">
        <v>13.42</v>
      </c>
      <c r="D784" s="3">
        <v>133.0</v>
      </c>
      <c r="E784" s="3">
        <v>3.37</v>
      </c>
      <c r="F784" s="3">
        <v>46.75</v>
      </c>
      <c r="G784" s="3">
        <v>58.37</v>
      </c>
      <c r="H784" s="3">
        <v>0.0</v>
      </c>
      <c r="I784" s="3">
        <v>0.05</v>
      </c>
      <c r="J784" s="3">
        <v>0.0</v>
      </c>
      <c r="K784" s="4">
        <f t="shared" si="1"/>
        <v>5592.6194</v>
      </c>
      <c r="L784" s="4">
        <f t="shared" si="2"/>
        <v>3.162918614</v>
      </c>
    </row>
    <row r="785">
      <c r="A785" s="3" t="s">
        <v>85</v>
      </c>
      <c r="B785" s="3">
        <v>3.16</v>
      </c>
      <c r="C785" s="3">
        <v>13.91</v>
      </c>
      <c r="D785" s="3">
        <v>133.0</v>
      </c>
      <c r="E785" s="3">
        <v>3.81</v>
      </c>
      <c r="F785" s="3">
        <v>46.25</v>
      </c>
      <c r="G785" s="3">
        <v>57.26</v>
      </c>
      <c r="H785" s="3">
        <v>0.0</v>
      </c>
      <c r="I785" s="3">
        <v>0.04</v>
      </c>
      <c r="J785" s="3">
        <v>0.0</v>
      </c>
      <c r="K785" s="4">
        <f t="shared" si="1"/>
        <v>5417.7701</v>
      </c>
      <c r="L785" s="4">
        <f t="shared" si="2"/>
        <v>3.264996424</v>
      </c>
    </row>
    <row r="786">
      <c r="A786" s="3" t="s">
        <v>85</v>
      </c>
      <c r="B786" s="3">
        <v>3.16</v>
      </c>
      <c r="C786" s="3">
        <v>14.41</v>
      </c>
      <c r="D786" s="3">
        <v>133.0</v>
      </c>
      <c r="E786" s="3">
        <v>2.56</v>
      </c>
      <c r="F786" s="3">
        <v>45.95</v>
      </c>
      <c r="G786" s="3">
        <v>56.12</v>
      </c>
      <c r="H786" s="3">
        <v>0.0</v>
      </c>
      <c r="I786" s="3">
        <v>0.03</v>
      </c>
      <c r="J786" s="3">
        <v>0.0</v>
      </c>
      <c r="K786" s="4">
        <f t="shared" si="1"/>
        <v>5260.8569</v>
      </c>
      <c r="L786" s="4">
        <f t="shared" si="2"/>
        <v>3.362379996</v>
      </c>
    </row>
    <row r="787">
      <c r="A787" s="3" t="s">
        <v>85</v>
      </c>
      <c r="B787" s="3">
        <v>3.16</v>
      </c>
      <c r="C787" s="3">
        <v>14.91</v>
      </c>
      <c r="D787" s="3">
        <v>134.0</v>
      </c>
      <c r="E787" s="3">
        <v>0.56</v>
      </c>
      <c r="F787" s="3">
        <v>45.66</v>
      </c>
      <c r="G787" s="3">
        <v>55.05</v>
      </c>
      <c r="H787" s="3">
        <v>0.0</v>
      </c>
      <c r="I787" s="3">
        <v>0.02</v>
      </c>
      <c r="J787" s="3">
        <v>0.0</v>
      </c>
      <c r="K787" s="4">
        <f t="shared" si="1"/>
        <v>5115.3381</v>
      </c>
      <c r="L787" s="4">
        <f t="shared" si="2"/>
        <v>3.510227408</v>
      </c>
    </row>
    <row r="788">
      <c r="A788" s="3" t="s">
        <v>85</v>
      </c>
      <c r="B788" s="3">
        <v>3.16</v>
      </c>
      <c r="C788" s="3">
        <v>15.4</v>
      </c>
      <c r="D788" s="3">
        <v>134.0</v>
      </c>
      <c r="E788" s="3">
        <v>0.79</v>
      </c>
      <c r="F788" s="3">
        <v>45.26</v>
      </c>
      <c r="G788" s="3">
        <v>54.06</v>
      </c>
      <c r="H788" s="3">
        <v>0.0</v>
      </c>
      <c r="I788" s="3">
        <v>0.01</v>
      </c>
      <c r="J788" s="3">
        <v>0.0</v>
      </c>
      <c r="K788" s="4">
        <f t="shared" si="1"/>
        <v>4970.9512</v>
      </c>
      <c r="L788" s="4">
        <f t="shared" si="2"/>
        <v>3.612185933</v>
      </c>
    </row>
    <row r="789">
      <c r="A789" s="3" t="s">
        <v>85</v>
      </c>
      <c r="B789" s="3">
        <v>3.16</v>
      </c>
      <c r="C789" s="3">
        <v>15.9</v>
      </c>
      <c r="D789" s="3">
        <v>133.0</v>
      </c>
      <c r="E789" s="3">
        <v>0.67</v>
      </c>
      <c r="F789" s="3">
        <v>44.76</v>
      </c>
      <c r="G789" s="3">
        <v>53.11</v>
      </c>
      <c r="H789" s="3">
        <v>0.0</v>
      </c>
      <c r="I789" s="3">
        <v>0.01</v>
      </c>
      <c r="J789" s="3">
        <v>0.0</v>
      </c>
      <c r="K789" s="4">
        <f t="shared" si="1"/>
        <v>4824.1297</v>
      </c>
      <c r="L789" s="4">
        <f t="shared" si="2"/>
        <v>3.666775377</v>
      </c>
    </row>
    <row r="790">
      <c r="A790" s="3" t="s">
        <v>85</v>
      </c>
      <c r="B790" s="3">
        <v>3.16</v>
      </c>
      <c r="C790" s="3">
        <v>16.4</v>
      </c>
      <c r="D790" s="3">
        <v>134.0</v>
      </c>
      <c r="E790" s="3">
        <v>2.35</v>
      </c>
      <c r="F790" s="3">
        <v>44.16</v>
      </c>
      <c r="G790" s="3">
        <v>52.26</v>
      </c>
      <c r="H790" s="3">
        <v>0.0</v>
      </c>
      <c r="I790" s="3">
        <v>0.01</v>
      </c>
      <c r="J790" s="3">
        <v>0.0</v>
      </c>
      <c r="K790" s="4">
        <f t="shared" si="1"/>
        <v>4681.2132</v>
      </c>
      <c r="L790" s="4">
        <f t="shared" si="2"/>
        <v>3.83575779</v>
      </c>
    </row>
    <row r="791">
      <c r="A791" s="3" t="s">
        <v>85</v>
      </c>
      <c r="B791" s="3">
        <v>3.16</v>
      </c>
      <c r="C791" s="3">
        <v>16.89</v>
      </c>
      <c r="D791" s="3">
        <v>134.0</v>
      </c>
      <c r="E791" s="3">
        <v>4.13</v>
      </c>
      <c r="F791" s="3">
        <v>43.36</v>
      </c>
      <c r="G791" s="3">
        <v>51.43</v>
      </c>
      <c r="H791" s="3">
        <v>0.0</v>
      </c>
      <c r="I791" s="3">
        <v>0.0</v>
      </c>
      <c r="J791" s="3">
        <v>0.0</v>
      </c>
      <c r="K791" s="4">
        <f t="shared" si="1"/>
        <v>4525.1345</v>
      </c>
      <c r="L791" s="4">
        <f t="shared" si="2"/>
        <v>3.96805885</v>
      </c>
    </row>
    <row r="792">
      <c r="A792" s="3" t="s">
        <v>85</v>
      </c>
      <c r="B792" s="3">
        <v>3.16</v>
      </c>
      <c r="C792" s="3">
        <v>17.39</v>
      </c>
      <c r="D792" s="3">
        <v>136.0</v>
      </c>
      <c r="E792" s="3">
        <v>3.91</v>
      </c>
      <c r="F792" s="3">
        <v>42.67</v>
      </c>
      <c r="G792" s="3">
        <v>50.61</v>
      </c>
      <c r="H792" s="3">
        <v>0.0</v>
      </c>
      <c r="I792" s="3">
        <v>0.0</v>
      </c>
      <c r="J792" s="3">
        <v>0.0</v>
      </c>
      <c r="K792" s="4">
        <f t="shared" si="1"/>
        <v>4382.101</v>
      </c>
      <c r="L792" s="4">
        <f t="shared" si="2"/>
        <v>4.220806412</v>
      </c>
    </row>
    <row r="793">
      <c r="A793" s="3" t="s">
        <v>85</v>
      </c>
      <c r="B793" s="3">
        <v>3.16</v>
      </c>
      <c r="C793" s="3">
        <v>17.89</v>
      </c>
      <c r="D793" s="3">
        <v>136.0</v>
      </c>
      <c r="E793" s="3">
        <v>6.38</v>
      </c>
      <c r="F793" s="3">
        <v>41.87</v>
      </c>
      <c r="G793" s="3">
        <v>49.84</v>
      </c>
      <c r="H793" s="3">
        <v>0.0</v>
      </c>
      <c r="I793" s="3">
        <v>0.0</v>
      </c>
      <c r="J793" s="3">
        <v>0.0</v>
      </c>
      <c r="K793" s="4">
        <f t="shared" si="1"/>
        <v>4237.1225</v>
      </c>
      <c r="L793" s="4">
        <f t="shared" si="2"/>
        <v>4.365226637</v>
      </c>
    </row>
    <row r="794">
      <c r="A794" s="3" t="s">
        <v>85</v>
      </c>
      <c r="B794" s="3">
        <v>3.16</v>
      </c>
      <c r="C794" s="3">
        <v>18.38</v>
      </c>
      <c r="D794" s="3">
        <v>135.0</v>
      </c>
      <c r="E794" s="3">
        <v>8.39</v>
      </c>
      <c r="F794" s="3">
        <v>41.07</v>
      </c>
      <c r="G794" s="3">
        <v>49.16</v>
      </c>
      <c r="H794" s="3">
        <v>0.0</v>
      </c>
      <c r="I794" s="3">
        <v>0.0</v>
      </c>
      <c r="J794" s="3">
        <v>0.0</v>
      </c>
      <c r="K794" s="4">
        <f t="shared" si="1"/>
        <v>4103.4505</v>
      </c>
      <c r="L794" s="4">
        <f t="shared" si="2"/>
        <v>4.441384147</v>
      </c>
    </row>
    <row r="795">
      <c r="A795" s="3" t="s">
        <v>85</v>
      </c>
      <c r="B795" s="3">
        <v>3.16</v>
      </c>
      <c r="C795" s="3">
        <v>18.88</v>
      </c>
      <c r="D795" s="3">
        <v>133.0</v>
      </c>
      <c r="E795" s="3">
        <v>7.83</v>
      </c>
      <c r="F795" s="3">
        <v>40.27</v>
      </c>
      <c r="G795" s="3">
        <v>48.46</v>
      </c>
      <c r="H795" s="3">
        <v>0.0</v>
      </c>
      <c r="I795" s="3">
        <v>0.0</v>
      </c>
      <c r="J795" s="3">
        <v>0.0</v>
      </c>
      <c r="K795" s="4">
        <f t="shared" si="1"/>
        <v>3970.0445</v>
      </c>
      <c r="L795" s="4">
        <f t="shared" si="2"/>
        <v>4.455617563</v>
      </c>
    </row>
    <row r="796">
      <c r="A796" s="3" t="s">
        <v>85</v>
      </c>
      <c r="B796" s="3">
        <v>3.16</v>
      </c>
      <c r="C796" s="3">
        <v>19.38</v>
      </c>
      <c r="D796" s="3">
        <v>134.0</v>
      </c>
      <c r="E796" s="3">
        <v>6.26</v>
      </c>
      <c r="F796" s="3">
        <v>39.87</v>
      </c>
      <c r="G796" s="3">
        <v>47.78</v>
      </c>
      <c r="H796" s="3">
        <v>0.0</v>
      </c>
      <c r="I796" s="3">
        <v>0.0</v>
      </c>
      <c r="J796" s="3">
        <v>0.0</v>
      </c>
      <c r="K796" s="4">
        <f t="shared" si="1"/>
        <v>3872.5453</v>
      </c>
      <c r="L796" s="4">
        <f t="shared" si="2"/>
        <v>4.636743694</v>
      </c>
    </row>
    <row r="797">
      <c r="A797" s="3" t="s">
        <v>85</v>
      </c>
      <c r="B797" s="3">
        <v>3.16</v>
      </c>
      <c r="C797" s="3">
        <v>19.87</v>
      </c>
      <c r="D797" s="3">
        <v>136.0</v>
      </c>
      <c r="E797" s="3">
        <v>5.6</v>
      </c>
      <c r="F797" s="3">
        <v>39.87</v>
      </c>
      <c r="G797" s="3">
        <v>47.15</v>
      </c>
      <c r="H797" s="3">
        <v>0.0</v>
      </c>
      <c r="I797" s="3">
        <v>0.0</v>
      </c>
      <c r="J797" s="3">
        <v>0.0</v>
      </c>
      <c r="K797" s="4">
        <f t="shared" si="1"/>
        <v>3812.7394</v>
      </c>
      <c r="L797" s="4">
        <f t="shared" si="2"/>
        <v>4.851105218</v>
      </c>
    </row>
    <row r="798">
      <c r="A798" s="3" t="s">
        <v>85</v>
      </c>
      <c r="B798" s="3">
        <v>3.16</v>
      </c>
      <c r="C798" s="3">
        <v>20.37</v>
      </c>
      <c r="D798" s="3">
        <v>135.0</v>
      </c>
      <c r="E798" s="3">
        <v>5.24</v>
      </c>
      <c r="F798" s="3">
        <v>39.87</v>
      </c>
      <c r="G798" s="3">
        <v>46.52</v>
      </c>
      <c r="H798" s="3">
        <v>0.0</v>
      </c>
      <c r="I798" s="3">
        <v>0.0</v>
      </c>
      <c r="J798" s="3">
        <v>0.0</v>
      </c>
      <c r="K798" s="4">
        <f t="shared" si="1"/>
        <v>3753.7273</v>
      </c>
      <c r="L798" s="4">
        <f t="shared" si="2"/>
        <v>4.855174216</v>
      </c>
    </row>
    <row r="799">
      <c r="A799" s="3" t="s">
        <v>85</v>
      </c>
      <c r="B799" s="3">
        <v>3.16</v>
      </c>
      <c r="C799" s="3">
        <v>20.87</v>
      </c>
      <c r="D799" s="3">
        <v>134.0</v>
      </c>
      <c r="E799" s="3">
        <v>3.12</v>
      </c>
      <c r="F799" s="3">
        <v>39.87</v>
      </c>
      <c r="G799" s="3">
        <v>45.97</v>
      </c>
      <c r="H799" s="3">
        <v>0.0</v>
      </c>
      <c r="I799" s="3">
        <v>0.0</v>
      </c>
      <c r="J799" s="3">
        <v>0.0</v>
      </c>
      <c r="K799" s="4">
        <f t="shared" si="1"/>
        <v>3702.8578</v>
      </c>
      <c r="L799" s="4">
        <f t="shared" si="2"/>
        <v>4.849227534</v>
      </c>
    </row>
    <row r="800">
      <c r="A800" s="3" t="s">
        <v>86</v>
      </c>
      <c r="B800" s="3">
        <v>9.81</v>
      </c>
      <c r="C800" s="3">
        <v>2.89</v>
      </c>
      <c r="D800" s="3">
        <v>189.0</v>
      </c>
      <c r="E800" s="3">
        <v>10.0</v>
      </c>
      <c r="F800" s="3">
        <v>7.68</v>
      </c>
      <c r="G800" s="3">
        <v>203.92</v>
      </c>
      <c r="H800" s="3">
        <v>89.57</v>
      </c>
      <c r="I800" s="3">
        <v>755.39</v>
      </c>
      <c r="J800" s="3">
        <v>0.0</v>
      </c>
      <c r="K800" s="4">
        <f t="shared" si="1"/>
        <v>41642.3488</v>
      </c>
      <c r="L800" s="4">
        <f t="shared" si="2"/>
        <v>0.8578046395</v>
      </c>
    </row>
    <row r="801">
      <c r="A801" s="3" t="s">
        <v>86</v>
      </c>
      <c r="B801" s="3">
        <v>9.81</v>
      </c>
      <c r="C801" s="3">
        <v>5.77</v>
      </c>
      <c r="D801" s="3">
        <v>212.0</v>
      </c>
      <c r="E801" s="3">
        <v>5.0</v>
      </c>
      <c r="F801" s="3">
        <v>21.36</v>
      </c>
      <c r="G801" s="3">
        <v>229.24</v>
      </c>
      <c r="H801" s="3">
        <v>63.44</v>
      </c>
      <c r="I801" s="3">
        <v>149.71</v>
      </c>
      <c r="J801" s="3">
        <v>0.0</v>
      </c>
      <c r="K801" s="4">
        <f t="shared" si="1"/>
        <v>53007.2272</v>
      </c>
      <c r="L801" s="4">
        <f t="shared" si="2"/>
        <v>0.8478843806</v>
      </c>
    </row>
    <row r="802">
      <c r="A802" s="3" t="s">
        <v>86</v>
      </c>
      <c r="B802" s="3">
        <v>9.81</v>
      </c>
      <c r="C802" s="3">
        <v>8.66</v>
      </c>
      <c r="D802" s="3">
        <v>206.0</v>
      </c>
      <c r="E802" s="3">
        <v>5.0</v>
      </c>
      <c r="F802" s="3">
        <v>17.89</v>
      </c>
      <c r="G802" s="3">
        <v>197.87</v>
      </c>
      <c r="H802" s="3">
        <v>51.78</v>
      </c>
      <c r="I802" s="3">
        <v>56.22</v>
      </c>
      <c r="J802" s="3">
        <v>0.0</v>
      </c>
      <c r="K802" s="4">
        <f t="shared" si="1"/>
        <v>39472.589</v>
      </c>
      <c r="L802" s="4">
        <f t="shared" si="2"/>
        <v>1.075075162</v>
      </c>
    </row>
    <row r="803">
      <c r="A803" s="3" t="s">
        <v>86</v>
      </c>
      <c r="B803" s="3">
        <v>9.81</v>
      </c>
      <c r="C803" s="3">
        <v>11.54</v>
      </c>
      <c r="D803" s="3">
        <v>200.0</v>
      </c>
      <c r="E803" s="3">
        <v>5.0</v>
      </c>
      <c r="F803" s="3">
        <v>24.41</v>
      </c>
      <c r="G803" s="3">
        <v>185.0</v>
      </c>
      <c r="H803" s="3">
        <v>44.86</v>
      </c>
      <c r="I803" s="3">
        <v>16.1</v>
      </c>
      <c r="J803" s="3">
        <v>0.0</v>
      </c>
      <c r="K803" s="4">
        <f t="shared" si="1"/>
        <v>34820.8481</v>
      </c>
      <c r="L803" s="4">
        <f t="shared" si="2"/>
        <v>1.148737098</v>
      </c>
    </row>
    <row r="804">
      <c r="A804" s="3" t="s">
        <v>86</v>
      </c>
      <c r="B804" s="3">
        <v>9.81</v>
      </c>
      <c r="C804" s="3">
        <v>14.43</v>
      </c>
      <c r="D804" s="3">
        <v>172.0</v>
      </c>
      <c r="E804" s="3">
        <v>12.0</v>
      </c>
      <c r="F804" s="3">
        <v>25.8</v>
      </c>
      <c r="G804" s="3">
        <v>159.52</v>
      </c>
      <c r="H804" s="3">
        <v>40.12</v>
      </c>
      <c r="I804" s="3">
        <v>2.72</v>
      </c>
      <c r="J804" s="3">
        <v>0.0</v>
      </c>
      <c r="K804" s="4">
        <f t="shared" si="1"/>
        <v>26112.2704</v>
      </c>
      <c r="L804" s="4">
        <f t="shared" si="2"/>
        <v>1.132953954</v>
      </c>
    </row>
    <row r="805">
      <c r="A805" s="3" t="s">
        <v>86</v>
      </c>
      <c r="B805" s="3">
        <v>9.81</v>
      </c>
      <c r="C805" s="3">
        <v>17.31</v>
      </c>
      <c r="D805" s="3">
        <v>190.0</v>
      </c>
      <c r="E805" s="3">
        <v>10.0</v>
      </c>
      <c r="F805" s="3">
        <v>25.8</v>
      </c>
      <c r="G805" s="3">
        <v>143.29</v>
      </c>
      <c r="H805" s="3">
        <v>36.63</v>
      </c>
      <c r="I805" s="3">
        <v>0.92</v>
      </c>
      <c r="J805" s="3">
        <v>0.0</v>
      </c>
      <c r="K805" s="4">
        <f t="shared" si="1"/>
        <v>21197.6641</v>
      </c>
      <c r="L805" s="4">
        <f t="shared" si="2"/>
        <v>1.703017834</v>
      </c>
    </row>
    <row r="806">
      <c r="A806" s="3" t="s">
        <v>86</v>
      </c>
      <c r="B806" s="3">
        <v>9.81</v>
      </c>
      <c r="C806" s="3">
        <v>20.2</v>
      </c>
      <c r="D806" s="3">
        <v>169.0</v>
      </c>
      <c r="E806" s="3">
        <v>10.0</v>
      </c>
      <c r="F806" s="3">
        <v>23.72</v>
      </c>
      <c r="G806" s="3">
        <v>130.86</v>
      </c>
      <c r="H806" s="3">
        <v>33.91</v>
      </c>
      <c r="I806" s="3">
        <v>0.25</v>
      </c>
      <c r="J806" s="3">
        <v>0.0</v>
      </c>
      <c r="K806" s="4">
        <f t="shared" si="1"/>
        <v>17686.978</v>
      </c>
      <c r="L806" s="4">
        <f t="shared" si="2"/>
        <v>1.61480384</v>
      </c>
    </row>
    <row r="807">
      <c r="A807" s="3" t="s">
        <v>86</v>
      </c>
      <c r="B807" s="3">
        <v>9.81</v>
      </c>
      <c r="C807" s="3">
        <v>23.08</v>
      </c>
      <c r="D807" s="3">
        <v>150.0</v>
      </c>
      <c r="E807" s="3">
        <v>10.0</v>
      </c>
      <c r="F807" s="3">
        <v>20.53</v>
      </c>
      <c r="G807" s="3">
        <v>121.26</v>
      </c>
      <c r="H807" s="3">
        <v>31.72</v>
      </c>
      <c r="I807" s="3">
        <v>0.07</v>
      </c>
      <c r="J807" s="3">
        <v>0.0</v>
      </c>
      <c r="K807" s="4">
        <f t="shared" si="1"/>
        <v>15125.4685</v>
      </c>
      <c r="L807" s="4">
        <f t="shared" si="2"/>
        <v>1.487557228</v>
      </c>
    </row>
    <row r="808">
      <c r="A808" s="3" t="s">
        <v>86</v>
      </c>
      <c r="B808" s="3">
        <v>9.81</v>
      </c>
      <c r="C808" s="3">
        <v>28.85</v>
      </c>
      <c r="D808" s="3">
        <v>160.0</v>
      </c>
      <c r="E808" s="3">
        <v>10.0</v>
      </c>
      <c r="F808" s="3">
        <v>17.48</v>
      </c>
      <c r="G808" s="3">
        <v>107.36</v>
      </c>
      <c r="H808" s="3">
        <v>28.37</v>
      </c>
      <c r="I808" s="3">
        <v>0.0</v>
      </c>
      <c r="J808" s="3">
        <v>0.0</v>
      </c>
      <c r="K808" s="4">
        <f t="shared" si="1"/>
        <v>11831.72</v>
      </c>
      <c r="L808" s="4">
        <f t="shared" si="2"/>
        <v>2.163675273</v>
      </c>
    </row>
    <row r="809">
      <c r="A809" s="3" t="s">
        <v>86</v>
      </c>
      <c r="B809" s="3">
        <v>9.81</v>
      </c>
      <c r="C809" s="3">
        <v>31.74</v>
      </c>
      <c r="D809" s="3">
        <v>155.0</v>
      </c>
      <c r="E809" s="3">
        <v>10.0</v>
      </c>
      <c r="F809" s="3">
        <v>16.5</v>
      </c>
      <c r="G809" s="3">
        <v>102.03</v>
      </c>
      <c r="H809" s="3">
        <v>27.05</v>
      </c>
      <c r="I809" s="3">
        <v>0.0</v>
      </c>
      <c r="J809" s="3">
        <v>0.0</v>
      </c>
      <c r="K809" s="4">
        <f t="shared" si="1"/>
        <v>10682.3709</v>
      </c>
      <c r="L809" s="4">
        <f t="shared" si="2"/>
        <v>2.249032563</v>
      </c>
    </row>
    <row r="810">
      <c r="A810" s="3" t="s">
        <v>86</v>
      </c>
      <c r="B810" s="3">
        <v>9.81</v>
      </c>
      <c r="C810" s="3">
        <v>34.62</v>
      </c>
      <c r="D810" s="3">
        <v>151.0</v>
      </c>
      <c r="E810" s="3">
        <v>12.0</v>
      </c>
      <c r="F810" s="3">
        <v>15.67</v>
      </c>
      <c r="G810" s="3">
        <v>97.49</v>
      </c>
      <c r="H810" s="3">
        <v>25.9</v>
      </c>
      <c r="I810" s="3">
        <v>0.0</v>
      </c>
      <c r="J810" s="3">
        <v>0.0</v>
      </c>
      <c r="K810" s="4">
        <f t="shared" si="1"/>
        <v>9749.849</v>
      </c>
      <c r="L810" s="4">
        <f t="shared" si="2"/>
        <v>2.338600321</v>
      </c>
    </row>
    <row r="811">
      <c r="A811" s="3" t="s">
        <v>87</v>
      </c>
      <c r="B811" s="3">
        <v>14.1</v>
      </c>
      <c r="C811" s="3">
        <v>3.44</v>
      </c>
      <c r="D811" s="3">
        <v>285.0</v>
      </c>
      <c r="E811" s="3">
        <v>14.4</v>
      </c>
      <c r="F811" s="3">
        <v>-0.57</v>
      </c>
      <c r="G811" s="3">
        <v>163.4</v>
      </c>
      <c r="H811" s="3">
        <v>239.5</v>
      </c>
      <c r="I811" s="3">
        <v>560.42</v>
      </c>
      <c r="J811" s="3">
        <v>13.23</v>
      </c>
      <c r="K811" s="4">
        <f t="shared" si="1"/>
        <v>26699.8849</v>
      </c>
      <c r="L811" s="4">
        <f t="shared" si="2"/>
        <v>3.042147946</v>
      </c>
    </row>
    <row r="812">
      <c r="A812" s="3" t="s">
        <v>87</v>
      </c>
      <c r="B812" s="3">
        <v>14.1</v>
      </c>
      <c r="C812" s="3">
        <v>3.77</v>
      </c>
      <c r="D812" s="3">
        <v>297.0</v>
      </c>
      <c r="E812" s="3">
        <v>13.6</v>
      </c>
      <c r="F812" s="3">
        <v>-0.57</v>
      </c>
      <c r="G812" s="3">
        <v>171.13</v>
      </c>
      <c r="H812" s="3">
        <v>229.25</v>
      </c>
      <c r="I812" s="3">
        <v>537.66</v>
      </c>
      <c r="J812" s="3">
        <v>5.28</v>
      </c>
      <c r="K812" s="4">
        <f t="shared" si="1"/>
        <v>29285.8018</v>
      </c>
      <c r="L812" s="4">
        <f t="shared" si="2"/>
        <v>3.012005633</v>
      </c>
    </row>
    <row r="813">
      <c r="A813" s="3" t="s">
        <v>87</v>
      </c>
      <c r="B813" s="3">
        <v>14.1</v>
      </c>
      <c r="C813" s="3">
        <v>4.13</v>
      </c>
      <c r="D813" s="3">
        <v>303.0</v>
      </c>
      <c r="E813" s="3">
        <v>8.47</v>
      </c>
      <c r="F813" s="3">
        <v>-0.43</v>
      </c>
      <c r="G813" s="3">
        <v>180.88</v>
      </c>
      <c r="H813" s="3">
        <v>219.24</v>
      </c>
      <c r="I813" s="3">
        <v>507.23</v>
      </c>
      <c r="J813" s="3">
        <v>1.94</v>
      </c>
      <c r="K813" s="4">
        <f t="shared" si="1"/>
        <v>32717.7593</v>
      </c>
      <c r="L813" s="4">
        <f t="shared" si="2"/>
        <v>2.806090697</v>
      </c>
    </row>
    <row r="814">
      <c r="A814" s="3" t="s">
        <v>87</v>
      </c>
      <c r="B814" s="3">
        <v>14.1</v>
      </c>
      <c r="C814" s="3">
        <v>4.47</v>
      </c>
      <c r="D814" s="3">
        <v>306.0</v>
      </c>
      <c r="E814" s="3">
        <v>5.93</v>
      </c>
      <c r="F814" s="3">
        <v>-0.1</v>
      </c>
      <c r="G814" s="3">
        <v>188.37</v>
      </c>
      <c r="H814" s="3">
        <v>210.91</v>
      </c>
      <c r="I814" s="3">
        <v>465.98</v>
      </c>
      <c r="J814" s="3">
        <v>0.76</v>
      </c>
      <c r="K814" s="4">
        <f t="shared" si="1"/>
        <v>35483.2669</v>
      </c>
      <c r="L814" s="4">
        <f t="shared" si="2"/>
        <v>2.638877651</v>
      </c>
    </row>
    <row r="815">
      <c r="A815" s="3" t="s">
        <v>87</v>
      </c>
      <c r="B815" s="3">
        <v>14.1</v>
      </c>
      <c r="C815" s="3">
        <v>4.8</v>
      </c>
      <c r="D815" s="3">
        <v>307.0</v>
      </c>
      <c r="E815" s="3">
        <v>5.93</v>
      </c>
      <c r="F815" s="3">
        <v>-0.19</v>
      </c>
      <c r="G815" s="3">
        <v>194.64</v>
      </c>
      <c r="H815" s="3">
        <v>203.54</v>
      </c>
      <c r="I815" s="3">
        <v>438.69</v>
      </c>
      <c r="J815" s="3">
        <v>0.3</v>
      </c>
      <c r="K815" s="4">
        <f t="shared" si="1"/>
        <v>37884.7657</v>
      </c>
      <c r="L815" s="4">
        <f t="shared" si="2"/>
        <v>2.487780992</v>
      </c>
    </row>
    <row r="816">
      <c r="A816" s="3" t="s">
        <v>87</v>
      </c>
      <c r="B816" s="3">
        <v>14.1</v>
      </c>
      <c r="C816" s="3">
        <v>5.13</v>
      </c>
      <c r="D816" s="3">
        <v>304.0</v>
      </c>
      <c r="E816" s="3">
        <v>8.47</v>
      </c>
      <c r="F816" s="3">
        <v>-0.28</v>
      </c>
      <c r="G816" s="3">
        <v>200.57</v>
      </c>
      <c r="H816" s="3">
        <v>196.88</v>
      </c>
      <c r="I816" s="3">
        <v>413.05</v>
      </c>
      <c r="J816" s="3">
        <v>0.12</v>
      </c>
      <c r="K816" s="4">
        <f t="shared" si="1"/>
        <v>40228.4033</v>
      </c>
      <c r="L816" s="4">
        <f t="shared" si="2"/>
        <v>2.297282328</v>
      </c>
    </row>
    <row r="817">
      <c r="A817" s="3" t="s">
        <v>87</v>
      </c>
      <c r="B817" s="3">
        <v>14.1</v>
      </c>
      <c r="C817" s="3">
        <v>5.48</v>
      </c>
      <c r="D817" s="3">
        <v>308.0</v>
      </c>
      <c r="E817" s="3">
        <v>8.47</v>
      </c>
      <c r="F817" s="3">
        <v>-0.38</v>
      </c>
      <c r="G817" s="3">
        <v>206.64</v>
      </c>
      <c r="H817" s="3">
        <v>190.44</v>
      </c>
      <c r="I817" s="3">
        <v>383.91</v>
      </c>
      <c r="J817" s="3">
        <v>0.05</v>
      </c>
      <c r="K817" s="4">
        <f t="shared" si="1"/>
        <v>42700.234</v>
      </c>
      <c r="L817" s="4">
        <f t="shared" si="2"/>
        <v>2.22162717</v>
      </c>
    </row>
    <row r="818">
      <c r="A818" s="3" t="s">
        <v>87</v>
      </c>
      <c r="B818" s="3">
        <v>14.1</v>
      </c>
      <c r="C818" s="3">
        <v>5.83</v>
      </c>
      <c r="D818" s="3">
        <v>313.0</v>
      </c>
      <c r="E818" s="3">
        <v>12.7</v>
      </c>
      <c r="F818" s="3">
        <v>-0.48</v>
      </c>
      <c r="G818" s="3">
        <v>211.29</v>
      </c>
      <c r="H818" s="3">
        <v>184.57</v>
      </c>
      <c r="I818" s="3">
        <v>352.6</v>
      </c>
      <c r="J818" s="3">
        <v>0.02</v>
      </c>
      <c r="K818" s="4">
        <f t="shared" si="1"/>
        <v>44643.6945</v>
      </c>
      <c r="L818" s="4">
        <f t="shared" si="2"/>
        <v>2.194464439</v>
      </c>
    </row>
    <row r="819">
      <c r="A819" s="3" t="s">
        <v>87</v>
      </c>
      <c r="B819" s="3">
        <v>14.1</v>
      </c>
      <c r="C819" s="3">
        <v>6.16</v>
      </c>
      <c r="D819" s="3">
        <v>314.0</v>
      </c>
      <c r="E819" s="3">
        <v>9.32</v>
      </c>
      <c r="F819" s="3">
        <v>-0.53</v>
      </c>
      <c r="G819" s="3">
        <v>215.14</v>
      </c>
      <c r="H819" s="3">
        <v>179.57</v>
      </c>
      <c r="I819" s="3">
        <v>340.73</v>
      </c>
      <c r="J819" s="3">
        <v>0.01</v>
      </c>
      <c r="K819" s="4">
        <f t="shared" si="1"/>
        <v>46285.5005</v>
      </c>
      <c r="L819" s="4">
        <f t="shared" si="2"/>
        <v>2.130170333</v>
      </c>
    </row>
    <row r="820">
      <c r="A820" s="3" t="s">
        <v>87</v>
      </c>
      <c r="B820" s="3">
        <v>14.1</v>
      </c>
      <c r="C820" s="3">
        <v>6.51</v>
      </c>
      <c r="D820" s="3">
        <v>315.0</v>
      </c>
      <c r="E820" s="3">
        <v>6.78</v>
      </c>
      <c r="F820" s="3">
        <v>3.83</v>
      </c>
      <c r="G820" s="3">
        <v>221.84</v>
      </c>
      <c r="H820" s="3">
        <v>174.68</v>
      </c>
      <c r="I820" s="3">
        <v>329.32</v>
      </c>
      <c r="J820" s="3">
        <v>0.0</v>
      </c>
      <c r="K820" s="4">
        <f t="shared" si="1"/>
        <v>49227.6545</v>
      </c>
      <c r="L820" s="4">
        <f t="shared" si="2"/>
        <v>2.015635338</v>
      </c>
    </row>
    <row r="821">
      <c r="A821" s="3" t="s">
        <v>87</v>
      </c>
      <c r="B821" s="3">
        <v>14.1</v>
      </c>
      <c r="C821" s="3">
        <v>6.86</v>
      </c>
      <c r="D821" s="3">
        <v>317.0</v>
      </c>
      <c r="E821" s="3">
        <v>8.47</v>
      </c>
      <c r="F821" s="3">
        <v>8.02</v>
      </c>
      <c r="G821" s="3">
        <v>227.72</v>
      </c>
      <c r="H821" s="3">
        <v>170.15</v>
      </c>
      <c r="I821" s="3">
        <v>300.88</v>
      </c>
      <c r="J821" s="3">
        <v>0.0</v>
      </c>
      <c r="K821" s="4">
        <f t="shared" si="1"/>
        <v>51920.7188</v>
      </c>
      <c r="L821" s="4">
        <f t="shared" si="2"/>
        <v>1.935431603</v>
      </c>
    </row>
    <row r="822">
      <c r="A822" s="3" t="s">
        <v>87</v>
      </c>
      <c r="B822" s="3">
        <v>14.1</v>
      </c>
      <c r="C822" s="3">
        <v>7.18</v>
      </c>
      <c r="D822" s="3">
        <v>320.0</v>
      </c>
      <c r="E822" s="3">
        <v>7.63</v>
      </c>
      <c r="F822" s="3">
        <v>12.15</v>
      </c>
      <c r="G822" s="3">
        <v>231.73</v>
      </c>
      <c r="H822" s="3">
        <v>166.32</v>
      </c>
      <c r="I822" s="3">
        <v>276.7</v>
      </c>
      <c r="J822" s="3">
        <v>0.0</v>
      </c>
      <c r="K822" s="4">
        <f t="shared" si="1"/>
        <v>53846.4154</v>
      </c>
      <c r="L822" s="4">
        <f t="shared" si="2"/>
        <v>1.901705048</v>
      </c>
    </row>
    <row r="823">
      <c r="A823" s="3" t="s">
        <v>87</v>
      </c>
      <c r="B823" s="3">
        <v>14.1</v>
      </c>
      <c r="C823" s="3">
        <v>7.51</v>
      </c>
      <c r="D823" s="3">
        <v>316.0</v>
      </c>
      <c r="E823" s="3">
        <v>20.5</v>
      </c>
      <c r="F823" s="3">
        <v>16.24</v>
      </c>
      <c r="G823" s="3">
        <v>235.48</v>
      </c>
      <c r="H823" s="3">
        <v>162.63</v>
      </c>
      <c r="I823" s="3">
        <v>259.76</v>
      </c>
      <c r="J823" s="3">
        <v>0.0</v>
      </c>
      <c r="K823" s="4">
        <f t="shared" si="1"/>
        <v>55714.568</v>
      </c>
      <c r="L823" s="4">
        <f t="shared" si="2"/>
        <v>1.792278099</v>
      </c>
    </row>
    <row r="824">
      <c r="A824" s="3" t="s">
        <v>87</v>
      </c>
      <c r="B824" s="3">
        <v>14.1</v>
      </c>
      <c r="C824" s="3">
        <v>7.85</v>
      </c>
      <c r="D824" s="3">
        <v>318.0</v>
      </c>
      <c r="E824" s="3">
        <v>23.4</v>
      </c>
      <c r="F824" s="3">
        <v>20.27</v>
      </c>
      <c r="G824" s="3">
        <v>239.96</v>
      </c>
      <c r="H824" s="3">
        <v>159.08</v>
      </c>
      <c r="I824" s="3">
        <v>241.28</v>
      </c>
      <c r="J824" s="3">
        <v>0.0</v>
      </c>
      <c r="K824" s="4">
        <f t="shared" si="1"/>
        <v>57991.6745</v>
      </c>
      <c r="L824" s="4">
        <f t="shared" si="2"/>
        <v>1.743767547</v>
      </c>
    </row>
    <row r="825">
      <c r="A825" s="3" t="s">
        <v>87</v>
      </c>
      <c r="B825" s="3">
        <v>14.1</v>
      </c>
      <c r="C825" s="3">
        <v>8.21</v>
      </c>
      <c r="D825" s="3">
        <v>321.0</v>
      </c>
      <c r="E825" s="3">
        <v>8.48</v>
      </c>
      <c r="F825" s="3">
        <v>24.66</v>
      </c>
      <c r="G825" s="3">
        <v>243.42</v>
      </c>
      <c r="H825" s="3">
        <v>155.54</v>
      </c>
      <c r="I825" s="3">
        <v>214.54</v>
      </c>
      <c r="J825" s="3">
        <v>0.0</v>
      </c>
      <c r="K825" s="4">
        <f t="shared" si="1"/>
        <v>59861.412</v>
      </c>
      <c r="L825" s="4">
        <f t="shared" si="2"/>
        <v>1.721325919</v>
      </c>
    </row>
    <row r="826">
      <c r="A826" s="3" t="s">
        <v>87</v>
      </c>
      <c r="B826" s="3">
        <v>14.1</v>
      </c>
      <c r="C826" s="3">
        <v>8.57</v>
      </c>
      <c r="D826" s="3">
        <v>323.0</v>
      </c>
      <c r="E826" s="3">
        <v>8.66</v>
      </c>
      <c r="F826" s="3">
        <v>27.1</v>
      </c>
      <c r="G826" s="3">
        <v>245.15</v>
      </c>
      <c r="H826" s="3">
        <v>152.23</v>
      </c>
      <c r="I826" s="3">
        <v>187.05</v>
      </c>
      <c r="J826" s="3">
        <v>0.0</v>
      </c>
      <c r="K826" s="4">
        <f t="shared" si="1"/>
        <v>60832.9325</v>
      </c>
      <c r="L826" s="4">
        <f t="shared" si="2"/>
        <v>1.715008561</v>
      </c>
    </row>
    <row r="827">
      <c r="A827" s="3" t="s">
        <v>87</v>
      </c>
      <c r="B827" s="3">
        <v>14.1</v>
      </c>
      <c r="C827" s="3">
        <v>8.9</v>
      </c>
      <c r="D827" s="3">
        <v>321.0</v>
      </c>
      <c r="E827" s="3">
        <v>12.7</v>
      </c>
      <c r="F827" s="3">
        <v>29.42</v>
      </c>
      <c r="G827" s="3">
        <v>245.8</v>
      </c>
      <c r="H827" s="3">
        <v>149.38</v>
      </c>
      <c r="I827" s="3">
        <v>167.67</v>
      </c>
      <c r="J827" s="3">
        <v>0.0</v>
      </c>
      <c r="K827" s="4">
        <f t="shared" si="1"/>
        <v>61283.1764</v>
      </c>
      <c r="L827" s="4">
        <f t="shared" si="2"/>
        <v>1.681391306</v>
      </c>
    </row>
    <row r="828">
      <c r="A828" s="3" t="s">
        <v>87</v>
      </c>
      <c r="B828" s="3">
        <v>14.1</v>
      </c>
      <c r="C828" s="3">
        <v>9.24</v>
      </c>
      <c r="D828" s="3">
        <v>323.0</v>
      </c>
      <c r="E828" s="3">
        <v>11.0</v>
      </c>
      <c r="F828" s="3">
        <v>31.74</v>
      </c>
      <c r="G828" s="3">
        <v>245.24</v>
      </c>
      <c r="H828" s="3">
        <v>146.61</v>
      </c>
      <c r="I828" s="3">
        <v>150.42</v>
      </c>
      <c r="J828" s="3">
        <v>0.0</v>
      </c>
      <c r="K828" s="4">
        <f t="shared" si="1"/>
        <v>61150.0852</v>
      </c>
      <c r="L828" s="4">
        <f t="shared" si="2"/>
        <v>1.706113731</v>
      </c>
    </row>
    <row r="829">
      <c r="A829" s="3" t="s">
        <v>87</v>
      </c>
      <c r="B829" s="3">
        <v>14.1</v>
      </c>
      <c r="C829" s="3">
        <v>9.6</v>
      </c>
      <c r="D829" s="3">
        <v>323.0</v>
      </c>
      <c r="E829" s="3">
        <v>10.4</v>
      </c>
      <c r="F829" s="3">
        <v>34.31</v>
      </c>
      <c r="G829" s="3">
        <v>244.14</v>
      </c>
      <c r="H829" s="3">
        <v>143.83</v>
      </c>
      <c r="I829" s="3">
        <v>136.11</v>
      </c>
      <c r="J829" s="3">
        <v>0.0</v>
      </c>
      <c r="K829" s="4">
        <f t="shared" si="1"/>
        <v>60781.5157</v>
      </c>
      <c r="L829" s="4">
        <f t="shared" si="2"/>
        <v>1.716459335</v>
      </c>
    </row>
    <row r="830">
      <c r="A830" s="3" t="s">
        <v>87</v>
      </c>
      <c r="B830" s="3">
        <v>14.1</v>
      </c>
      <c r="C830" s="3">
        <v>9.93</v>
      </c>
      <c r="D830" s="3">
        <v>322.0</v>
      </c>
      <c r="E830" s="3">
        <v>13.6</v>
      </c>
      <c r="F830" s="3">
        <v>36.63</v>
      </c>
      <c r="G830" s="3">
        <v>243.64</v>
      </c>
      <c r="H830" s="3">
        <v>141.42</v>
      </c>
      <c r="I830" s="3">
        <v>126.37</v>
      </c>
      <c r="J830" s="3">
        <v>0.0</v>
      </c>
      <c r="K830" s="4">
        <f t="shared" si="1"/>
        <v>60702.2065</v>
      </c>
      <c r="L830" s="4">
        <f t="shared" si="2"/>
        <v>1.708076295</v>
      </c>
    </row>
    <row r="831">
      <c r="A831" s="3" t="s">
        <v>87</v>
      </c>
      <c r="B831" s="3">
        <v>14.1</v>
      </c>
      <c r="C831" s="3">
        <v>10.27</v>
      </c>
      <c r="D831" s="3">
        <v>321.0</v>
      </c>
      <c r="E831" s="3">
        <v>13.6</v>
      </c>
      <c r="F831" s="3">
        <v>38.95</v>
      </c>
      <c r="G831" s="3">
        <v>243.6</v>
      </c>
      <c r="H831" s="3">
        <v>139.06</v>
      </c>
      <c r="I831" s="3">
        <v>118.7</v>
      </c>
      <c r="J831" s="3">
        <v>0.0</v>
      </c>
      <c r="K831" s="4">
        <f t="shared" si="1"/>
        <v>60858.0625</v>
      </c>
      <c r="L831" s="4">
        <f t="shared" si="2"/>
        <v>1.693136386</v>
      </c>
    </row>
    <row r="832">
      <c r="A832" s="3" t="s">
        <v>87</v>
      </c>
      <c r="B832" s="3">
        <v>14.1</v>
      </c>
      <c r="C832" s="3">
        <v>10.6</v>
      </c>
      <c r="D832" s="3">
        <v>323.0</v>
      </c>
      <c r="E832" s="3">
        <v>9.32</v>
      </c>
      <c r="F832" s="3">
        <v>41.02</v>
      </c>
      <c r="G832" s="3">
        <v>243.38</v>
      </c>
      <c r="H832" s="3">
        <v>136.88</v>
      </c>
      <c r="I832" s="3">
        <v>108.16</v>
      </c>
      <c r="J832" s="3">
        <v>0.0</v>
      </c>
      <c r="K832" s="4">
        <f t="shared" si="1"/>
        <v>60916.4648</v>
      </c>
      <c r="L832" s="4">
        <f t="shared" si="2"/>
        <v>1.712656838</v>
      </c>
    </row>
    <row r="833">
      <c r="A833" s="3" t="s">
        <v>87</v>
      </c>
      <c r="B833" s="3">
        <v>14.1</v>
      </c>
      <c r="C833" s="3">
        <v>10.93</v>
      </c>
      <c r="D833" s="3">
        <v>322.0</v>
      </c>
      <c r="E833" s="3">
        <v>11.9</v>
      </c>
      <c r="F833" s="3">
        <v>43.22</v>
      </c>
      <c r="G833" s="3">
        <v>243.08</v>
      </c>
      <c r="H833" s="3">
        <v>134.8</v>
      </c>
      <c r="I833" s="3">
        <v>97.33</v>
      </c>
      <c r="J833" s="3">
        <v>0.0</v>
      </c>
      <c r="K833" s="4">
        <f t="shared" si="1"/>
        <v>60955.8548</v>
      </c>
      <c r="L833" s="4">
        <f t="shared" si="2"/>
        <v>1.700968682</v>
      </c>
    </row>
    <row r="834">
      <c r="A834" s="3" t="s">
        <v>87</v>
      </c>
      <c r="B834" s="3">
        <v>14.1</v>
      </c>
      <c r="C834" s="3">
        <v>11.27</v>
      </c>
      <c r="D834" s="3">
        <v>321.0</v>
      </c>
      <c r="E834" s="3">
        <v>11.0</v>
      </c>
      <c r="F834" s="3">
        <v>45.42</v>
      </c>
      <c r="G834" s="3">
        <v>242.44</v>
      </c>
      <c r="H834" s="3">
        <v>132.75</v>
      </c>
      <c r="I834" s="3">
        <v>86.07</v>
      </c>
      <c r="J834" s="3">
        <v>0.0</v>
      </c>
      <c r="K834" s="4">
        <f t="shared" si="1"/>
        <v>60840.13</v>
      </c>
      <c r="L834" s="4">
        <f t="shared" si="2"/>
        <v>1.693635434</v>
      </c>
    </row>
    <row r="835">
      <c r="A835" s="3" t="s">
        <v>87</v>
      </c>
      <c r="B835" s="3">
        <v>14.1</v>
      </c>
      <c r="C835" s="3">
        <v>12.31</v>
      </c>
      <c r="D835" s="3">
        <v>323.0</v>
      </c>
      <c r="E835" s="3">
        <v>4.24</v>
      </c>
      <c r="F835" s="3">
        <v>52.25</v>
      </c>
      <c r="G835" s="3">
        <v>237.3</v>
      </c>
      <c r="H835" s="3">
        <v>127.02</v>
      </c>
      <c r="I835" s="3">
        <v>60.76</v>
      </c>
      <c r="J835" s="3">
        <v>0.0</v>
      </c>
      <c r="K835" s="4">
        <f t="shared" si="1"/>
        <v>59041.3525</v>
      </c>
      <c r="L835" s="4">
        <f t="shared" si="2"/>
        <v>1.767049628</v>
      </c>
    </row>
    <row r="836">
      <c r="A836" s="3" t="s">
        <v>87</v>
      </c>
      <c r="B836" s="3">
        <v>14.1</v>
      </c>
      <c r="C836" s="3">
        <v>14.35</v>
      </c>
      <c r="D836" s="3">
        <v>319.0</v>
      </c>
      <c r="E836" s="3">
        <v>4.24</v>
      </c>
      <c r="F836" s="3">
        <v>56.77</v>
      </c>
      <c r="G836" s="3">
        <v>222.06</v>
      </c>
      <c r="H836" s="3">
        <v>117.64</v>
      </c>
      <c r="I836" s="3">
        <v>30.36</v>
      </c>
      <c r="J836" s="3">
        <v>0.0</v>
      </c>
      <c r="K836" s="4">
        <f t="shared" si="1"/>
        <v>52533.4765</v>
      </c>
      <c r="L836" s="4">
        <f t="shared" si="2"/>
        <v>1.937069594</v>
      </c>
    </row>
    <row r="837">
      <c r="A837" s="3" t="s">
        <v>87</v>
      </c>
      <c r="B837" s="3">
        <v>14.1</v>
      </c>
      <c r="C837" s="3">
        <v>16.4</v>
      </c>
      <c r="D837" s="3">
        <v>308.0</v>
      </c>
      <c r="E837" s="3">
        <v>4.24</v>
      </c>
      <c r="F837" s="3">
        <v>51.89</v>
      </c>
      <c r="G837" s="3">
        <v>207.98</v>
      </c>
      <c r="H837" s="3">
        <v>110.04</v>
      </c>
      <c r="I837" s="3">
        <v>19.68</v>
      </c>
      <c r="J837" s="3">
        <v>0.0</v>
      </c>
      <c r="K837" s="4">
        <f t="shared" si="1"/>
        <v>45948.2525</v>
      </c>
      <c r="L837" s="4">
        <f t="shared" si="2"/>
        <v>2.064583414</v>
      </c>
    </row>
    <row r="838">
      <c r="A838" s="3" t="s">
        <v>87</v>
      </c>
      <c r="B838" s="3">
        <v>14.1</v>
      </c>
      <c r="C838" s="3">
        <v>18.48</v>
      </c>
      <c r="D838" s="3">
        <v>299.0</v>
      </c>
      <c r="E838" s="3">
        <v>5.66</v>
      </c>
      <c r="F838" s="3">
        <v>48.35</v>
      </c>
      <c r="G838" s="3">
        <v>196.87</v>
      </c>
      <c r="H838" s="3">
        <v>103.67</v>
      </c>
      <c r="I838" s="3">
        <v>11.59</v>
      </c>
      <c r="J838" s="3">
        <v>0.0</v>
      </c>
      <c r="K838" s="4">
        <f t="shared" si="1"/>
        <v>41095.5194</v>
      </c>
      <c r="L838" s="4">
        <f t="shared" si="2"/>
        <v>2.175443973</v>
      </c>
    </row>
    <row r="839">
      <c r="A839" s="3" t="s">
        <v>87</v>
      </c>
      <c r="B839" s="3">
        <v>14.1</v>
      </c>
      <c r="C839" s="3">
        <v>20.57</v>
      </c>
      <c r="D839" s="3">
        <v>299.0</v>
      </c>
      <c r="E839" s="3">
        <v>5.66</v>
      </c>
      <c r="F839" s="3">
        <v>54.45</v>
      </c>
      <c r="G839" s="3">
        <v>185.72</v>
      </c>
      <c r="H839" s="3">
        <v>98.26</v>
      </c>
      <c r="I839" s="3">
        <v>7.0</v>
      </c>
      <c r="J839" s="3">
        <v>0.0</v>
      </c>
      <c r="K839" s="4">
        <f t="shared" si="1"/>
        <v>37456.7209</v>
      </c>
      <c r="L839" s="4">
        <f t="shared" si="2"/>
        <v>2.386781273</v>
      </c>
    </row>
    <row r="840">
      <c r="A840" s="3" t="s">
        <v>87</v>
      </c>
      <c r="B840" s="3">
        <v>14.1</v>
      </c>
      <c r="C840" s="3">
        <v>22.51</v>
      </c>
      <c r="D840" s="3">
        <v>298.0</v>
      </c>
      <c r="E840" s="3">
        <v>5.66</v>
      </c>
      <c r="F840" s="3">
        <v>63.61</v>
      </c>
      <c r="G840" s="3">
        <v>176.98</v>
      </c>
      <c r="H840" s="3">
        <v>93.93</v>
      </c>
      <c r="I840" s="3">
        <v>4.66</v>
      </c>
      <c r="J840" s="3">
        <v>0.0</v>
      </c>
      <c r="K840" s="4">
        <f t="shared" si="1"/>
        <v>35368.1525</v>
      </c>
      <c r="L840" s="4">
        <f t="shared" si="2"/>
        <v>2.510846446</v>
      </c>
    </row>
    <row r="841">
      <c r="A841" s="3" t="s">
        <v>87</v>
      </c>
      <c r="B841" s="3">
        <v>14.1</v>
      </c>
      <c r="C841" s="3">
        <v>24.59</v>
      </c>
      <c r="D841" s="3">
        <v>296.0</v>
      </c>
      <c r="E841" s="3">
        <v>5.66</v>
      </c>
      <c r="F841" s="3">
        <v>66.17</v>
      </c>
      <c r="G841" s="3">
        <v>168.93</v>
      </c>
      <c r="H841" s="3">
        <v>89.87</v>
      </c>
      <c r="I841" s="3">
        <v>3.04</v>
      </c>
      <c r="J841" s="3">
        <v>0.0</v>
      </c>
      <c r="K841" s="4">
        <f t="shared" si="1"/>
        <v>32915.8138</v>
      </c>
      <c r="L841" s="4">
        <f t="shared" si="2"/>
        <v>2.661820866</v>
      </c>
    </row>
    <row r="842">
      <c r="A842" s="3" t="s">
        <v>87</v>
      </c>
      <c r="B842" s="3">
        <v>14.1</v>
      </c>
      <c r="C842" s="3">
        <v>26.68</v>
      </c>
      <c r="D842" s="3">
        <v>293.0</v>
      </c>
      <c r="E842" s="3">
        <v>4.24</v>
      </c>
      <c r="F842" s="3">
        <v>61.9</v>
      </c>
      <c r="G842" s="3">
        <v>161.21</v>
      </c>
      <c r="H842" s="3">
        <v>86.28</v>
      </c>
      <c r="I842" s="3">
        <v>1.15</v>
      </c>
      <c r="J842" s="3">
        <v>0.0</v>
      </c>
      <c r="K842" s="4">
        <f t="shared" si="1"/>
        <v>29820.2741</v>
      </c>
      <c r="L842" s="4">
        <f t="shared" si="2"/>
        <v>2.878880312</v>
      </c>
    </row>
    <row r="843">
      <c r="A843" s="3" t="s">
        <v>87</v>
      </c>
      <c r="B843" s="3">
        <v>14.1</v>
      </c>
      <c r="C843" s="3">
        <v>28.77</v>
      </c>
      <c r="D843" s="3">
        <v>289.0</v>
      </c>
      <c r="E843" s="3">
        <v>4.24</v>
      </c>
      <c r="F843" s="3">
        <v>58.85</v>
      </c>
      <c r="G843" s="3">
        <v>153.59</v>
      </c>
      <c r="H843" s="3">
        <v>83.08</v>
      </c>
      <c r="I843" s="3">
        <v>0.69</v>
      </c>
      <c r="J843" s="3">
        <v>0.0</v>
      </c>
      <c r="K843" s="4">
        <f t="shared" si="1"/>
        <v>27053.2106</v>
      </c>
      <c r="L843" s="4">
        <f t="shared" si="2"/>
        <v>3.087286061</v>
      </c>
    </row>
    <row r="844">
      <c r="A844" s="3" t="s">
        <v>87</v>
      </c>
      <c r="B844" s="3">
        <v>14.1</v>
      </c>
      <c r="C844" s="3">
        <v>30.7</v>
      </c>
      <c r="D844" s="3">
        <v>289.0</v>
      </c>
      <c r="E844" s="3">
        <v>4.24</v>
      </c>
      <c r="F844" s="3">
        <v>57.01</v>
      </c>
      <c r="G844" s="3">
        <v>147.56</v>
      </c>
      <c r="H844" s="3">
        <v>80.43</v>
      </c>
      <c r="I844" s="3">
        <v>0.41</v>
      </c>
      <c r="J844" s="3">
        <v>0.0</v>
      </c>
      <c r="K844" s="4">
        <f t="shared" si="1"/>
        <v>25024.0937</v>
      </c>
      <c r="L844" s="4">
        <f t="shared" si="2"/>
        <v>3.337623372</v>
      </c>
    </row>
    <row r="845">
      <c r="A845" s="3" t="s">
        <v>87</v>
      </c>
      <c r="B845" s="3">
        <v>14.1</v>
      </c>
      <c r="C845" s="3">
        <v>32.79</v>
      </c>
      <c r="D845" s="3">
        <v>288.0</v>
      </c>
      <c r="E845" s="3">
        <v>4.24</v>
      </c>
      <c r="F845" s="3">
        <v>57.38</v>
      </c>
      <c r="G845" s="3">
        <v>141.95</v>
      </c>
      <c r="H845" s="3">
        <v>77.82</v>
      </c>
      <c r="I845" s="3">
        <v>0.23</v>
      </c>
      <c r="J845" s="3">
        <v>0.0</v>
      </c>
      <c r="K845" s="4">
        <f t="shared" si="1"/>
        <v>23442.2669</v>
      </c>
      <c r="L845" s="4">
        <f t="shared" si="2"/>
        <v>3.538224369</v>
      </c>
    </row>
    <row r="846">
      <c r="A846" s="3" t="s">
        <v>87</v>
      </c>
      <c r="B846" s="3">
        <v>14.1</v>
      </c>
      <c r="C846" s="3">
        <v>34.88</v>
      </c>
      <c r="D846" s="3">
        <v>285.0</v>
      </c>
      <c r="E846" s="3">
        <v>4.24</v>
      </c>
      <c r="F846" s="3">
        <v>60.43</v>
      </c>
      <c r="G846" s="3">
        <v>136.82</v>
      </c>
      <c r="H846" s="3">
        <v>75.46</v>
      </c>
      <c r="I846" s="3">
        <v>0.13</v>
      </c>
      <c r="J846" s="3">
        <v>0.0</v>
      </c>
      <c r="K846" s="4">
        <f t="shared" si="1"/>
        <v>22371.4973</v>
      </c>
      <c r="L846" s="4">
        <f t="shared" si="2"/>
        <v>3.630735972</v>
      </c>
    </row>
    <row r="847">
      <c r="A847" s="3" t="s">
        <v>87</v>
      </c>
      <c r="B847" s="3">
        <v>14.1</v>
      </c>
      <c r="C847" s="3">
        <v>36.96</v>
      </c>
      <c r="D847" s="3">
        <v>283.0</v>
      </c>
      <c r="E847" s="3">
        <v>2.83</v>
      </c>
      <c r="F847" s="3">
        <v>64.09</v>
      </c>
      <c r="G847" s="3">
        <v>132.38</v>
      </c>
      <c r="H847" s="3">
        <v>73.3</v>
      </c>
      <c r="I847" s="3">
        <v>0.07</v>
      </c>
      <c r="J847" s="3">
        <v>0.0</v>
      </c>
      <c r="K847" s="4">
        <f t="shared" si="1"/>
        <v>21631.9925</v>
      </c>
      <c r="L847" s="4">
        <f t="shared" si="2"/>
        <v>3.702340411</v>
      </c>
    </row>
    <row r="848">
      <c r="A848" s="3" t="s">
        <v>87</v>
      </c>
      <c r="B848" s="3">
        <v>14.1</v>
      </c>
      <c r="C848" s="3">
        <v>38.9</v>
      </c>
      <c r="D848" s="3">
        <v>275.0</v>
      </c>
      <c r="E848" s="3">
        <v>2.83</v>
      </c>
      <c r="F848" s="3">
        <v>66.9</v>
      </c>
      <c r="G848" s="3">
        <v>128.66</v>
      </c>
      <c r="H848" s="3">
        <v>71.45</v>
      </c>
      <c r="I848" s="3">
        <v>0.04</v>
      </c>
      <c r="J848" s="3">
        <v>0.0</v>
      </c>
      <c r="K848" s="4">
        <f t="shared" si="1"/>
        <v>21029.0056</v>
      </c>
      <c r="L848" s="4">
        <f t="shared" si="2"/>
        <v>3.596223304</v>
      </c>
    </row>
    <row r="849">
      <c r="A849" s="3" t="s">
        <v>87</v>
      </c>
      <c r="B849" s="3">
        <v>14.1</v>
      </c>
      <c r="C849" s="3">
        <v>40.99</v>
      </c>
      <c r="D849" s="3">
        <v>272.0</v>
      </c>
      <c r="E849" s="3">
        <v>2.83</v>
      </c>
      <c r="F849" s="3">
        <v>68.61</v>
      </c>
      <c r="G849" s="3">
        <v>124.87</v>
      </c>
      <c r="H849" s="3">
        <v>69.61</v>
      </c>
      <c r="I849" s="3">
        <v>0.02</v>
      </c>
      <c r="J849" s="3">
        <v>0.0</v>
      </c>
      <c r="K849" s="4">
        <f t="shared" si="1"/>
        <v>20299.849</v>
      </c>
      <c r="L849" s="4">
        <f t="shared" si="2"/>
        <v>3.644559129</v>
      </c>
    </row>
    <row r="850">
      <c r="A850" s="3" t="s">
        <v>87</v>
      </c>
      <c r="B850" s="3">
        <v>14.1</v>
      </c>
      <c r="C850" s="3">
        <v>43.08</v>
      </c>
      <c r="D850" s="3">
        <v>271.0</v>
      </c>
      <c r="E850" s="3">
        <v>2.83</v>
      </c>
      <c r="F850" s="3">
        <v>68.98</v>
      </c>
      <c r="G850" s="3">
        <v>121.52</v>
      </c>
      <c r="H850" s="3">
        <v>67.9</v>
      </c>
      <c r="I850" s="3">
        <v>0.01</v>
      </c>
      <c r="J850" s="3">
        <v>0.0</v>
      </c>
      <c r="K850" s="4">
        <f t="shared" si="1"/>
        <v>19525.3508</v>
      </c>
      <c r="L850" s="4">
        <f t="shared" si="2"/>
        <v>3.761315264</v>
      </c>
    </row>
    <row r="851">
      <c r="A851" s="3" t="s">
        <v>87</v>
      </c>
      <c r="B851" s="3">
        <v>14.1</v>
      </c>
      <c r="C851" s="3">
        <v>45.16</v>
      </c>
      <c r="D851" s="3">
        <v>274.0</v>
      </c>
      <c r="E851" s="3">
        <v>4.24</v>
      </c>
      <c r="F851" s="3">
        <v>67.76</v>
      </c>
      <c r="G851" s="3">
        <v>118.47</v>
      </c>
      <c r="H851" s="3">
        <v>66.31</v>
      </c>
      <c r="I851" s="3">
        <v>0.01</v>
      </c>
      <c r="J851" s="3">
        <v>0.0</v>
      </c>
      <c r="K851" s="4">
        <f t="shared" si="1"/>
        <v>18626.5585</v>
      </c>
      <c r="L851" s="4">
        <f t="shared" si="2"/>
        <v>4.030588903</v>
      </c>
    </row>
    <row r="852">
      <c r="A852" s="3" t="s">
        <v>87</v>
      </c>
      <c r="B852" s="3">
        <v>14.1</v>
      </c>
      <c r="C852" s="3">
        <v>47.1</v>
      </c>
      <c r="D852" s="3">
        <v>277.0</v>
      </c>
      <c r="E852" s="3">
        <v>4.24</v>
      </c>
      <c r="F852" s="3">
        <v>65.19</v>
      </c>
      <c r="G852" s="3">
        <v>115.75</v>
      </c>
      <c r="H852" s="3">
        <v>64.93</v>
      </c>
      <c r="I852" s="3">
        <v>0.0</v>
      </c>
      <c r="J852" s="3">
        <v>0.0</v>
      </c>
      <c r="K852" s="4">
        <f t="shared" si="1"/>
        <v>17647.7986</v>
      </c>
      <c r="L852" s="4">
        <f t="shared" si="2"/>
        <v>4.347794404</v>
      </c>
    </row>
    <row r="853">
      <c r="A853" s="3" t="s">
        <v>87</v>
      </c>
      <c r="B853" s="3">
        <v>14.1</v>
      </c>
      <c r="C853" s="3">
        <v>49.19</v>
      </c>
      <c r="D853" s="3">
        <v>281.0</v>
      </c>
      <c r="E853" s="3">
        <v>4.24</v>
      </c>
      <c r="F853" s="3">
        <v>62.26</v>
      </c>
      <c r="G853" s="3">
        <v>113.11</v>
      </c>
      <c r="H853" s="3">
        <v>63.54</v>
      </c>
      <c r="I853" s="3">
        <v>0.0</v>
      </c>
      <c r="J853" s="3">
        <v>0.0</v>
      </c>
      <c r="K853" s="4">
        <f t="shared" si="1"/>
        <v>16670.1797</v>
      </c>
      <c r="L853" s="4">
        <f t="shared" si="2"/>
        <v>4.736661597</v>
      </c>
    </row>
    <row r="854">
      <c r="A854" s="3" t="s">
        <v>87</v>
      </c>
      <c r="B854" s="3">
        <v>14.1</v>
      </c>
      <c r="C854" s="3">
        <v>51.27</v>
      </c>
      <c r="D854" s="3">
        <v>286.0</v>
      </c>
      <c r="E854" s="3">
        <v>4.24</v>
      </c>
      <c r="F854" s="3">
        <v>60.55</v>
      </c>
      <c r="G854" s="3">
        <v>110.59</v>
      </c>
      <c r="H854" s="3">
        <v>62.24</v>
      </c>
      <c r="I854" s="3">
        <v>0.0</v>
      </c>
      <c r="J854" s="3">
        <v>0.0</v>
      </c>
      <c r="K854" s="4">
        <f t="shared" si="1"/>
        <v>15896.4506</v>
      </c>
      <c r="L854" s="4">
        <f t="shared" si="2"/>
        <v>5.145551171</v>
      </c>
    </row>
    <row r="855">
      <c r="A855" s="3" t="s">
        <v>87</v>
      </c>
      <c r="B855" s="3">
        <v>14.1</v>
      </c>
      <c r="C855" s="3">
        <v>53.36</v>
      </c>
      <c r="D855" s="3">
        <v>282.0</v>
      </c>
      <c r="E855" s="3">
        <v>4.24</v>
      </c>
      <c r="F855" s="3">
        <v>60.55</v>
      </c>
      <c r="G855" s="3">
        <v>108.3</v>
      </c>
      <c r="H855" s="3">
        <v>61.01</v>
      </c>
      <c r="I855" s="3">
        <v>0.0</v>
      </c>
      <c r="J855" s="3">
        <v>0.0</v>
      </c>
      <c r="K855" s="4">
        <f t="shared" si="1"/>
        <v>15395.1925</v>
      </c>
      <c r="L855" s="4">
        <f t="shared" si="2"/>
        <v>5.165508648</v>
      </c>
    </row>
    <row r="856">
      <c r="A856" s="3" t="s">
        <v>87</v>
      </c>
      <c r="B856" s="3">
        <v>14.1</v>
      </c>
      <c r="C856" s="3">
        <v>55.3</v>
      </c>
      <c r="D856" s="3">
        <v>283.0</v>
      </c>
      <c r="E856" s="3">
        <v>4.24</v>
      </c>
      <c r="F856" s="3">
        <v>62.39</v>
      </c>
      <c r="G856" s="3">
        <v>106.31</v>
      </c>
      <c r="H856" s="3">
        <v>59.93</v>
      </c>
      <c r="I856" s="3">
        <v>0.0</v>
      </c>
      <c r="J856" s="3">
        <v>0.0</v>
      </c>
      <c r="K856" s="4">
        <f t="shared" si="1"/>
        <v>15194.3282</v>
      </c>
      <c r="L856" s="4">
        <f t="shared" si="2"/>
        <v>5.270979996</v>
      </c>
    </row>
    <row r="857">
      <c r="A857" s="3" t="s">
        <v>87</v>
      </c>
      <c r="B857" s="3">
        <v>14.1</v>
      </c>
      <c r="C857" s="3">
        <v>57.38</v>
      </c>
      <c r="D857" s="3">
        <v>288.0</v>
      </c>
      <c r="E857" s="3">
        <v>5.66</v>
      </c>
      <c r="F857" s="3">
        <v>64.95</v>
      </c>
      <c r="G857" s="3">
        <v>104.23</v>
      </c>
      <c r="H857" s="3">
        <v>58.83</v>
      </c>
      <c r="I857" s="3">
        <v>0.0</v>
      </c>
      <c r="J857" s="3">
        <v>0.0</v>
      </c>
      <c r="K857" s="4">
        <f t="shared" si="1"/>
        <v>15082.3954</v>
      </c>
      <c r="L857" s="4">
        <f t="shared" si="2"/>
        <v>5.499391695</v>
      </c>
    </row>
    <row r="858">
      <c r="A858" s="3" t="s">
        <v>87</v>
      </c>
      <c r="B858" s="3">
        <v>14.1</v>
      </c>
      <c r="C858" s="3">
        <v>59.47</v>
      </c>
      <c r="D858" s="3">
        <v>287.0</v>
      </c>
      <c r="E858" s="3">
        <v>5.66</v>
      </c>
      <c r="F858" s="3">
        <v>67.27</v>
      </c>
      <c r="G858" s="3">
        <v>102.32</v>
      </c>
      <c r="H858" s="3">
        <v>57.79</v>
      </c>
      <c r="I858" s="3">
        <v>0.0</v>
      </c>
      <c r="J858" s="3">
        <v>0.0</v>
      </c>
      <c r="K858" s="4">
        <f t="shared" si="1"/>
        <v>14994.6353</v>
      </c>
      <c r="L858" s="4">
        <f t="shared" si="2"/>
        <v>5.493231303</v>
      </c>
    </row>
    <row r="859">
      <c r="A859" s="3" t="s">
        <v>87</v>
      </c>
      <c r="B859" s="3">
        <v>14.1</v>
      </c>
      <c r="C859" s="3">
        <v>61.56</v>
      </c>
      <c r="D859" s="3">
        <v>289.0</v>
      </c>
      <c r="E859" s="3">
        <v>7.07</v>
      </c>
      <c r="F859" s="3">
        <v>68.49</v>
      </c>
      <c r="G859" s="3">
        <v>100.51</v>
      </c>
      <c r="H859" s="3">
        <v>56.8</v>
      </c>
      <c r="I859" s="3">
        <v>0.0</v>
      </c>
      <c r="J859" s="3">
        <v>0.0</v>
      </c>
      <c r="K859" s="4">
        <f t="shared" si="1"/>
        <v>14793.1402</v>
      </c>
      <c r="L859" s="4">
        <f t="shared" si="2"/>
        <v>5.645927698</v>
      </c>
    </row>
    <row r="860">
      <c r="A860" s="3" t="s">
        <v>87</v>
      </c>
      <c r="B860" s="3">
        <v>14.1</v>
      </c>
      <c r="C860" s="3">
        <v>63.64</v>
      </c>
      <c r="D860" s="3">
        <v>294.0</v>
      </c>
      <c r="E860" s="3">
        <v>7.07</v>
      </c>
      <c r="F860" s="3">
        <v>68.73</v>
      </c>
      <c r="G860" s="3">
        <v>98.76</v>
      </c>
      <c r="H860" s="3">
        <v>55.86</v>
      </c>
      <c r="I860" s="3">
        <v>0.0</v>
      </c>
      <c r="J860" s="3">
        <v>0.0</v>
      </c>
      <c r="K860" s="4">
        <f t="shared" si="1"/>
        <v>14477.3505</v>
      </c>
      <c r="L860" s="4">
        <f t="shared" si="2"/>
        <v>5.970429465</v>
      </c>
    </row>
    <row r="861">
      <c r="A861" s="3" t="s">
        <v>88</v>
      </c>
      <c r="B861" s="3">
        <v>6.6</v>
      </c>
      <c r="C861" s="3">
        <v>0.32</v>
      </c>
      <c r="D861" s="3">
        <v>44.0</v>
      </c>
      <c r="E861" s="3">
        <v>8.0</v>
      </c>
      <c r="F861" s="3">
        <v>0.01</v>
      </c>
      <c r="G861" s="3">
        <v>197.82</v>
      </c>
      <c r="H861" s="3">
        <v>0.0</v>
      </c>
      <c r="I861" s="3">
        <v>7393.57</v>
      </c>
      <c r="J861" s="3">
        <v>0.0</v>
      </c>
      <c r="K861" s="4">
        <f t="shared" si="1"/>
        <v>39132.7525</v>
      </c>
      <c r="L861" s="4">
        <f t="shared" si="2"/>
        <v>0.04947262526</v>
      </c>
    </row>
    <row r="862">
      <c r="A862" s="3" t="s">
        <v>88</v>
      </c>
      <c r="B862" s="3">
        <v>6.6</v>
      </c>
      <c r="C862" s="3">
        <v>0.64</v>
      </c>
      <c r="D862" s="3">
        <v>64.0</v>
      </c>
      <c r="E862" s="3">
        <v>8.0</v>
      </c>
      <c r="F862" s="3">
        <v>0.03</v>
      </c>
      <c r="G862" s="3">
        <v>204.19</v>
      </c>
      <c r="H862" s="3">
        <v>0.0</v>
      </c>
      <c r="I862" s="3">
        <v>3002.08</v>
      </c>
      <c r="J862" s="3">
        <v>0.0</v>
      </c>
      <c r="K862" s="4">
        <f t="shared" si="1"/>
        <v>41693.557</v>
      </c>
      <c r="L862" s="4">
        <f t="shared" si="2"/>
        <v>0.09824059866</v>
      </c>
    </row>
    <row r="863">
      <c r="A863" s="3" t="s">
        <v>88</v>
      </c>
      <c r="B863" s="3">
        <v>6.6</v>
      </c>
      <c r="C863" s="3">
        <v>0.96</v>
      </c>
      <c r="D863" s="3">
        <v>128.0</v>
      </c>
      <c r="E863" s="3">
        <v>8.0</v>
      </c>
      <c r="F863" s="3">
        <v>0.08</v>
      </c>
      <c r="G863" s="3">
        <v>209.11</v>
      </c>
      <c r="H863" s="3">
        <v>0.0</v>
      </c>
      <c r="I863" s="3">
        <v>2411.81</v>
      </c>
      <c r="J863" s="3">
        <v>0.0</v>
      </c>
      <c r="K863" s="4">
        <f t="shared" si="1"/>
        <v>43726.9985</v>
      </c>
      <c r="L863" s="4">
        <f t="shared" si="2"/>
        <v>0.3746884205</v>
      </c>
    </row>
    <row r="864">
      <c r="A864" s="3" t="s">
        <v>88</v>
      </c>
      <c r="B864" s="3">
        <v>6.6</v>
      </c>
      <c r="C864" s="3">
        <v>1.28</v>
      </c>
      <c r="D864" s="3">
        <v>148.0</v>
      </c>
      <c r="E864" s="3">
        <v>8.0</v>
      </c>
      <c r="F864" s="3">
        <v>0.07</v>
      </c>
      <c r="G864" s="3">
        <v>219.11</v>
      </c>
      <c r="H864" s="3">
        <v>0.0</v>
      </c>
      <c r="I864" s="3">
        <v>1895.47</v>
      </c>
      <c r="J864" s="3">
        <v>0.0</v>
      </c>
      <c r="K864" s="4">
        <f t="shared" si="1"/>
        <v>48009.197</v>
      </c>
      <c r="L864" s="4">
        <f t="shared" si="2"/>
        <v>0.4562459147</v>
      </c>
    </row>
    <row r="865">
      <c r="A865" s="3" t="s">
        <v>88</v>
      </c>
      <c r="B865" s="3">
        <v>6.6</v>
      </c>
      <c r="C865" s="3">
        <v>1.6</v>
      </c>
      <c r="D865" s="3">
        <v>157.0</v>
      </c>
      <c r="E865" s="3">
        <v>8.0</v>
      </c>
      <c r="F865" s="3">
        <v>1.76</v>
      </c>
      <c r="G865" s="3">
        <v>225.96</v>
      </c>
      <c r="H865" s="3">
        <v>0.0</v>
      </c>
      <c r="I865" s="3">
        <v>1625.63</v>
      </c>
      <c r="J865" s="3">
        <v>0.0</v>
      </c>
      <c r="K865" s="4">
        <f t="shared" si="1"/>
        <v>51061.0192</v>
      </c>
      <c r="L865" s="4">
        <f t="shared" si="2"/>
        <v>0.4827361535</v>
      </c>
    </row>
    <row r="866">
      <c r="A866" s="3" t="s">
        <v>88</v>
      </c>
      <c r="B866" s="3">
        <v>6.6</v>
      </c>
      <c r="C866" s="3">
        <v>1.92</v>
      </c>
      <c r="D866" s="3">
        <v>189.0</v>
      </c>
      <c r="E866" s="3">
        <v>8.0</v>
      </c>
      <c r="F866" s="3">
        <v>5.17</v>
      </c>
      <c r="G866" s="3">
        <v>232.02</v>
      </c>
      <c r="H866" s="3">
        <v>0.0</v>
      </c>
      <c r="I866" s="3">
        <v>1474.21</v>
      </c>
      <c r="J866" s="3">
        <v>0.0</v>
      </c>
      <c r="K866" s="4">
        <f t="shared" si="1"/>
        <v>53860.0093</v>
      </c>
      <c r="L866" s="4">
        <f t="shared" si="2"/>
        <v>0.6632193433</v>
      </c>
    </row>
    <row r="867">
      <c r="A867" s="3" t="s">
        <v>88</v>
      </c>
      <c r="B867" s="3">
        <v>6.6</v>
      </c>
      <c r="C867" s="3">
        <v>2.24</v>
      </c>
      <c r="D867" s="3">
        <v>195.0</v>
      </c>
      <c r="E867" s="3">
        <v>6.0</v>
      </c>
      <c r="F867" s="3">
        <v>8.23</v>
      </c>
      <c r="G867" s="3">
        <v>251.26</v>
      </c>
      <c r="H867" s="3">
        <v>0.0</v>
      </c>
      <c r="I867" s="3">
        <v>1493.06</v>
      </c>
      <c r="J867" s="3">
        <v>0.0</v>
      </c>
      <c r="K867" s="4">
        <f t="shared" si="1"/>
        <v>63199.3205</v>
      </c>
      <c r="L867" s="4">
        <f t="shared" si="2"/>
        <v>0.6016678613</v>
      </c>
    </row>
    <row r="868">
      <c r="A868" s="3" t="s">
        <v>88</v>
      </c>
      <c r="B868" s="3">
        <v>6.6</v>
      </c>
      <c r="C868" s="3">
        <v>2.56</v>
      </c>
      <c r="D868" s="3">
        <v>201.0</v>
      </c>
      <c r="E868" s="3">
        <v>6.0</v>
      </c>
      <c r="F868" s="3">
        <v>11.05</v>
      </c>
      <c r="G868" s="3">
        <v>278.7</v>
      </c>
      <c r="H868" s="3">
        <v>0.0</v>
      </c>
      <c r="I868" s="3">
        <v>1371.3</v>
      </c>
      <c r="J868" s="3">
        <v>0.0</v>
      </c>
      <c r="K868" s="4">
        <f t="shared" si="1"/>
        <v>77795.7925</v>
      </c>
      <c r="L868" s="4">
        <f t="shared" si="2"/>
        <v>0.5193211445</v>
      </c>
    </row>
    <row r="869">
      <c r="A869" s="3" t="s">
        <v>88</v>
      </c>
      <c r="B869" s="3">
        <v>6.6</v>
      </c>
      <c r="C869" s="3">
        <v>2.88</v>
      </c>
      <c r="D869" s="3">
        <v>214.0</v>
      </c>
      <c r="E869" s="3">
        <v>4.0</v>
      </c>
      <c r="F869" s="3">
        <v>13.64</v>
      </c>
      <c r="G869" s="3">
        <v>291.79</v>
      </c>
      <c r="H869" s="3">
        <v>0.0</v>
      </c>
      <c r="I869" s="3">
        <v>1009.96</v>
      </c>
      <c r="J869" s="3">
        <v>0.0</v>
      </c>
      <c r="K869" s="4">
        <f t="shared" si="1"/>
        <v>85327.4537</v>
      </c>
      <c r="L869" s="4">
        <f t="shared" si="2"/>
        <v>0.5367088553</v>
      </c>
    </row>
    <row r="870">
      <c r="A870" s="3" t="s">
        <v>88</v>
      </c>
      <c r="B870" s="3">
        <v>6.6</v>
      </c>
      <c r="C870" s="3">
        <v>3.2</v>
      </c>
      <c r="D870" s="3">
        <v>215.0</v>
      </c>
      <c r="E870" s="3">
        <v>4.0</v>
      </c>
      <c r="F870" s="3">
        <v>16.01</v>
      </c>
      <c r="G870" s="3">
        <v>300.53</v>
      </c>
      <c r="H870" s="3">
        <v>0.0</v>
      </c>
      <c r="I870" s="3">
        <v>706.79</v>
      </c>
      <c r="J870" s="3">
        <v>0.0</v>
      </c>
      <c r="K870" s="4">
        <f t="shared" si="1"/>
        <v>90574.601</v>
      </c>
      <c r="L870" s="4">
        <f t="shared" si="2"/>
        <v>0.5103527864</v>
      </c>
    </row>
    <row r="871">
      <c r="A871" s="3" t="s">
        <v>88</v>
      </c>
      <c r="B871" s="3">
        <v>6.6</v>
      </c>
      <c r="C871" s="3">
        <v>3.52</v>
      </c>
      <c r="D871" s="3">
        <v>215.0</v>
      </c>
      <c r="E871" s="3">
        <v>4.0</v>
      </c>
      <c r="F871" s="3">
        <v>18.18</v>
      </c>
      <c r="G871" s="3">
        <v>298.29</v>
      </c>
      <c r="H871" s="3">
        <v>0.0</v>
      </c>
      <c r="I871" s="3">
        <v>476.79</v>
      </c>
      <c r="J871" s="3">
        <v>0.0</v>
      </c>
      <c r="K871" s="4">
        <f t="shared" si="1"/>
        <v>89307.4365</v>
      </c>
      <c r="L871" s="4">
        <f t="shared" si="2"/>
        <v>0.5175940752</v>
      </c>
    </row>
    <row r="872">
      <c r="A872" s="3" t="s">
        <v>88</v>
      </c>
      <c r="B872" s="3">
        <v>6.6</v>
      </c>
      <c r="C872" s="3">
        <v>3.84</v>
      </c>
      <c r="D872" s="3">
        <v>216.0</v>
      </c>
      <c r="E872" s="3">
        <v>3.0</v>
      </c>
      <c r="F872" s="3">
        <v>20.14</v>
      </c>
      <c r="G872" s="3">
        <v>289.57</v>
      </c>
      <c r="H872" s="3">
        <v>0.0</v>
      </c>
      <c r="I872" s="3">
        <v>365.53</v>
      </c>
      <c r="J872" s="3">
        <v>0.0</v>
      </c>
      <c r="K872" s="4">
        <f t="shared" si="1"/>
        <v>84256.4045</v>
      </c>
      <c r="L872" s="4">
        <f t="shared" si="2"/>
        <v>0.5537383215</v>
      </c>
    </row>
    <row r="873">
      <c r="A873" s="3" t="s">
        <v>88</v>
      </c>
      <c r="B873" s="3">
        <v>6.6</v>
      </c>
      <c r="C873" s="3">
        <v>4.8</v>
      </c>
      <c r="D873" s="3">
        <v>214.0</v>
      </c>
      <c r="E873" s="3">
        <v>2.0</v>
      </c>
      <c r="F873" s="3">
        <v>24.78</v>
      </c>
      <c r="G873" s="3">
        <v>274.65</v>
      </c>
      <c r="H873" s="3">
        <v>0.0</v>
      </c>
      <c r="I873" s="3">
        <v>195.17</v>
      </c>
      <c r="J873" s="3">
        <v>0.0</v>
      </c>
      <c r="K873" s="4">
        <f t="shared" si="1"/>
        <v>76046.6709</v>
      </c>
      <c r="L873" s="4">
        <f t="shared" si="2"/>
        <v>0.6022091363</v>
      </c>
    </row>
    <row r="874">
      <c r="A874" s="3" t="s">
        <v>88</v>
      </c>
      <c r="B874" s="3">
        <v>6.6</v>
      </c>
      <c r="C874" s="3">
        <v>5.76</v>
      </c>
      <c r="D874" s="3">
        <v>210.0</v>
      </c>
      <c r="E874" s="3">
        <v>2.0</v>
      </c>
      <c r="F874" s="3">
        <v>25.77</v>
      </c>
      <c r="G874" s="3">
        <v>255.87</v>
      </c>
      <c r="H874" s="3">
        <v>0.0</v>
      </c>
      <c r="I874" s="3">
        <v>83.13</v>
      </c>
      <c r="J874" s="3">
        <v>0.0</v>
      </c>
      <c r="K874" s="4">
        <f t="shared" si="1"/>
        <v>66133.5498</v>
      </c>
      <c r="L874" s="4">
        <f t="shared" si="2"/>
        <v>0.6668324948</v>
      </c>
    </row>
    <row r="875">
      <c r="A875" s="3" t="s">
        <v>88</v>
      </c>
      <c r="B875" s="3">
        <v>6.6</v>
      </c>
      <c r="C875" s="3">
        <v>6.72</v>
      </c>
      <c r="D875" s="3">
        <v>205.0</v>
      </c>
      <c r="E875" s="3">
        <v>2.0</v>
      </c>
      <c r="F875" s="3">
        <v>24.89</v>
      </c>
      <c r="G875" s="3">
        <v>236.77</v>
      </c>
      <c r="H875" s="3">
        <v>0.0</v>
      </c>
      <c r="I875" s="3">
        <v>50.66</v>
      </c>
      <c r="J875" s="3">
        <v>0.0</v>
      </c>
      <c r="K875" s="4">
        <f t="shared" si="1"/>
        <v>56679.545</v>
      </c>
      <c r="L875" s="4">
        <f t="shared" si="2"/>
        <v>0.7414491418</v>
      </c>
    </row>
    <row r="876">
      <c r="A876" s="3" t="s">
        <v>88</v>
      </c>
      <c r="B876" s="3">
        <v>6.6</v>
      </c>
      <c r="C876" s="3">
        <v>7.68</v>
      </c>
      <c r="D876" s="3">
        <v>203.0</v>
      </c>
      <c r="E876" s="3">
        <v>1.0</v>
      </c>
      <c r="F876" s="3">
        <v>25.19</v>
      </c>
      <c r="G876" s="3">
        <v>221.37</v>
      </c>
      <c r="H876" s="3">
        <v>0.0</v>
      </c>
      <c r="I876" s="3">
        <v>32.24</v>
      </c>
      <c r="J876" s="3">
        <v>0.0</v>
      </c>
      <c r="K876" s="4">
        <f t="shared" si="1"/>
        <v>49639.213</v>
      </c>
      <c r="L876" s="4">
        <f t="shared" si="2"/>
        <v>0.830170293</v>
      </c>
    </row>
    <row r="877">
      <c r="A877" s="3" t="s">
        <v>88</v>
      </c>
      <c r="B877" s="3">
        <v>6.6</v>
      </c>
      <c r="C877" s="3">
        <v>8.64</v>
      </c>
      <c r="D877" s="3">
        <v>201.0</v>
      </c>
      <c r="E877" s="3">
        <v>1.0</v>
      </c>
      <c r="F877" s="3">
        <v>25.4</v>
      </c>
      <c r="G877" s="3">
        <v>209.59</v>
      </c>
      <c r="H877" s="3">
        <v>0.0</v>
      </c>
      <c r="I877" s="3">
        <v>23.57</v>
      </c>
      <c r="J877" s="3">
        <v>0.0</v>
      </c>
      <c r="K877" s="4">
        <f t="shared" si="1"/>
        <v>44573.1281</v>
      </c>
      <c r="L877" s="4">
        <f t="shared" si="2"/>
        <v>0.9063981309</v>
      </c>
    </row>
    <row r="878">
      <c r="A878" s="3" t="s">
        <v>88</v>
      </c>
      <c r="B878" s="3">
        <v>6.6</v>
      </c>
      <c r="C878" s="3">
        <v>9.6</v>
      </c>
      <c r="D878" s="3">
        <v>201.0</v>
      </c>
      <c r="E878" s="3">
        <v>1.0</v>
      </c>
      <c r="F878" s="3">
        <v>27.64</v>
      </c>
      <c r="G878" s="3">
        <v>199.24</v>
      </c>
      <c r="H878" s="3">
        <v>0.0</v>
      </c>
      <c r="I878" s="3">
        <v>14.07</v>
      </c>
      <c r="J878" s="3">
        <v>0.0</v>
      </c>
      <c r="K878" s="4">
        <f t="shared" si="1"/>
        <v>40460.5472</v>
      </c>
      <c r="L878" s="4">
        <f t="shared" si="2"/>
        <v>0.9985282651</v>
      </c>
    </row>
    <row r="879">
      <c r="A879" s="3" t="s">
        <v>88</v>
      </c>
      <c r="B879" s="3">
        <v>6.6</v>
      </c>
      <c r="C879" s="3">
        <v>10.56</v>
      </c>
      <c r="D879" s="3">
        <v>199.0</v>
      </c>
      <c r="E879" s="3">
        <v>1.0</v>
      </c>
      <c r="F879" s="3">
        <v>32.7</v>
      </c>
      <c r="G879" s="3">
        <v>189.8</v>
      </c>
      <c r="H879" s="3">
        <v>0.0</v>
      </c>
      <c r="I879" s="3">
        <v>10.06</v>
      </c>
      <c r="J879" s="3">
        <v>0.0</v>
      </c>
      <c r="K879" s="4">
        <f t="shared" si="1"/>
        <v>37093.33</v>
      </c>
      <c r="L879" s="4">
        <f t="shared" si="2"/>
        <v>1.067604337</v>
      </c>
    </row>
    <row r="880">
      <c r="A880" s="3" t="s">
        <v>88</v>
      </c>
      <c r="B880" s="3">
        <v>6.6</v>
      </c>
      <c r="C880" s="3">
        <v>11.52</v>
      </c>
      <c r="D880" s="3">
        <v>197.0</v>
      </c>
      <c r="E880" s="3">
        <v>1.0</v>
      </c>
      <c r="F880" s="3">
        <v>37.22</v>
      </c>
      <c r="G880" s="3">
        <v>181.59</v>
      </c>
      <c r="H880" s="3">
        <v>0.0</v>
      </c>
      <c r="I880" s="3">
        <v>6.57</v>
      </c>
      <c r="J880" s="3">
        <v>0.0</v>
      </c>
      <c r="K880" s="4">
        <f t="shared" si="1"/>
        <v>34360.2565</v>
      </c>
      <c r="L880" s="4">
        <f t="shared" si="2"/>
        <v>1.129473524</v>
      </c>
    </row>
    <row r="881">
      <c r="A881" s="3" t="s">
        <v>88</v>
      </c>
      <c r="B881" s="3">
        <v>6.6</v>
      </c>
      <c r="C881" s="3">
        <v>12.48</v>
      </c>
      <c r="D881" s="3">
        <v>196.0</v>
      </c>
      <c r="E881" s="3">
        <v>2.0</v>
      </c>
      <c r="F881" s="3">
        <v>37.86</v>
      </c>
      <c r="G881" s="3">
        <v>174.1</v>
      </c>
      <c r="H881" s="3">
        <v>0.0</v>
      </c>
      <c r="I881" s="3">
        <v>4.46</v>
      </c>
      <c r="J881" s="3">
        <v>0.0</v>
      </c>
      <c r="K881" s="4">
        <f t="shared" si="1"/>
        <v>31744.1896</v>
      </c>
      <c r="L881" s="4">
        <f t="shared" si="2"/>
        <v>1.210174224</v>
      </c>
    </row>
    <row r="882">
      <c r="A882" s="3" t="s">
        <v>88</v>
      </c>
      <c r="B882" s="3">
        <v>6.6</v>
      </c>
      <c r="C882" s="3">
        <v>13.44</v>
      </c>
      <c r="D882" s="3">
        <v>193.0</v>
      </c>
      <c r="E882" s="3">
        <v>3.0</v>
      </c>
      <c r="F882" s="3">
        <v>36.33</v>
      </c>
      <c r="G882" s="3">
        <v>167.37</v>
      </c>
      <c r="H882" s="3">
        <v>0.0</v>
      </c>
      <c r="I882" s="3">
        <v>2.89</v>
      </c>
      <c r="J882" s="3">
        <v>0.0</v>
      </c>
      <c r="K882" s="4">
        <f t="shared" si="1"/>
        <v>29332.5858</v>
      </c>
      <c r="L882" s="4">
        <f t="shared" si="2"/>
        <v>1.269884635</v>
      </c>
    </row>
    <row r="883">
      <c r="A883" s="3" t="s">
        <v>88</v>
      </c>
      <c r="B883" s="3">
        <v>6.6</v>
      </c>
      <c r="C883" s="3">
        <v>14.4</v>
      </c>
      <c r="D883" s="3">
        <v>190.0</v>
      </c>
      <c r="E883" s="3">
        <v>3.0</v>
      </c>
      <c r="F883" s="3">
        <v>35.33</v>
      </c>
      <c r="G883" s="3">
        <v>161.19</v>
      </c>
      <c r="H883" s="3">
        <v>0.0</v>
      </c>
      <c r="I883" s="3">
        <v>1.89</v>
      </c>
      <c r="J883" s="3">
        <v>0.0</v>
      </c>
      <c r="K883" s="4">
        <f t="shared" si="1"/>
        <v>27230.425</v>
      </c>
      <c r="L883" s="4">
        <f t="shared" si="2"/>
        <v>1.325722973</v>
      </c>
    </row>
    <row r="884">
      <c r="A884" s="3" t="s">
        <v>88</v>
      </c>
      <c r="B884" s="3">
        <v>6.6</v>
      </c>
      <c r="C884" s="3">
        <v>15.36</v>
      </c>
      <c r="D884" s="3">
        <v>188.0</v>
      </c>
      <c r="E884" s="3">
        <v>5.0</v>
      </c>
      <c r="F884" s="3">
        <v>35.01</v>
      </c>
      <c r="G884" s="3">
        <v>155.25</v>
      </c>
      <c r="H884" s="3">
        <v>0.0</v>
      </c>
      <c r="I884" s="3">
        <v>1.25</v>
      </c>
      <c r="J884" s="3">
        <v>0.0</v>
      </c>
      <c r="K884" s="4">
        <f t="shared" si="1"/>
        <v>25328.2626</v>
      </c>
      <c r="L884" s="4">
        <f t="shared" si="2"/>
        <v>1.395437206</v>
      </c>
    </row>
    <row r="885">
      <c r="A885" s="3" t="s">
        <v>88</v>
      </c>
      <c r="B885" s="3">
        <v>6.6</v>
      </c>
      <c r="C885" s="3">
        <v>16.32</v>
      </c>
      <c r="D885" s="3">
        <v>187.0</v>
      </c>
      <c r="E885" s="3">
        <v>5.0</v>
      </c>
      <c r="F885" s="3">
        <v>34.43</v>
      </c>
      <c r="G885" s="3">
        <v>150.2</v>
      </c>
      <c r="H885" s="3">
        <v>0.0</v>
      </c>
      <c r="I885" s="3">
        <v>0.83</v>
      </c>
      <c r="J885" s="3">
        <v>0.0</v>
      </c>
      <c r="K885" s="4">
        <f t="shared" si="1"/>
        <v>23745.4649</v>
      </c>
      <c r="L885" s="4">
        <f t="shared" si="2"/>
        <v>1.472660154</v>
      </c>
    </row>
    <row r="886">
      <c r="A886" s="3" t="s">
        <v>88</v>
      </c>
      <c r="B886" s="3">
        <v>6.6</v>
      </c>
      <c r="C886" s="3">
        <v>17.28</v>
      </c>
      <c r="D886" s="3">
        <v>188.0</v>
      </c>
      <c r="E886" s="3">
        <v>3.0</v>
      </c>
      <c r="F886" s="3">
        <v>33.18</v>
      </c>
      <c r="G886" s="3">
        <v>145.58</v>
      </c>
      <c r="H886" s="3">
        <v>0.0</v>
      </c>
      <c r="I886" s="3">
        <v>0.55</v>
      </c>
      <c r="J886" s="3">
        <v>0.0</v>
      </c>
      <c r="K886" s="4">
        <f t="shared" si="1"/>
        <v>22294.4488</v>
      </c>
      <c r="L886" s="4">
        <f t="shared" si="2"/>
        <v>1.585327375</v>
      </c>
    </row>
    <row r="887">
      <c r="A887" s="3" t="s">
        <v>88</v>
      </c>
      <c r="B887" s="3">
        <v>6.6</v>
      </c>
      <c r="C887" s="3">
        <v>18.24</v>
      </c>
      <c r="D887" s="3">
        <v>186.0</v>
      </c>
      <c r="E887" s="3">
        <v>3.0</v>
      </c>
      <c r="F887" s="3">
        <v>32.48</v>
      </c>
      <c r="G887" s="3">
        <v>141.36</v>
      </c>
      <c r="H887" s="3">
        <v>0.0</v>
      </c>
      <c r="I887" s="3">
        <v>0.37</v>
      </c>
      <c r="J887" s="3">
        <v>0.0</v>
      </c>
      <c r="K887" s="4">
        <f t="shared" si="1"/>
        <v>21037.6</v>
      </c>
      <c r="L887" s="4">
        <f t="shared" si="2"/>
        <v>1.644484162</v>
      </c>
    </row>
    <row r="888">
      <c r="A888" s="3" t="s">
        <v>88</v>
      </c>
      <c r="B888" s="3">
        <v>6.6</v>
      </c>
      <c r="C888" s="3">
        <v>19.2</v>
      </c>
      <c r="D888" s="3">
        <v>185.0</v>
      </c>
      <c r="E888" s="3">
        <v>3.0</v>
      </c>
      <c r="F888" s="3">
        <v>31.94</v>
      </c>
      <c r="G888" s="3">
        <v>137.48</v>
      </c>
      <c r="H888" s="3">
        <v>0.0</v>
      </c>
      <c r="I888" s="3">
        <v>0.24</v>
      </c>
      <c r="J888" s="3">
        <v>0.0</v>
      </c>
      <c r="K888" s="4">
        <f t="shared" si="1"/>
        <v>19920.914</v>
      </c>
      <c r="L888" s="4">
        <f t="shared" si="2"/>
        <v>1.71804366</v>
      </c>
    </row>
    <row r="889">
      <c r="A889" s="3" t="s">
        <v>88</v>
      </c>
      <c r="B889" s="3">
        <v>6.6</v>
      </c>
      <c r="C889" s="3">
        <v>20.16</v>
      </c>
      <c r="D889" s="3">
        <v>185.0</v>
      </c>
      <c r="E889" s="3">
        <v>3.0</v>
      </c>
      <c r="F889" s="3">
        <v>31.23</v>
      </c>
      <c r="G889" s="3">
        <v>133.91</v>
      </c>
      <c r="H889" s="3">
        <v>0.0</v>
      </c>
      <c r="I889" s="3">
        <v>0.16</v>
      </c>
      <c r="J889" s="3">
        <v>0.0</v>
      </c>
      <c r="K889" s="4">
        <f t="shared" si="1"/>
        <v>18907.201</v>
      </c>
      <c r="L889" s="4">
        <f t="shared" si="2"/>
        <v>1.810156881</v>
      </c>
    </row>
    <row r="890">
      <c r="A890" s="3" t="s">
        <v>88</v>
      </c>
      <c r="B890" s="3">
        <v>6.6</v>
      </c>
      <c r="C890" s="3">
        <v>21.12</v>
      </c>
      <c r="D890" s="3">
        <v>181.0</v>
      </c>
      <c r="E890" s="3">
        <v>3.0</v>
      </c>
      <c r="F890" s="3">
        <v>30.85</v>
      </c>
      <c r="G890" s="3">
        <v>130.6</v>
      </c>
      <c r="H890" s="3">
        <v>0.0</v>
      </c>
      <c r="I890" s="3">
        <v>0.11</v>
      </c>
      <c r="J890" s="3">
        <v>0.0</v>
      </c>
      <c r="K890" s="4">
        <f t="shared" si="1"/>
        <v>18008.0825</v>
      </c>
      <c r="L890" s="4">
        <f t="shared" si="2"/>
        <v>1.819238667</v>
      </c>
    </row>
    <row r="891">
      <c r="A891" s="3" t="s">
        <v>88</v>
      </c>
      <c r="B891" s="3">
        <v>6.6</v>
      </c>
      <c r="C891" s="3">
        <v>22.08</v>
      </c>
      <c r="D891" s="3">
        <v>178.0</v>
      </c>
      <c r="E891" s="3">
        <v>3.0</v>
      </c>
      <c r="F891" s="3">
        <v>30.69</v>
      </c>
      <c r="G891" s="3">
        <v>127.55</v>
      </c>
      <c r="H891" s="3">
        <v>0.0</v>
      </c>
      <c r="I891" s="3">
        <v>0.07</v>
      </c>
      <c r="J891" s="3">
        <v>0.0</v>
      </c>
      <c r="K891" s="4">
        <f t="shared" si="1"/>
        <v>17210.8786</v>
      </c>
      <c r="L891" s="4">
        <f t="shared" si="2"/>
        <v>1.840928679</v>
      </c>
    </row>
    <row r="892">
      <c r="A892" s="3" t="s">
        <v>88</v>
      </c>
      <c r="B892" s="3">
        <v>6.6</v>
      </c>
      <c r="C892" s="3">
        <v>23.04</v>
      </c>
      <c r="D892" s="3">
        <v>177.0</v>
      </c>
      <c r="E892" s="3">
        <v>3.0</v>
      </c>
      <c r="F892" s="3">
        <v>30.33</v>
      </c>
      <c r="G892" s="3">
        <v>124.7</v>
      </c>
      <c r="H892" s="3">
        <v>0.0</v>
      </c>
      <c r="I892" s="3">
        <v>0.05</v>
      </c>
      <c r="J892" s="3">
        <v>0.0</v>
      </c>
      <c r="K892" s="4">
        <f t="shared" si="1"/>
        <v>16469.9989</v>
      </c>
      <c r="L892" s="4">
        <f t="shared" si="2"/>
        <v>1.902185919</v>
      </c>
    </row>
    <row r="893">
      <c r="A893" s="3" t="s">
        <v>88</v>
      </c>
      <c r="B893" s="3">
        <v>6.6</v>
      </c>
      <c r="C893" s="3">
        <v>24.0</v>
      </c>
      <c r="D893" s="3">
        <v>182.0</v>
      </c>
      <c r="E893" s="3">
        <v>4.0</v>
      </c>
      <c r="F893" s="3">
        <v>30.72</v>
      </c>
      <c r="G893" s="3">
        <v>122.05</v>
      </c>
      <c r="H893" s="3">
        <v>0.0</v>
      </c>
      <c r="I893" s="3">
        <v>0.03</v>
      </c>
      <c r="J893" s="3">
        <v>0.0</v>
      </c>
      <c r="K893" s="4">
        <f t="shared" si="1"/>
        <v>15839.9209</v>
      </c>
      <c r="L893" s="4">
        <f t="shared" si="2"/>
        <v>2.091172059</v>
      </c>
    </row>
    <row r="894">
      <c r="A894" s="3" t="s">
        <v>88</v>
      </c>
      <c r="B894" s="3">
        <v>6.6</v>
      </c>
      <c r="C894" s="3">
        <v>24.96</v>
      </c>
      <c r="D894" s="3">
        <v>180.0</v>
      </c>
      <c r="E894" s="3">
        <v>8.0</v>
      </c>
      <c r="F894" s="3">
        <v>30.86</v>
      </c>
      <c r="G894" s="3">
        <v>119.57</v>
      </c>
      <c r="H894" s="3">
        <v>0.0</v>
      </c>
      <c r="I894" s="3">
        <v>0.0</v>
      </c>
      <c r="J894" s="3">
        <v>0.0</v>
      </c>
      <c r="K894" s="4">
        <f t="shared" si="1"/>
        <v>15249.3245</v>
      </c>
      <c r="L894" s="4">
        <f t="shared" si="2"/>
        <v>2.124684277</v>
      </c>
    </row>
    <row r="895">
      <c r="A895" s="3" t="s">
        <v>16</v>
      </c>
      <c r="B895" s="3">
        <v>4.06</v>
      </c>
      <c r="C895" s="3">
        <v>0.34</v>
      </c>
      <c r="D895" s="3">
        <v>13.5</v>
      </c>
      <c r="E895" s="3">
        <v>10.1</v>
      </c>
      <c r="F895" s="3">
        <v>4.08</v>
      </c>
      <c r="G895" s="3">
        <v>44.78</v>
      </c>
      <c r="H895" s="3">
        <v>0.0</v>
      </c>
      <c r="I895" s="3">
        <v>329.95</v>
      </c>
      <c r="J895" s="3">
        <v>0.0</v>
      </c>
      <c r="K895" s="4">
        <f t="shared" si="1"/>
        <v>2021.8948</v>
      </c>
      <c r="L895" s="4">
        <f t="shared" si="2"/>
        <v>0.09013822084</v>
      </c>
    </row>
    <row r="896">
      <c r="A896" s="3" t="s">
        <v>16</v>
      </c>
      <c r="B896" s="3">
        <v>4.06</v>
      </c>
      <c r="C896" s="3">
        <v>0.67</v>
      </c>
      <c r="D896" s="3">
        <v>31.3</v>
      </c>
      <c r="E896" s="3">
        <v>12.5</v>
      </c>
      <c r="F896" s="3">
        <v>7.65</v>
      </c>
      <c r="G896" s="3">
        <v>48.88</v>
      </c>
      <c r="H896" s="3">
        <v>0.0</v>
      </c>
      <c r="I896" s="3">
        <v>91.07</v>
      </c>
      <c r="J896" s="3">
        <v>0.0</v>
      </c>
      <c r="K896" s="4">
        <f t="shared" si="1"/>
        <v>2447.7769</v>
      </c>
      <c r="L896" s="4">
        <f t="shared" si="2"/>
        <v>0.4002366392</v>
      </c>
    </row>
    <row r="897">
      <c r="A897" s="3" t="s">
        <v>16</v>
      </c>
      <c r="B897" s="3">
        <v>4.06</v>
      </c>
      <c r="C897" s="3">
        <v>1.0</v>
      </c>
      <c r="D897" s="3">
        <v>35.3</v>
      </c>
      <c r="E897" s="3">
        <v>13.4</v>
      </c>
      <c r="F897" s="3">
        <v>10.36</v>
      </c>
      <c r="G897" s="3">
        <v>46.82</v>
      </c>
      <c r="H897" s="3">
        <v>0.0</v>
      </c>
      <c r="I897" s="3">
        <v>36.28</v>
      </c>
      <c r="J897" s="3">
        <v>0.0</v>
      </c>
      <c r="K897" s="4">
        <f t="shared" si="1"/>
        <v>2299.442</v>
      </c>
      <c r="L897" s="4">
        <f t="shared" si="2"/>
        <v>0.5419097329</v>
      </c>
    </row>
    <row r="898">
      <c r="A898" s="3" t="s">
        <v>16</v>
      </c>
      <c r="B898" s="3">
        <v>4.06</v>
      </c>
      <c r="C898" s="3">
        <v>1.34</v>
      </c>
      <c r="D898" s="3">
        <v>50.5</v>
      </c>
      <c r="E898" s="3">
        <v>9.38</v>
      </c>
      <c r="F898" s="3">
        <v>11.92</v>
      </c>
      <c r="G898" s="3">
        <v>43.88</v>
      </c>
      <c r="H898" s="3">
        <v>0.0</v>
      </c>
      <c r="I898" s="3">
        <v>16.86</v>
      </c>
      <c r="J898" s="3">
        <v>0.0</v>
      </c>
      <c r="K898" s="4">
        <f t="shared" si="1"/>
        <v>2067.5408</v>
      </c>
      <c r="L898" s="4">
        <f t="shared" si="2"/>
        <v>1.233470217</v>
      </c>
    </row>
    <row r="899">
      <c r="A899" s="3" t="s">
        <v>16</v>
      </c>
      <c r="B899" s="3">
        <v>4.06</v>
      </c>
      <c r="C899" s="3">
        <v>1.68</v>
      </c>
      <c r="D899" s="3">
        <v>61.0</v>
      </c>
      <c r="E899" s="3">
        <v>10.1</v>
      </c>
      <c r="F899" s="3">
        <v>12.33</v>
      </c>
      <c r="G899" s="3">
        <v>40.74</v>
      </c>
      <c r="H899" s="3">
        <v>0.0</v>
      </c>
      <c r="I899" s="3">
        <v>8.72</v>
      </c>
      <c r="J899" s="3">
        <v>0.0</v>
      </c>
      <c r="K899" s="4">
        <f t="shared" si="1"/>
        <v>1811.7765</v>
      </c>
      <c r="L899" s="4">
        <f t="shared" si="2"/>
        <v>2.053785332</v>
      </c>
    </row>
    <row r="900">
      <c r="A900" s="3" t="s">
        <v>16</v>
      </c>
      <c r="B900" s="3">
        <v>4.06</v>
      </c>
      <c r="C900" s="3">
        <v>2.01</v>
      </c>
      <c r="D900" s="3">
        <v>66.5</v>
      </c>
      <c r="E900" s="3">
        <v>11.9</v>
      </c>
      <c r="F900" s="3">
        <v>12.44</v>
      </c>
      <c r="G900" s="3">
        <v>38.01</v>
      </c>
      <c r="H900" s="3">
        <v>0.0</v>
      </c>
      <c r="I900" s="3">
        <v>4.56</v>
      </c>
      <c r="J900" s="3">
        <v>0.0</v>
      </c>
      <c r="K900" s="4">
        <f t="shared" si="1"/>
        <v>1599.5137</v>
      </c>
      <c r="L900" s="4">
        <f t="shared" si="2"/>
        <v>2.76474656</v>
      </c>
    </row>
    <row r="901">
      <c r="A901" s="3" t="s">
        <v>16</v>
      </c>
      <c r="B901" s="3">
        <v>4.06</v>
      </c>
      <c r="C901" s="3">
        <v>2.34</v>
      </c>
      <c r="D901" s="3">
        <v>74.4</v>
      </c>
      <c r="E901" s="3">
        <v>11.6</v>
      </c>
      <c r="F901" s="3">
        <v>12.54</v>
      </c>
      <c r="G901" s="3">
        <v>35.66</v>
      </c>
      <c r="H901" s="3">
        <v>0.0</v>
      </c>
      <c r="I901" s="3">
        <v>2.91</v>
      </c>
      <c r="J901" s="3">
        <v>0.0</v>
      </c>
      <c r="K901" s="4">
        <f t="shared" si="1"/>
        <v>1428.8872</v>
      </c>
      <c r="L901" s="4">
        <f t="shared" si="2"/>
        <v>3.873895714</v>
      </c>
    </row>
    <row r="902">
      <c r="A902" s="3" t="s">
        <v>16</v>
      </c>
      <c r="B902" s="3">
        <v>4.06</v>
      </c>
      <c r="C902" s="3">
        <v>2.67</v>
      </c>
      <c r="D902" s="3">
        <v>83.0</v>
      </c>
      <c r="E902" s="3">
        <v>9.17</v>
      </c>
      <c r="F902" s="3">
        <v>12.44</v>
      </c>
      <c r="G902" s="3">
        <v>33.66</v>
      </c>
      <c r="H902" s="3">
        <v>0.0</v>
      </c>
      <c r="I902" s="3">
        <v>1.6</v>
      </c>
      <c r="J902" s="3">
        <v>0.0</v>
      </c>
      <c r="K902" s="4">
        <f t="shared" si="1"/>
        <v>1287.7492</v>
      </c>
      <c r="L902" s="4">
        <f t="shared" si="2"/>
        <v>5.34964417</v>
      </c>
    </row>
    <row r="903">
      <c r="A903" s="3" t="s">
        <v>16</v>
      </c>
      <c r="B903" s="3">
        <v>4.06</v>
      </c>
      <c r="C903" s="3">
        <v>3.01</v>
      </c>
      <c r="D903" s="3">
        <v>86.4</v>
      </c>
      <c r="E903" s="3">
        <v>7.66</v>
      </c>
      <c r="F903" s="3">
        <v>12.13</v>
      </c>
      <c r="G903" s="3">
        <v>31.74</v>
      </c>
      <c r="H903" s="3">
        <v>0.0</v>
      </c>
      <c r="I903" s="3">
        <v>0.88</v>
      </c>
      <c r="J903" s="3">
        <v>0.0</v>
      </c>
      <c r="K903" s="4">
        <f t="shared" si="1"/>
        <v>1154.5645</v>
      </c>
      <c r="L903" s="4">
        <f t="shared" si="2"/>
        <v>6.465606729</v>
      </c>
    </row>
    <row r="904">
      <c r="A904" s="3" t="s">
        <v>16</v>
      </c>
      <c r="B904" s="3">
        <v>4.06</v>
      </c>
      <c r="C904" s="3">
        <v>3.35</v>
      </c>
      <c r="D904" s="3">
        <v>83.6</v>
      </c>
      <c r="E904" s="3">
        <v>8.18</v>
      </c>
      <c r="F904" s="3">
        <v>12.02</v>
      </c>
      <c r="G904" s="3">
        <v>29.95</v>
      </c>
      <c r="H904" s="3">
        <v>0.0</v>
      </c>
      <c r="I904" s="3">
        <v>0.43</v>
      </c>
      <c r="J904" s="3">
        <v>0.0</v>
      </c>
      <c r="K904" s="4">
        <f t="shared" si="1"/>
        <v>1041.4829</v>
      </c>
      <c r="L904" s="4">
        <f t="shared" si="2"/>
        <v>6.710585455</v>
      </c>
    </row>
    <row r="905">
      <c r="A905" s="3" t="s">
        <v>16</v>
      </c>
      <c r="B905" s="3">
        <v>4.06</v>
      </c>
      <c r="C905" s="3">
        <v>3.68</v>
      </c>
      <c r="D905" s="3">
        <v>79.8</v>
      </c>
      <c r="E905" s="3">
        <v>7.93</v>
      </c>
      <c r="F905" s="3">
        <v>12.54</v>
      </c>
      <c r="G905" s="3">
        <v>28.46</v>
      </c>
      <c r="H905" s="3">
        <v>0.0</v>
      </c>
      <c r="I905" s="3">
        <v>0.24</v>
      </c>
      <c r="J905" s="3">
        <v>0.0</v>
      </c>
      <c r="K905" s="4">
        <f t="shared" si="1"/>
        <v>967.2232</v>
      </c>
      <c r="L905" s="4">
        <f t="shared" si="2"/>
        <v>6.583837112</v>
      </c>
    </row>
    <row r="906">
      <c r="A906" s="3" t="s">
        <v>16</v>
      </c>
      <c r="B906" s="3">
        <v>4.06</v>
      </c>
      <c r="C906" s="3">
        <v>4.02</v>
      </c>
      <c r="D906" s="3">
        <v>82.8</v>
      </c>
      <c r="E906" s="3">
        <v>6.95</v>
      </c>
      <c r="F906" s="3">
        <v>13.47</v>
      </c>
      <c r="G906" s="3">
        <v>27.13</v>
      </c>
      <c r="H906" s="3">
        <v>0.0</v>
      </c>
      <c r="I906" s="3">
        <v>0.13</v>
      </c>
      <c r="J906" s="3">
        <v>0.0</v>
      </c>
      <c r="K906" s="4">
        <f t="shared" si="1"/>
        <v>917.4778</v>
      </c>
      <c r="L906" s="4">
        <f t="shared" si="2"/>
        <v>7.472485983</v>
      </c>
    </row>
    <row r="907">
      <c r="A907" s="3" t="s">
        <v>16</v>
      </c>
      <c r="B907" s="3">
        <v>4.06</v>
      </c>
      <c r="C907" s="3">
        <v>4.35</v>
      </c>
      <c r="D907" s="3">
        <v>83.5</v>
      </c>
      <c r="E907" s="3">
        <v>7.19</v>
      </c>
      <c r="F907" s="3">
        <v>14.61</v>
      </c>
      <c r="G907" s="3">
        <v>25.93</v>
      </c>
      <c r="H907" s="3">
        <v>0.0</v>
      </c>
      <c r="I907" s="3">
        <v>0.07</v>
      </c>
      <c r="J907" s="3">
        <v>0.0</v>
      </c>
      <c r="K907" s="4">
        <f t="shared" si="1"/>
        <v>885.817</v>
      </c>
      <c r="L907" s="4">
        <f t="shared" si="2"/>
        <v>7.870982381</v>
      </c>
    </row>
    <row r="908">
      <c r="A908" s="3" t="s">
        <v>16</v>
      </c>
      <c r="B908" s="3">
        <v>4.06</v>
      </c>
      <c r="C908" s="3">
        <v>4.68</v>
      </c>
      <c r="D908" s="3">
        <v>80.4</v>
      </c>
      <c r="E908" s="3">
        <v>7.85</v>
      </c>
      <c r="F908" s="3">
        <v>15.44</v>
      </c>
      <c r="G908" s="3">
        <v>24.93</v>
      </c>
      <c r="H908" s="3">
        <v>0.0</v>
      </c>
      <c r="I908" s="3">
        <v>0.04</v>
      </c>
      <c r="J908" s="3">
        <v>0.0</v>
      </c>
      <c r="K908" s="4">
        <f t="shared" si="1"/>
        <v>859.8985</v>
      </c>
      <c r="L908" s="4">
        <f t="shared" si="2"/>
        <v>7.517352339</v>
      </c>
    </row>
    <row r="909">
      <c r="A909" s="3" t="s">
        <v>16</v>
      </c>
      <c r="B909" s="3">
        <v>4.06</v>
      </c>
      <c r="C909" s="3">
        <v>5.02</v>
      </c>
      <c r="D909" s="3">
        <v>80.3</v>
      </c>
      <c r="E909" s="3">
        <v>7.57</v>
      </c>
      <c r="F909" s="3">
        <v>15.86</v>
      </c>
      <c r="G909" s="3">
        <v>24.0</v>
      </c>
      <c r="H909" s="3">
        <v>0.0</v>
      </c>
      <c r="I909" s="3">
        <v>0.02</v>
      </c>
      <c r="J909" s="3">
        <v>0.0</v>
      </c>
      <c r="K909" s="4">
        <f t="shared" si="1"/>
        <v>827.5396</v>
      </c>
      <c r="L909" s="4">
        <f t="shared" si="2"/>
        <v>7.791880896</v>
      </c>
    </row>
    <row r="910">
      <c r="A910" s="3" t="s">
        <v>16</v>
      </c>
      <c r="B910" s="3">
        <v>4.06</v>
      </c>
      <c r="C910" s="3">
        <v>5.35</v>
      </c>
      <c r="D910" s="3">
        <v>82.1</v>
      </c>
      <c r="E910" s="3">
        <v>7.92</v>
      </c>
      <c r="F910" s="3">
        <v>15.86</v>
      </c>
      <c r="G910" s="3">
        <v>23.2</v>
      </c>
      <c r="H910" s="3">
        <v>0.0</v>
      </c>
      <c r="I910" s="3">
        <v>0.01</v>
      </c>
      <c r="J910" s="3">
        <v>0.0</v>
      </c>
      <c r="K910" s="4">
        <f t="shared" si="1"/>
        <v>789.7796</v>
      </c>
      <c r="L910" s="4">
        <f t="shared" si="2"/>
        <v>8.534545587</v>
      </c>
    </row>
    <row r="911">
      <c r="A911" s="3" t="s">
        <v>16</v>
      </c>
      <c r="B911" s="3">
        <v>4.06</v>
      </c>
      <c r="C911" s="3">
        <v>5.69</v>
      </c>
      <c r="D911" s="3">
        <v>82.4</v>
      </c>
      <c r="E911" s="3">
        <v>8.33</v>
      </c>
      <c r="F911" s="3">
        <v>15.65</v>
      </c>
      <c r="G911" s="3">
        <v>22.42</v>
      </c>
      <c r="H911" s="3">
        <v>0.0</v>
      </c>
      <c r="I911" s="3">
        <v>0.01</v>
      </c>
      <c r="J911" s="3">
        <v>0.0</v>
      </c>
      <c r="K911" s="4">
        <f t="shared" si="1"/>
        <v>747.5789</v>
      </c>
      <c r="L911" s="4">
        <f t="shared" si="2"/>
        <v>9.082332313</v>
      </c>
    </row>
    <row r="912">
      <c r="A912" s="3" t="s">
        <v>16</v>
      </c>
      <c r="B912" s="3">
        <v>4.06</v>
      </c>
      <c r="C912" s="3">
        <v>6.03</v>
      </c>
      <c r="D912" s="3">
        <v>80.9</v>
      </c>
      <c r="E912" s="3">
        <v>7.88</v>
      </c>
      <c r="F912" s="3">
        <v>15.44</v>
      </c>
      <c r="G912" s="3">
        <v>21.74</v>
      </c>
      <c r="H912" s="3">
        <v>0.0</v>
      </c>
      <c r="I912" s="3">
        <v>0.0</v>
      </c>
      <c r="J912" s="3">
        <v>0.0</v>
      </c>
      <c r="K912" s="4">
        <f t="shared" si="1"/>
        <v>711.0212</v>
      </c>
      <c r="L912" s="4">
        <f t="shared" si="2"/>
        <v>9.204802895</v>
      </c>
    </row>
    <row r="913">
      <c r="A913" s="3" t="s">
        <v>16</v>
      </c>
      <c r="B913" s="3">
        <v>4.06</v>
      </c>
      <c r="C913" s="3">
        <v>6.36</v>
      </c>
      <c r="D913" s="3">
        <v>79.0</v>
      </c>
      <c r="E913" s="3">
        <v>6.15</v>
      </c>
      <c r="F913" s="3">
        <v>15.65</v>
      </c>
      <c r="G913" s="3">
        <v>21.15</v>
      </c>
      <c r="H913" s="3">
        <v>0.0</v>
      </c>
      <c r="I913" s="3">
        <v>0.0</v>
      </c>
      <c r="J913" s="3">
        <v>0.0</v>
      </c>
      <c r="K913" s="4">
        <f t="shared" si="1"/>
        <v>692.245</v>
      </c>
      <c r="L913" s="4">
        <f t="shared" si="2"/>
        <v>9.01559419</v>
      </c>
    </row>
    <row r="914">
      <c r="A914" s="3" t="s">
        <v>16</v>
      </c>
      <c r="B914" s="3">
        <v>4.06</v>
      </c>
      <c r="C914" s="3">
        <v>6.69</v>
      </c>
      <c r="D914" s="3">
        <v>81.4</v>
      </c>
      <c r="E914" s="3">
        <v>6.11</v>
      </c>
      <c r="F914" s="3">
        <v>16.27</v>
      </c>
      <c r="G914" s="3">
        <v>20.57</v>
      </c>
      <c r="H914" s="3">
        <v>0.0</v>
      </c>
      <c r="I914" s="3">
        <v>0.0</v>
      </c>
      <c r="J914" s="3">
        <v>0.0</v>
      </c>
      <c r="K914" s="4">
        <f t="shared" si="1"/>
        <v>687.8378</v>
      </c>
      <c r="L914" s="4">
        <f t="shared" si="2"/>
        <v>9.633026856</v>
      </c>
    </row>
    <row r="915">
      <c r="A915" s="3" t="s">
        <v>16</v>
      </c>
      <c r="B915" s="3">
        <v>4.06</v>
      </c>
      <c r="C915" s="3">
        <v>7.02</v>
      </c>
      <c r="D915" s="3">
        <v>79.7</v>
      </c>
      <c r="E915" s="3">
        <v>5.59</v>
      </c>
      <c r="F915" s="3">
        <v>17.1</v>
      </c>
      <c r="G915" s="3">
        <v>20.07</v>
      </c>
      <c r="H915" s="3">
        <v>0.0</v>
      </c>
      <c r="I915" s="3">
        <v>0.0</v>
      </c>
      <c r="J915" s="3">
        <v>0.0</v>
      </c>
      <c r="K915" s="4">
        <f t="shared" si="1"/>
        <v>695.2149</v>
      </c>
      <c r="L915" s="4">
        <f t="shared" si="2"/>
        <v>9.136872642</v>
      </c>
    </row>
    <row r="916">
      <c r="A916" s="3" t="s">
        <v>16</v>
      </c>
      <c r="B916" s="3">
        <v>4.06</v>
      </c>
      <c r="C916" s="3">
        <v>7.36</v>
      </c>
      <c r="D916" s="3">
        <v>77.5</v>
      </c>
      <c r="E916" s="3">
        <v>6.33</v>
      </c>
      <c r="F916" s="3">
        <v>17.83</v>
      </c>
      <c r="G916" s="3">
        <v>19.59</v>
      </c>
      <c r="H916" s="3">
        <v>0.0</v>
      </c>
      <c r="I916" s="3">
        <v>0.0</v>
      </c>
      <c r="J916" s="3">
        <v>0.0</v>
      </c>
      <c r="K916" s="4">
        <f t="shared" si="1"/>
        <v>701.677</v>
      </c>
      <c r="L916" s="4">
        <f t="shared" si="2"/>
        <v>8.559850187</v>
      </c>
    </row>
    <row r="917">
      <c r="A917" s="3" t="s">
        <v>16</v>
      </c>
      <c r="B917" s="3">
        <v>4.06</v>
      </c>
      <c r="C917" s="3">
        <v>7.7</v>
      </c>
      <c r="D917" s="3">
        <v>79.9</v>
      </c>
      <c r="E917" s="3">
        <v>6.41</v>
      </c>
      <c r="F917" s="3">
        <v>17.93</v>
      </c>
      <c r="G917" s="3">
        <v>19.12</v>
      </c>
      <c r="H917" s="3">
        <v>0.0</v>
      </c>
      <c r="I917" s="3">
        <v>0.0</v>
      </c>
      <c r="J917" s="3">
        <v>0.0</v>
      </c>
      <c r="K917" s="4">
        <f t="shared" si="1"/>
        <v>687.0593</v>
      </c>
      <c r="L917" s="4">
        <f t="shared" si="2"/>
        <v>9.291788933</v>
      </c>
    </row>
    <row r="918">
      <c r="A918" s="3" t="s">
        <v>16</v>
      </c>
      <c r="B918" s="3">
        <v>4.06</v>
      </c>
      <c r="C918" s="3">
        <v>8.03</v>
      </c>
      <c r="D918" s="3">
        <v>81.5</v>
      </c>
      <c r="E918" s="3">
        <v>7.86</v>
      </c>
      <c r="F918" s="3">
        <v>18.24</v>
      </c>
      <c r="G918" s="3">
        <v>18.72</v>
      </c>
      <c r="H918" s="3">
        <v>0.0</v>
      </c>
      <c r="I918" s="3">
        <v>0.0</v>
      </c>
      <c r="J918" s="3">
        <v>0.0</v>
      </c>
      <c r="K918" s="4">
        <f t="shared" si="1"/>
        <v>683.136</v>
      </c>
      <c r="L918" s="4">
        <f t="shared" si="2"/>
        <v>9.723173717</v>
      </c>
    </row>
    <row r="919">
      <c r="A919" s="3" t="s">
        <v>16</v>
      </c>
      <c r="B919" s="3">
        <v>4.06</v>
      </c>
      <c r="C919" s="3">
        <v>8.37</v>
      </c>
      <c r="D919" s="3">
        <v>82.2</v>
      </c>
      <c r="E919" s="3">
        <v>7.82</v>
      </c>
      <c r="F919" s="3">
        <v>18.65</v>
      </c>
      <c r="G919" s="3">
        <v>18.33</v>
      </c>
      <c r="H919" s="3">
        <v>0.0</v>
      </c>
      <c r="I919" s="3">
        <v>0.0</v>
      </c>
      <c r="J919" s="3">
        <v>0.0</v>
      </c>
      <c r="K919" s="4">
        <f t="shared" si="1"/>
        <v>683.8114</v>
      </c>
      <c r="L919" s="4">
        <f t="shared" si="2"/>
        <v>9.881145591</v>
      </c>
    </row>
    <row r="920">
      <c r="A920" s="3" t="s">
        <v>16</v>
      </c>
      <c r="B920" s="3">
        <v>4.06</v>
      </c>
      <c r="C920" s="3">
        <v>8.7</v>
      </c>
      <c r="D920" s="3">
        <v>82.0</v>
      </c>
      <c r="E920" s="3">
        <v>7.09</v>
      </c>
      <c r="F920" s="3">
        <v>18.97</v>
      </c>
      <c r="G920" s="3">
        <v>17.95</v>
      </c>
      <c r="H920" s="3">
        <v>0.0</v>
      </c>
      <c r="I920" s="3">
        <v>0.0</v>
      </c>
      <c r="J920" s="3">
        <v>0.0</v>
      </c>
      <c r="K920" s="4">
        <f t="shared" si="1"/>
        <v>682.0634</v>
      </c>
      <c r="L920" s="4">
        <f t="shared" si="2"/>
        <v>9.858321089</v>
      </c>
    </row>
    <row r="921">
      <c r="A921" s="3" t="s">
        <v>16</v>
      </c>
      <c r="B921" s="3">
        <v>4.06</v>
      </c>
      <c r="C921" s="3">
        <v>9.03</v>
      </c>
      <c r="D921" s="3">
        <v>84.7</v>
      </c>
      <c r="E921" s="3">
        <v>5.74</v>
      </c>
      <c r="F921" s="3">
        <v>19.38</v>
      </c>
      <c r="G921" s="3">
        <v>17.62</v>
      </c>
      <c r="H921" s="3">
        <v>0.0</v>
      </c>
      <c r="I921" s="3">
        <v>0.0</v>
      </c>
      <c r="J921" s="3">
        <v>0.0</v>
      </c>
      <c r="K921" s="4">
        <f t="shared" si="1"/>
        <v>686.0488</v>
      </c>
      <c r="L921" s="4">
        <f t="shared" si="2"/>
        <v>10.45711325</v>
      </c>
    </row>
    <row r="922">
      <c r="A922" s="3" t="s">
        <v>16</v>
      </c>
      <c r="B922" s="3">
        <v>4.06</v>
      </c>
      <c r="C922" s="3">
        <v>9.37</v>
      </c>
      <c r="D922" s="3">
        <v>86.1</v>
      </c>
      <c r="E922" s="3">
        <v>5.54</v>
      </c>
      <c r="F922" s="3">
        <v>19.59</v>
      </c>
      <c r="G922" s="3">
        <v>17.3</v>
      </c>
      <c r="H922" s="3">
        <v>0.0</v>
      </c>
      <c r="I922" s="3">
        <v>0.0</v>
      </c>
      <c r="J922" s="3">
        <v>0.0</v>
      </c>
      <c r="K922" s="4">
        <f t="shared" si="1"/>
        <v>683.0581</v>
      </c>
      <c r="L922" s="4">
        <f t="shared" si="2"/>
        <v>10.85297137</v>
      </c>
    </row>
    <row r="923">
      <c r="A923" s="3" t="s">
        <v>16</v>
      </c>
      <c r="B923" s="3">
        <v>4.06</v>
      </c>
      <c r="C923" s="3">
        <v>9.7</v>
      </c>
      <c r="D923" s="3">
        <v>85.3</v>
      </c>
      <c r="E923" s="3">
        <v>5.23</v>
      </c>
      <c r="F923" s="3">
        <v>19.9</v>
      </c>
      <c r="G923" s="3">
        <v>16.98</v>
      </c>
      <c r="H923" s="3">
        <v>0.0</v>
      </c>
      <c r="I923" s="3">
        <v>0.0</v>
      </c>
      <c r="J923" s="3">
        <v>0.0</v>
      </c>
      <c r="K923" s="4">
        <f t="shared" si="1"/>
        <v>684.3304</v>
      </c>
      <c r="L923" s="4">
        <f t="shared" si="2"/>
        <v>10.63242258</v>
      </c>
    </row>
    <row r="924">
      <c r="A924" s="3" t="s">
        <v>16</v>
      </c>
      <c r="B924" s="3">
        <v>4.06</v>
      </c>
      <c r="C924" s="3">
        <v>10.04</v>
      </c>
      <c r="D924" s="3">
        <v>86.5</v>
      </c>
      <c r="E924" s="3">
        <v>6.45</v>
      </c>
      <c r="F924" s="3">
        <v>19.9</v>
      </c>
      <c r="G924" s="3">
        <v>16.69</v>
      </c>
      <c r="H924" s="3">
        <v>0.0</v>
      </c>
      <c r="I924" s="3">
        <v>0.0</v>
      </c>
      <c r="J924" s="3">
        <v>0.0</v>
      </c>
      <c r="K924" s="4">
        <f t="shared" si="1"/>
        <v>674.5661</v>
      </c>
      <c r="L924" s="4">
        <f t="shared" si="2"/>
        <v>11.09194488</v>
      </c>
    </row>
    <row r="925">
      <c r="A925" s="3" t="s">
        <v>89</v>
      </c>
      <c r="B925" s="3">
        <v>97.9</v>
      </c>
      <c r="C925" s="3">
        <v>0.75</v>
      </c>
      <c r="D925" s="3">
        <v>169.0</v>
      </c>
      <c r="E925" s="3">
        <v>4.27</v>
      </c>
      <c r="F925" s="3">
        <v>0.0</v>
      </c>
      <c r="G925" s="3">
        <v>53.73</v>
      </c>
      <c r="H925" s="3">
        <v>163.04</v>
      </c>
      <c r="I925" s="3">
        <v>1391.81</v>
      </c>
      <c r="J925" s="3">
        <v>4469.43</v>
      </c>
      <c r="K925" s="4">
        <f t="shared" si="1"/>
        <v>2886.9129</v>
      </c>
      <c r="L925" s="4">
        <f t="shared" si="2"/>
        <v>9.893266957</v>
      </c>
    </row>
    <row r="926">
      <c r="A926" s="3" t="s">
        <v>89</v>
      </c>
      <c r="B926" s="3">
        <v>97.9</v>
      </c>
      <c r="C926" s="3">
        <v>1.55</v>
      </c>
      <c r="D926" s="3">
        <v>203.0</v>
      </c>
      <c r="E926" s="3">
        <v>4.92</v>
      </c>
      <c r="F926" s="3">
        <v>0.16</v>
      </c>
      <c r="G926" s="3">
        <v>99.45</v>
      </c>
      <c r="H926" s="3">
        <v>214.33</v>
      </c>
      <c r="I926" s="3">
        <v>1172.91</v>
      </c>
      <c r="J926" s="3">
        <v>2105.83</v>
      </c>
      <c r="K926" s="4">
        <f t="shared" si="1"/>
        <v>9890.3281</v>
      </c>
      <c r="L926" s="4">
        <f t="shared" si="2"/>
        <v>4.166595848</v>
      </c>
    </row>
    <row r="927">
      <c r="A927" s="3" t="s">
        <v>89</v>
      </c>
      <c r="B927" s="3">
        <v>97.9</v>
      </c>
      <c r="C927" s="3">
        <v>2.3</v>
      </c>
      <c r="D927" s="3">
        <v>232.0</v>
      </c>
      <c r="E927" s="3">
        <v>5.49</v>
      </c>
      <c r="F927" s="3">
        <v>0.0</v>
      </c>
      <c r="G927" s="3">
        <v>134.15</v>
      </c>
      <c r="H927" s="3">
        <v>231.92</v>
      </c>
      <c r="I927" s="3">
        <v>999.07</v>
      </c>
      <c r="J927" s="3">
        <v>1340.93</v>
      </c>
      <c r="K927" s="4">
        <f t="shared" si="1"/>
        <v>17996.2225</v>
      </c>
      <c r="L927" s="4">
        <f t="shared" si="2"/>
        <v>2.990849885</v>
      </c>
    </row>
    <row r="928">
      <c r="A928" s="3" t="s">
        <v>89</v>
      </c>
      <c r="B928" s="3">
        <v>97.9</v>
      </c>
      <c r="C928" s="3">
        <v>3.06</v>
      </c>
      <c r="D928" s="3">
        <v>256.0</v>
      </c>
      <c r="E928" s="3">
        <v>4.38</v>
      </c>
      <c r="F928" s="3">
        <v>1.12</v>
      </c>
      <c r="G928" s="3">
        <v>162.98</v>
      </c>
      <c r="H928" s="3">
        <v>250.27</v>
      </c>
      <c r="I928" s="3">
        <v>849.17</v>
      </c>
      <c r="J928" s="3">
        <v>745.19</v>
      </c>
      <c r="K928" s="4">
        <f t="shared" si="1"/>
        <v>26563.7348</v>
      </c>
      <c r="L928" s="4">
        <f t="shared" si="2"/>
        <v>2.467122959</v>
      </c>
    </row>
    <row r="929">
      <c r="A929" s="3" t="s">
        <v>89</v>
      </c>
      <c r="B929" s="3">
        <v>97.9</v>
      </c>
      <c r="C929" s="3">
        <v>3.85</v>
      </c>
      <c r="D929" s="3">
        <v>248.0</v>
      </c>
      <c r="E929" s="3">
        <v>3.47</v>
      </c>
      <c r="F929" s="3">
        <v>10.81</v>
      </c>
      <c r="G929" s="3">
        <v>187.48</v>
      </c>
      <c r="H929" s="3">
        <v>252.3</v>
      </c>
      <c r="I929" s="3">
        <v>717.13</v>
      </c>
      <c r="J929" s="3">
        <v>308.69</v>
      </c>
      <c r="K929" s="4">
        <f t="shared" si="1"/>
        <v>35265.6065</v>
      </c>
      <c r="L929" s="4">
        <f t="shared" si="2"/>
        <v>1.744022182</v>
      </c>
    </row>
    <row r="930">
      <c r="A930" s="3" t="s">
        <v>89</v>
      </c>
      <c r="B930" s="3">
        <v>97.9</v>
      </c>
      <c r="C930" s="3">
        <v>4.61</v>
      </c>
      <c r="D930" s="3">
        <v>253.0</v>
      </c>
      <c r="E930" s="3">
        <v>5.68</v>
      </c>
      <c r="F930" s="3">
        <v>18.83</v>
      </c>
      <c r="G930" s="3">
        <v>206.85</v>
      </c>
      <c r="H930" s="3">
        <v>245.12</v>
      </c>
      <c r="I930" s="3">
        <v>606.7</v>
      </c>
      <c r="J930" s="3">
        <v>124.46</v>
      </c>
      <c r="K930" s="4">
        <f t="shared" si="1"/>
        <v>43141.4914</v>
      </c>
      <c r="L930" s="4">
        <f t="shared" si="2"/>
        <v>1.483699286</v>
      </c>
    </row>
    <row r="931">
      <c r="A931" s="3" t="s">
        <v>89</v>
      </c>
      <c r="B931" s="3">
        <v>97.9</v>
      </c>
      <c r="C931" s="3">
        <v>5.36</v>
      </c>
      <c r="D931" s="3">
        <v>269.0</v>
      </c>
      <c r="E931" s="3">
        <v>8.42</v>
      </c>
      <c r="F931" s="3">
        <v>25.11</v>
      </c>
      <c r="G931" s="3">
        <v>220.81</v>
      </c>
      <c r="H931" s="3">
        <v>233.77</v>
      </c>
      <c r="I931" s="3">
        <v>503.2</v>
      </c>
      <c r="J931" s="3">
        <v>47.18</v>
      </c>
      <c r="K931" s="4">
        <f t="shared" si="1"/>
        <v>49387.5682</v>
      </c>
      <c r="L931" s="4">
        <f t="shared" si="2"/>
        <v>1.465166289</v>
      </c>
    </row>
    <row r="932">
      <c r="A932" s="3" t="s">
        <v>89</v>
      </c>
      <c r="B932" s="3">
        <v>97.9</v>
      </c>
      <c r="C932" s="3">
        <v>6.12</v>
      </c>
      <c r="D932" s="3">
        <v>268.0</v>
      </c>
      <c r="E932" s="3">
        <v>4.67</v>
      </c>
      <c r="F932" s="3">
        <v>29.26</v>
      </c>
      <c r="G932" s="3">
        <v>232.37</v>
      </c>
      <c r="H932" s="3">
        <v>221.48</v>
      </c>
      <c r="I932" s="3">
        <v>437.22</v>
      </c>
      <c r="J932" s="3">
        <v>17.54</v>
      </c>
      <c r="K932" s="4">
        <f t="shared" si="1"/>
        <v>54851.9645</v>
      </c>
      <c r="L932" s="4">
        <f t="shared" si="2"/>
        <v>1.309415272</v>
      </c>
    </row>
    <row r="933">
      <c r="A933" s="3" t="s">
        <v>89</v>
      </c>
      <c r="B933" s="3">
        <v>97.9</v>
      </c>
      <c r="C933" s="3">
        <v>6.91</v>
      </c>
      <c r="D933" s="3">
        <v>260.0</v>
      </c>
      <c r="E933" s="3">
        <v>5.58</v>
      </c>
      <c r="F933" s="3">
        <v>31.48</v>
      </c>
      <c r="G933" s="3">
        <v>243.48</v>
      </c>
      <c r="H933" s="3">
        <v>209.61</v>
      </c>
      <c r="I933" s="3">
        <v>380.24</v>
      </c>
      <c r="J933" s="3">
        <v>6.29</v>
      </c>
      <c r="K933" s="4">
        <f t="shared" si="1"/>
        <v>60273.5008</v>
      </c>
      <c r="L933" s="4">
        <f t="shared" si="2"/>
        <v>1.121554234</v>
      </c>
    </row>
    <row r="934">
      <c r="A934" s="3" t="s">
        <v>89</v>
      </c>
      <c r="B934" s="3">
        <v>97.9</v>
      </c>
      <c r="C934" s="3">
        <v>7.66</v>
      </c>
      <c r="D934" s="3">
        <v>245.0</v>
      </c>
      <c r="E934" s="3">
        <v>8.47</v>
      </c>
      <c r="F934" s="3">
        <v>32.44</v>
      </c>
      <c r="G934" s="3">
        <v>254.23</v>
      </c>
      <c r="H934" s="3">
        <v>199.62</v>
      </c>
      <c r="I934" s="3">
        <v>318.5</v>
      </c>
      <c r="J934" s="3">
        <v>2.38</v>
      </c>
      <c r="K934" s="4">
        <f t="shared" si="1"/>
        <v>65685.2465</v>
      </c>
      <c r="L934" s="4">
        <f t="shared" si="2"/>
        <v>0.9138277345</v>
      </c>
    </row>
    <row r="935">
      <c r="A935" s="3" t="s">
        <v>89</v>
      </c>
      <c r="B935" s="3">
        <v>97.9</v>
      </c>
      <c r="C935" s="3">
        <v>8.42</v>
      </c>
      <c r="D935" s="3">
        <v>247.0</v>
      </c>
      <c r="E935" s="3">
        <v>6.0</v>
      </c>
      <c r="F935" s="3">
        <v>32.35</v>
      </c>
      <c r="G935" s="3">
        <v>258.51</v>
      </c>
      <c r="H935" s="3">
        <v>190.58</v>
      </c>
      <c r="I935" s="3">
        <v>235.35</v>
      </c>
      <c r="J935" s="3">
        <v>0.89</v>
      </c>
      <c r="K935" s="4">
        <f t="shared" si="1"/>
        <v>67873.9426</v>
      </c>
      <c r="L935" s="4">
        <f t="shared" si="2"/>
        <v>0.8988574652</v>
      </c>
    </row>
    <row r="936">
      <c r="A936" s="3" t="s">
        <v>89</v>
      </c>
      <c r="B936" s="3">
        <v>97.9</v>
      </c>
      <c r="C936" s="3">
        <v>8.86</v>
      </c>
      <c r="D936" s="3">
        <v>267.0</v>
      </c>
      <c r="E936" s="3">
        <v>10.3</v>
      </c>
      <c r="F936" s="3">
        <v>32.44</v>
      </c>
      <c r="G936" s="3">
        <v>258.41</v>
      </c>
      <c r="H936" s="3">
        <v>185.85</v>
      </c>
      <c r="I936" s="3">
        <v>200.23</v>
      </c>
      <c r="J936" s="3">
        <v>0.5</v>
      </c>
      <c r="K936" s="4">
        <f t="shared" si="1"/>
        <v>67828.0817</v>
      </c>
      <c r="L936" s="4">
        <f t="shared" si="2"/>
        <v>1.051024859</v>
      </c>
    </row>
    <row r="937">
      <c r="A937" s="3" t="s">
        <v>89</v>
      </c>
      <c r="B937" s="3">
        <v>97.9</v>
      </c>
      <c r="C937" s="3">
        <v>9.21</v>
      </c>
      <c r="D937" s="3">
        <v>255.0</v>
      </c>
      <c r="E937" s="3">
        <v>7.27</v>
      </c>
      <c r="F937" s="3">
        <v>32.44</v>
      </c>
      <c r="G937" s="3">
        <v>257.39</v>
      </c>
      <c r="H937" s="3">
        <v>182.29</v>
      </c>
      <c r="I937" s="3">
        <v>180.71</v>
      </c>
      <c r="J937" s="3">
        <v>0.32</v>
      </c>
      <c r="K937" s="4">
        <f t="shared" si="1"/>
        <v>67301.9657</v>
      </c>
      <c r="L937" s="4">
        <f t="shared" si="2"/>
        <v>0.9661679168</v>
      </c>
    </row>
    <row r="938">
      <c r="A938" s="3" t="s">
        <v>89</v>
      </c>
      <c r="B938" s="3">
        <v>97.9</v>
      </c>
      <c r="C938" s="3">
        <v>10.82</v>
      </c>
      <c r="D938" s="3">
        <v>253.0</v>
      </c>
      <c r="E938" s="3">
        <v>11.2</v>
      </c>
      <c r="F938" s="3">
        <v>33.51</v>
      </c>
      <c r="G938" s="3">
        <v>252.03</v>
      </c>
      <c r="H938" s="3">
        <v>168.18</v>
      </c>
      <c r="I938" s="3">
        <v>131.46</v>
      </c>
      <c r="J938" s="3">
        <v>0.04</v>
      </c>
      <c r="K938" s="4">
        <f t="shared" si="1"/>
        <v>64642.041</v>
      </c>
      <c r="L938" s="4">
        <f t="shared" si="2"/>
        <v>0.9902069769</v>
      </c>
    </row>
    <row r="939">
      <c r="A939" s="3" t="s">
        <v>89</v>
      </c>
      <c r="B939" s="3">
        <v>97.9</v>
      </c>
      <c r="C939" s="3">
        <v>11.56</v>
      </c>
      <c r="D939" s="3">
        <v>271.0</v>
      </c>
      <c r="E939" s="3">
        <v>11.3</v>
      </c>
      <c r="F939" s="3">
        <v>34.86</v>
      </c>
      <c r="G939" s="3">
        <v>249.34</v>
      </c>
      <c r="H939" s="3">
        <v>162.76</v>
      </c>
      <c r="I939" s="3">
        <v>112.34</v>
      </c>
      <c r="J939" s="3">
        <v>0.02</v>
      </c>
      <c r="K939" s="4">
        <f t="shared" si="1"/>
        <v>63385.6552</v>
      </c>
      <c r="L939" s="4">
        <f t="shared" si="2"/>
        <v>1.158637546</v>
      </c>
    </row>
    <row r="940">
      <c r="A940" s="3" t="s">
        <v>89</v>
      </c>
      <c r="B940" s="3">
        <v>97.9</v>
      </c>
      <c r="C940" s="3">
        <v>12.4</v>
      </c>
      <c r="D940" s="3">
        <v>276.0</v>
      </c>
      <c r="E940" s="3">
        <v>8.71</v>
      </c>
      <c r="F940" s="3">
        <v>37.47</v>
      </c>
      <c r="G940" s="3">
        <v>246.01</v>
      </c>
      <c r="H940" s="3">
        <v>157.16</v>
      </c>
      <c r="I940" s="3">
        <v>103.42</v>
      </c>
      <c r="J940" s="3">
        <v>0.01</v>
      </c>
      <c r="K940" s="4">
        <f t="shared" si="1"/>
        <v>61924.921</v>
      </c>
      <c r="L940" s="4">
        <f t="shared" si="2"/>
        <v>1.230134795</v>
      </c>
    </row>
    <row r="941">
      <c r="A941" s="3" t="s">
        <v>89</v>
      </c>
      <c r="B941" s="3">
        <v>97.9</v>
      </c>
      <c r="C941" s="3">
        <v>14.17</v>
      </c>
      <c r="D941" s="3">
        <v>275.0</v>
      </c>
      <c r="E941" s="3">
        <v>10.1</v>
      </c>
      <c r="F941" s="3">
        <v>44.03</v>
      </c>
      <c r="G941" s="3">
        <v>245.22</v>
      </c>
      <c r="H941" s="3">
        <v>146.96</v>
      </c>
      <c r="I941" s="3">
        <v>81.02</v>
      </c>
      <c r="J941" s="3">
        <v>0.0</v>
      </c>
      <c r="K941" s="4">
        <f t="shared" si="1"/>
        <v>62071.4893</v>
      </c>
      <c r="L941" s="4">
        <f t="shared" si="2"/>
        <v>1.218353238</v>
      </c>
    </row>
    <row r="942">
      <c r="A942" s="3" t="s">
        <v>89</v>
      </c>
      <c r="B942" s="3">
        <v>97.9</v>
      </c>
      <c r="C942" s="3">
        <v>16.88</v>
      </c>
      <c r="D942" s="3">
        <v>275.0</v>
      </c>
      <c r="E942" s="3">
        <v>10.0</v>
      </c>
      <c r="F942" s="3">
        <v>57.16</v>
      </c>
      <c r="G942" s="3">
        <v>236.05</v>
      </c>
      <c r="H942" s="3">
        <v>134.67</v>
      </c>
      <c r="I942" s="3">
        <v>50.98</v>
      </c>
      <c r="J942" s="3">
        <v>0.0</v>
      </c>
      <c r="K942" s="4">
        <f t="shared" si="1"/>
        <v>58986.8681</v>
      </c>
      <c r="L942" s="4">
        <f t="shared" si="2"/>
        <v>1.282065016</v>
      </c>
    </row>
    <row r="943">
      <c r="A943" s="3" t="s">
        <v>89</v>
      </c>
      <c r="B943" s="3">
        <v>97.9</v>
      </c>
      <c r="C943" s="3">
        <v>19.49</v>
      </c>
      <c r="D943" s="3">
        <v>276.0</v>
      </c>
      <c r="E943" s="3">
        <v>11.7</v>
      </c>
      <c r="F943" s="3">
        <v>67.4</v>
      </c>
      <c r="G943" s="3">
        <v>232.49</v>
      </c>
      <c r="H943" s="3">
        <v>125.34</v>
      </c>
      <c r="I943" s="3">
        <v>36.11</v>
      </c>
      <c r="J943" s="3">
        <v>0.0</v>
      </c>
      <c r="K943" s="4">
        <f t="shared" si="1"/>
        <v>58594.3601</v>
      </c>
      <c r="L943" s="4">
        <f t="shared" si="2"/>
        <v>1.300056863</v>
      </c>
    </row>
    <row r="944">
      <c r="A944" s="3" t="s">
        <v>89</v>
      </c>
      <c r="B944" s="3">
        <v>97.9</v>
      </c>
      <c r="C944" s="3">
        <v>22.19</v>
      </c>
      <c r="D944" s="3">
        <v>267.0</v>
      </c>
      <c r="E944" s="3">
        <v>15.7</v>
      </c>
      <c r="F944" s="3">
        <v>77.25</v>
      </c>
      <c r="G944" s="3">
        <v>219.85</v>
      </c>
      <c r="H944" s="3">
        <v>117.47</v>
      </c>
      <c r="I944" s="3">
        <v>17.62</v>
      </c>
      <c r="J944" s="3">
        <v>0.0</v>
      </c>
      <c r="K944" s="4">
        <f t="shared" si="1"/>
        <v>54301.585</v>
      </c>
      <c r="L944" s="4">
        <f t="shared" si="2"/>
        <v>1.312834607</v>
      </c>
    </row>
    <row r="945">
      <c r="A945" s="3" t="s">
        <v>89</v>
      </c>
      <c r="B945" s="3">
        <v>97.9</v>
      </c>
      <c r="C945" s="3">
        <v>24.8</v>
      </c>
      <c r="D945" s="3">
        <v>257.0</v>
      </c>
      <c r="E945" s="3">
        <v>15.1</v>
      </c>
      <c r="F945" s="3">
        <v>79.95</v>
      </c>
      <c r="G945" s="3">
        <v>209.2</v>
      </c>
      <c r="H945" s="3">
        <v>111.12</v>
      </c>
      <c r="I945" s="3">
        <v>12.8</v>
      </c>
      <c r="J945" s="3">
        <v>0.0</v>
      </c>
      <c r="K945" s="4">
        <f t="shared" si="1"/>
        <v>50156.6425</v>
      </c>
      <c r="L945" s="4">
        <f t="shared" si="2"/>
        <v>1.316854492</v>
      </c>
    </row>
    <row r="946">
      <c r="A946" s="3" t="s">
        <v>89</v>
      </c>
      <c r="B946" s="3">
        <v>97.9</v>
      </c>
      <c r="C946" s="3">
        <v>27.51</v>
      </c>
      <c r="D946" s="3">
        <v>254.0</v>
      </c>
      <c r="E946" s="3">
        <v>13.6</v>
      </c>
      <c r="F946" s="3">
        <v>78.21</v>
      </c>
      <c r="G946" s="3">
        <v>199.59</v>
      </c>
      <c r="H946" s="3">
        <v>105.5</v>
      </c>
      <c r="I946" s="3">
        <v>9.61</v>
      </c>
      <c r="J946" s="3">
        <v>0.0</v>
      </c>
      <c r="K946" s="4">
        <f t="shared" si="1"/>
        <v>45952.9722</v>
      </c>
      <c r="L946" s="4">
        <f t="shared" si="2"/>
        <v>1.403957065</v>
      </c>
    </row>
    <row r="947">
      <c r="A947" s="3" t="s">
        <v>89</v>
      </c>
      <c r="B947" s="3">
        <v>97.9</v>
      </c>
      <c r="C947" s="3">
        <v>30.12</v>
      </c>
      <c r="D947" s="3">
        <v>248.0</v>
      </c>
      <c r="E947" s="3">
        <v>11.6</v>
      </c>
      <c r="F947" s="3">
        <v>75.51</v>
      </c>
      <c r="G947" s="3">
        <v>191.82</v>
      </c>
      <c r="H947" s="3">
        <v>100.83</v>
      </c>
      <c r="I947" s="3">
        <v>6.7</v>
      </c>
      <c r="J947" s="3">
        <v>0.0</v>
      </c>
      <c r="K947" s="4">
        <f t="shared" si="1"/>
        <v>42496.6725</v>
      </c>
      <c r="L947" s="4">
        <f t="shared" si="2"/>
        <v>1.447266254</v>
      </c>
    </row>
    <row r="948">
      <c r="A948" s="3" t="s">
        <v>89</v>
      </c>
      <c r="B948" s="3">
        <v>97.9</v>
      </c>
      <c r="C948" s="3">
        <v>35.43</v>
      </c>
      <c r="D948" s="3">
        <v>227.0</v>
      </c>
      <c r="E948" s="3">
        <v>11.2</v>
      </c>
      <c r="F948" s="3">
        <v>77.83</v>
      </c>
      <c r="G948" s="3">
        <v>176.46</v>
      </c>
      <c r="H948" s="3">
        <v>92.96</v>
      </c>
      <c r="I948" s="3">
        <v>3.71</v>
      </c>
      <c r="J948" s="3">
        <v>0.0</v>
      </c>
      <c r="K948" s="4">
        <f t="shared" si="1"/>
        <v>37195.6405</v>
      </c>
      <c r="L948" s="4">
        <f t="shared" si="2"/>
        <v>1.385350522</v>
      </c>
    </row>
    <row r="949">
      <c r="A949" s="3" t="s">
        <v>90</v>
      </c>
      <c r="B949" s="3">
        <v>3.58</v>
      </c>
      <c r="C949" s="3">
        <v>0.11</v>
      </c>
      <c r="D949" s="3">
        <v>6.8</v>
      </c>
      <c r="E949" s="3">
        <v>3.62</v>
      </c>
      <c r="F949" s="3">
        <v>1.06</v>
      </c>
      <c r="G949" s="3">
        <v>11.98</v>
      </c>
      <c r="H949" s="3">
        <v>0.0</v>
      </c>
      <c r="I949" s="3">
        <v>401.24</v>
      </c>
      <c r="J949" s="3">
        <v>0.0</v>
      </c>
      <c r="K949" s="4">
        <f t="shared" si="1"/>
        <v>144.644</v>
      </c>
      <c r="L949" s="4">
        <f t="shared" si="2"/>
        <v>0.3196814247</v>
      </c>
    </row>
    <row r="950">
      <c r="A950" s="3" t="s">
        <v>90</v>
      </c>
      <c r="B950" s="3">
        <v>3.58</v>
      </c>
      <c r="C950" s="3">
        <v>0.17</v>
      </c>
      <c r="D950" s="3">
        <v>9.5</v>
      </c>
      <c r="E950" s="3">
        <v>4.31</v>
      </c>
      <c r="F950" s="3">
        <v>1.76</v>
      </c>
      <c r="G950" s="3">
        <v>15.44</v>
      </c>
      <c r="H950" s="3">
        <v>0.0</v>
      </c>
      <c r="I950" s="3">
        <v>385.05</v>
      </c>
      <c r="J950" s="3">
        <v>0.0</v>
      </c>
      <c r="K950" s="4">
        <f t="shared" si="1"/>
        <v>241.4912</v>
      </c>
      <c r="L950" s="4">
        <f t="shared" si="2"/>
        <v>0.3737196221</v>
      </c>
    </row>
    <row r="951">
      <c r="A951" s="3" t="s">
        <v>90</v>
      </c>
      <c r="B951" s="3">
        <v>3.58</v>
      </c>
      <c r="C951" s="3">
        <v>0.24</v>
      </c>
      <c r="D951" s="3">
        <v>14.0</v>
      </c>
      <c r="E951" s="3">
        <v>3.11</v>
      </c>
      <c r="F951" s="3">
        <v>2.47</v>
      </c>
      <c r="G951" s="3">
        <v>19.52</v>
      </c>
      <c r="H951" s="3">
        <v>0.0</v>
      </c>
      <c r="I951" s="3">
        <v>353.55</v>
      </c>
      <c r="J951" s="3">
        <v>0.0</v>
      </c>
      <c r="K951" s="4">
        <f t="shared" si="1"/>
        <v>387.1313</v>
      </c>
      <c r="L951" s="4">
        <f t="shared" si="2"/>
        <v>0.5062881766</v>
      </c>
    </row>
    <row r="952">
      <c r="A952" s="3" t="s">
        <v>90</v>
      </c>
      <c r="B952" s="3">
        <v>3.58</v>
      </c>
      <c r="C952" s="3">
        <v>0.31</v>
      </c>
      <c r="D952" s="3">
        <v>19.8</v>
      </c>
      <c r="E952" s="3">
        <v>5.5</v>
      </c>
      <c r="F952" s="3">
        <v>2.93</v>
      </c>
      <c r="G952" s="3">
        <v>23.11</v>
      </c>
      <c r="H952" s="3">
        <v>0.0</v>
      </c>
      <c r="I952" s="3">
        <v>326.8</v>
      </c>
      <c r="J952" s="3">
        <v>0.0</v>
      </c>
      <c r="K952" s="4">
        <f t="shared" si="1"/>
        <v>542.657</v>
      </c>
      <c r="L952" s="4">
        <f t="shared" si="2"/>
        <v>0.7224453015</v>
      </c>
    </row>
    <row r="953">
      <c r="A953" s="3" t="s">
        <v>90</v>
      </c>
      <c r="B953" s="3">
        <v>3.58</v>
      </c>
      <c r="C953" s="3">
        <v>0.38</v>
      </c>
      <c r="D953" s="3">
        <v>26.1</v>
      </c>
      <c r="E953" s="3">
        <v>3.9</v>
      </c>
      <c r="F953" s="3">
        <v>3.29</v>
      </c>
      <c r="G953" s="3">
        <v>26.27</v>
      </c>
      <c r="H953" s="3">
        <v>0.0</v>
      </c>
      <c r="I953" s="3">
        <v>306.5</v>
      </c>
      <c r="J953" s="3">
        <v>0.0</v>
      </c>
      <c r="K953" s="4">
        <f t="shared" si="1"/>
        <v>700.937</v>
      </c>
      <c r="L953" s="4">
        <f t="shared" si="2"/>
        <v>0.9718562439</v>
      </c>
    </row>
    <row r="954">
      <c r="A954" s="3" t="s">
        <v>90</v>
      </c>
      <c r="B954" s="3">
        <v>3.58</v>
      </c>
      <c r="C954" s="3">
        <v>0.45</v>
      </c>
      <c r="D954" s="3">
        <v>28.7</v>
      </c>
      <c r="E954" s="3">
        <v>3.5</v>
      </c>
      <c r="F954" s="3">
        <v>3.99</v>
      </c>
      <c r="G954" s="3">
        <v>29.18</v>
      </c>
      <c r="H954" s="3">
        <v>0.0</v>
      </c>
      <c r="I954" s="3">
        <v>294.93</v>
      </c>
      <c r="J954" s="3">
        <v>0.0</v>
      </c>
      <c r="K954" s="4">
        <f t="shared" si="1"/>
        <v>867.3925</v>
      </c>
      <c r="L954" s="4">
        <f t="shared" si="2"/>
        <v>0.9496162349</v>
      </c>
    </row>
    <row r="955">
      <c r="A955" s="3" t="s">
        <v>90</v>
      </c>
      <c r="B955" s="3">
        <v>3.58</v>
      </c>
      <c r="C955" s="3">
        <v>0.52</v>
      </c>
      <c r="D955" s="3">
        <v>28.7</v>
      </c>
      <c r="E955" s="3">
        <v>2.7</v>
      </c>
      <c r="F955" s="3">
        <v>4.46</v>
      </c>
      <c r="G955" s="3">
        <v>32.19</v>
      </c>
      <c r="H955" s="3">
        <v>0.0</v>
      </c>
      <c r="I955" s="3">
        <v>286.81</v>
      </c>
      <c r="J955" s="3">
        <v>0.0</v>
      </c>
      <c r="K955" s="4">
        <f t="shared" si="1"/>
        <v>1056.0877</v>
      </c>
      <c r="L955" s="4">
        <f t="shared" si="2"/>
        <v>0.7799446959</v>
      </c>
    </row>
    <row r="956">
      <c r="A956" s="3" t="s">
        <v>90</v>
      </c>
      <c r="B956" s="3">
        <v>3.58</v>
      </c>
      <c r="C956" s="3">
        <v>0.59</v>
      </c>
      <c r="D956" s="3">
        <v>31.7</v>
      </c>
      <c r="E956" s="3">
        <v>2.5</v>
      </c>
      <c r="F956" s="3">
        <v>4.93</v>
      </c>
      <c r="G956" s="3">
        <v>35.22</v>
      </c>
      <c r="H956" s="3">
        <v>0.0</v>
      </c>
      <c r="I956" s="3">
        <v>277.28</v>
      </c>
      <c r="J956" s="3">
        <v>0.0</v>
      </c>
      <c r="K956" s="4">
        <f t="shared" si="1"/>
        <v>1264.7533</v>
      </c>
      <c r="L956" s="4">
        <f t="shared" si="2"/>
        <v>0.7945343965</v>
      </c>
    </row>
    <row r="957">
      <c r="A957" s="3" t="s">
        <v>90</v>
      </c>
      <c r="B957" s="3">
        <v>3.58</v>
      </c>
      <c r="C957" s="3">
        <v>0.66</v>
      </c>
      <c r="D957" s="3">
        <v>35.5</v>
      </c>
      <c r="E957" s="3">
        <v>2.3</v>
      </c>
      <c r="F957" s="3">
        <v>5.88</v>
      </c>
      <c r="G957" s="3">
        <v>38.01</v>
      </c>
      <c r="H957" s="3">
        <v>0.0</v>
      </c>
      <c r="I957" s="3">
        <v>266.34</v>
      </c>
      <c r="J957" s="3">
        <v>0.0</v>
      </c>
      <c r="K957" s="4">
        <f t="shared" si="1"/>
        <v>1479.3345</v>
      </c>
      <c r="L957" s="4">
        <f t="shared" si="2"/>
        <v>0.851903339</v>
      </c>
    </row>
    <row r="958">
      <c r="A958" s="3" t="s">
        <v>90</v>
      </c>
      <c r="B958" s="3">
        <v>3.58</v>
      </c>
      <c r="C958" s="3">
        <v>0.73</v>
      </c>
      <c r="D958" s="3">
        <v>39.4</v>
      </c>
      <c r="E958" s="3">
        <v>2.1</v>
      </c>
      <c r="F958" s="3">
        <v>6.93</v>
      </c>
      <c r="G958" s="3">
        <v>40.66</v>
      </c>
      <c r="H958" s="3">
        <v>0.0</v>
      </c>
      <c r="I958" s="3">
        <v>258.37</v>
      </c>
      <c r="J958" s="3">
        <v>0.0</v>
      </c>
      <c r="K958" s="4">
        <f t="shared" si="1"/>
        <v>1701.2605</v>
      </c>
      <c r="L958" s="4">
        <f t="shared" si="2"/>
        <v>0.9124763668</v>
      </c>
    </row>
    <row r="959">
      <c r="A959" s="3" t="s">
        <v>90</v>
      </c>
      <c r="B959" s="3">
        <v>3.58</v>
      </c>
      <c r="C959" s="3">
        <v>0.8</v>
      </c>
      <c r="D959" s="3">
        <v>42.9</v>
      </c>
      <c r="E959" s="3">
        <v>2.3</v>
      </c>
      <c r="F959" s="3">
        <v>7.52</v>
      </c>
      <c r="G959" s="3">
        <v>43.36</v>
      </c>
      <c r="H959" s="3">
        <v>0.0</v>
      </c>
      <c r="I959" s="3">
        <v>250.06</v>
      </c>
      <c r="J959" s="3">
        <v>0.0</v>
      </c>
      <c r="K959" s="4">
        <f t="shared" si="1"/>
        <v>1936.64</v>
      </c>
      <c r="L959" s="4">
        <f t="shared" si="2"/>
        <v>0.9503108477</v>
      </c>
    </row>
    <row r="960">
      <c r="A960" s="3" t="s">
        <v>90</v>
      </c>
      <c r="B960" s="3">
        <v>3.58</v>
      </c>
      <c r="C960" s="3">
        <v>0.87</v>
      </c>
      <c r="D960" s="3">
        <v>46.0</v>
      </c>
      <c r="E960" s="3">
        <v>2.6</v>
      </c>
      <c r="F960" s="3">
        <v>8.45</v>
      </c>
      <c r="G960" s="3">
        <v>45.92</v>
      </c>
      <c r="H960" s="3">
        <v>0.0</v>
      </c>
      <c r="I960" s="3">
        <v>244.56</v>
      </c>
      <c r="J960" s="3">
        <v>0.0</v>
      </c>
      <c r="K960" s="4">
        <f t="shared" si="1"/>
        <v>2180.0489</v>
      </c>
      <c r="L960" s="4">
        <f t="shared" si="2"/>
        <v>0.9706204297</v>
      </c>
    </row>
    <row r="961">
      <c r="A961" s="3" t="s">
        <v>90</v>
      </c>
      <c r="B961" s="3">
        <v>3.58</v>
      </c>
      <c r="C961" s="3">
        <v>0.94</v>
      </c>
      <c r="D961" s="3">
        <v>49.1</v>
      </c>
      <c r="E961" s="3">
        <v>3.1</v>
      </c>
      <c r="F961" s="3">
        <v>9.28</v>
      </c>
      <c r="G961" s="3">
        <v>48.76</v>
      </c>
      <c r="H961" s="3">
        <v>0.0</v>
      </c>
      <c r="I961" s="3">
        <v>245.53</v>
      </c>
      <c r="J961" s="3">
        <v>0.0</v>
      </c>
      <c r="K961" s="4">
        <f t="shared" si="1"/>
        <v>2463.656</v>
      </c>
      <c r="L961" s="4">
        <f t="shared" si="2"/>
        <v>0.9785497651</v>
      </c>
    </row>
    <row r="962">
      <c r="A962" s="3" t="s">
        <v>90</v>
      </c>
      <c r="B962" s="3">
        <v>3.58</v>
      </c>
      <c r="C962" s="3">
        <v>1.01</v>
      </c>
      <c r="D962" s="3">
        <v>49.2</v>
      </c>
      <c r="E962" s="3">
        <v>3.2</v>
      </c>
      <c r="F962" s="3">
        <v>10.11</v>
      </c>
      <c r="G962" s="3">
        <v>52.24</v>
      </c>
      <c r="H962" s="3">
        <v>0.0</v>
      </c>
      <c r="I962" s="3">
        <v>248.27</v>
      </c>
      <c r="J962" s="3">
        <v>0.0</v>
      </c>
      <c r="K962" s="4">
        <f t="shared" si="1"/>
        <v>2831.2297</v>
      </c>
      <c r="L962" s="4">
        <f t="shared" si="2"/>
        <v>0.8549783156</v>
      </c>
    </row>
    <row r="963">
      <c r="A963" s="3" t="s">
        <v>90</v>
      </c>
      <c r="B963" s="3">
        <v>3.58</v>
      </c>
      <c r="C963" s="3">
        <v>1.08</v>
      </c>
      <c r="D963" s="3">
        <v>51.4</v>
      </c>
      <c r="E963" s="3">
        <v>3.2</v>
      </c>
      <c r="F963" s="3">
        <v>11.31</v>
      </c>
      <c r="G963" s="3">
        <v>55.81</v>
      </c>
      <c r="H963" s="3">
        <v>0.0</v>
      </c>
      <c r="I963" s="3">
        <v>237.88</v>
      </c>
      <c r="J963" s="3">
        <v>0.0</v>
      </c>
      <c r="K963" s="4">
        <f t="shared" si="1"/>
        <v>3242.6722</v>
      </c>
      <c r="L963" s="4">
        <f t="shared" si="2"/>
        <v>0.8147477873</v>
      </c>
    </row>
    <row r="964">
      <c r="A964" s="3" t="s">
        <v>90</v>
      </c>
      <c r="B964" s="3">
        <v>3.58</v>
      </c>
      <c r="C964" s="3">
        <v>1.14</v>
      </c>
      <c r="D964" s="3">
        <v>57.2</v>
      </c>
      <c r="E964" s="3">
        <v>3.1</v>
      </c>
      <c r="F964" s="3">
        <v>13.04</v>
      </c>
      <c r="G964" s="3">
        <v>58.54</v>
      </c>
      <c r="H964" s="3">
        <v>0.0</v>
      </c>
      <c r="I964" s="3">
        <v>230.0</v>
      </c>
      <c r="J964" s="3">
        <v>0.0</v>
      </c>
      <c r="K964" s="4">
        <f t="shared" si="1"/>
        <v>3596.9732</v>
      </c>
      <c r="L964" s="4">
        <f t="shared" si="2"/>
        <v>0.9096092237</v>
      </c>
    </row>
    <row r="965">
      <c r="A965" s="3" t="s">
        <v>90</v>
      </c>
      <c r="B965" s="3">
        <v>3.58</v>
      </c>
      <c r="C965" s="3">
        <v>1.21</v>
      </c>
      <c r="D965" s="3">
        <v>63.8</v>
      </c>
      <c r="E965" s="3">
        <v>2.9</v>
      </c>
      <c r="F965" s="3">
        <v>15.48</v>
      </c>
      <c r="G965" s="3">
        <v>61.95</v>
      </c>
      <c r="H965" s="3">
        <v>0.0</v>
      </c>
      <c r="I965" s="3">
        <v>228.85</v>
      </c>
      <c r="J965" s="3">
        <v>0.0</v>
      </c>
      <c r="K965" s="4">
        <f t="shared" si="1"/>
        <v>4077.4329</v>
      </c>
      <c r="L965" s="4">
        <f t="shared" si="2"/>
        <v>0.9982849748</v>
      </c>
    </row>
    <row r="966">
      <c r="A966" s="3" t="s">
        <v>90</v>
      </c>
      <c r="B966" s="3">
        <v>3.58</v>
      </c>
      <c r="C966" s="3">
        <v>1.29</v>
      </c>
      <c r="D966" s="3">
        <v>67.8</v>
      </c>
      <c r="E966" s="3">
        <v>2.8</v>
      </c>
      <c r="F966" s="3">
        <v>17.62</v>
      </c>
      <c r="G966" s="3">
        <v>66.07</v>
      </c>
      <c r="H966" s="3">
        <v>0.0</v>
      </c>
      <c r="I966" s="3">
        <v>216.32</v>
      </c>
      <c r="J966" s="3">
        <v>0.0</v>
      </c>
      <c r="K966" s="4">
        <f t="shared" si="1"/>
        <v>4675.7093</v>
      </c>
      <c r="L966" s="4">
        <f t="shared" si="2"/>
        <v>0.9831321207</v>
      </c>
    </row>
    <row r="967">
      <c r="A967" s="3" t="s">
        <v>90</v>
      </c>
      <c r="B967" s="3">
        <v>3.58</v>
      </c>
      <c r="C967" s="3">
        <v>1.35</v>
      </c>
      <c r="D967" s="3">
        <v>69.8</v>
      </c>
      <c r="E967" s="3">
        <v>3.3</v>
      </c>
      <c r="F967" s="3">
        <v>19.66</v>
      </c>
      <c r="G967" s="3">
        <v>68.88</v>
      </c>
      <c r="H967" s="3">
        <v>0.0</v>
      </c>
      <c r="I967" s="3">
        <v>203.26</v>
      </c>
      <c r="J967" s="3">
        <v>0.0</v>
      </c>
      <c r="K967" s="4">
        <f t="shared" si="1"/>
        <v>5130.97</v>
      </c>
      <c r="L967" s="4">
        <f t="shared" si="2"/>
        <v>0.9495358577</v>
      </c>
    </row>
    <row r="968">
      <c r="A968" s="3" t="s">
        <v>90</v>
      </c>
      <c r="B968" s="3">
        <v>3.58</v>
      </c>
      <c r="C968" s="3">
        <v>1.42</v>
      </c>
      <c r="D968" s="3">
        <v>71.7</v>
      </c>
      <c r="E968" s="3">
        <v>3.9</v>
      </c>
      <c r="F968" s="3">
        <v>21.7</v>
      </c>
      <c r="G968" s="3">
        <v>71.85</v>
      </c>
      <c r="H968" s="3">
        <v>0.0</v>
      </c>
      <c r="I968" s="3">
        <v>189.42</v>
      </c>
      <c r="J968" s="3">
        <v>0.0</v>
      </c>
      <c r="K968" s="4">
        <f t="shared" si="1"/>
        <v>5633.3125</v>
      </c>
      <c r="L968" s="4">
        <f t="shared" si="2"/>
        <v>0.9125873986</v>
      </c>
    </row>
    <row r="969">
      <c r="A969" s="3" t="s">
        <v>90</v>
      </c>
      <c r="B969" s="3">
        <v>3.58</v>
      </c>
      <c r="C969" s="3">
        <v>1.49</v>
      </c>
      <c r="D969" s="3">
        <v>74.1</v>
      </c>
      <c r="E969" s="3">
        <v>4.4</v>
      </c>
      <c r="F969" s="3">
        <v>23.73</v>
      </c>
      <c r="G969" s="3">
        <v>74.58</v>
      </c>
      <c r="H969" s="3">
        <v>0.0</v>
      </c>
      <c r="I969" s="3">
        <v>174.06</v>
      </c>
      <c r="J969" s="3">
        <v>0.0</v>
      </c>
      <c r="K969" s="4">
        <f t="shared" si="1"/>
        <v>6125.2893</v>
      </c>
      <c r="L969" s="4">
        <f t="shared" si="2"/>
        <v>0.8964164354</v>
      </c>
    </row>
    <row r="970">
      <c r="A970" s="3" t="s">
        <v>90</v>
      </c>
      <c r="B970" s="3">
        <v>3.58</v>
      </c>
      <c r="C970" s="3">
        <v>1.56</v>
      </c>
      <c r="D970" s="3">
        <v>76.7</v>
      </c>
      <c r="E970" s="3">
        <v>4.8</v>
      </c>
      <c r="F970" s="3">
        <v>25.98</v>
      </c>
      <c r="G970" s="3">
        <v>76.94</v>
      </c>
      <c r="H970" s="3">
        <v>0.0</v>
      </c>
      <c r="I970" s="3">
        <v>155.41</v>
      </c>
      <c r="J970" s="3">
        <v>0.0</v>
      </c>
      <c r="K970" s="4">
        <f t="shared" si="1"/>
        <v>6594.724</v>
      </c>
      <c r="L970" s="4">
        <f t="shared" si="2"/>
        <v>0.8920600771</v>
      </c>
    </row>
    <row r="971">
      <c r="A971" s="3" t="s">
        <v>90</v>
      </c>
      <c r="B971" s="3">
        <v>3.58</v>
      </c>
      <c r="C971" s="3">
        <v>1.63</v>
      </c>
      <c r="D971" s="3">
        <v>79.9</v>
      </c>
      <c r="E971" s="3">
        <v>4.4</v>
      </c>
      <c r="F971" s="3">
        <v>27.71</v>
      </c>
      <c r="G971" s="3">
        <v>78.73</v>
      </c>
      <c r="H971" s="3">
        <v>0.0</v>
      </c>
      <c r="I971" s="3">
        <v>134.59</v>
      </c>
      <c r="J971" s="3">
        <v>0.0</v>
      </c>
      <c r="K971" s="4">
        <f t="shared" si="1"/>
        <v>6966.257</v>
      </c>
      <c r="L971" s="4">
        <f t="shared" si="2"/>
        <v>0.9164189607</v>
      </c>
    </row>
    <row r="972">
      <c r="A972" s="3" t="s">
        <v>90</v>
      </c>
      <c r="B972" s="3">
        <v>3.58</v>
      </c>
      <c r="C972" s="3">
        <v>1.74</v>
      </c>
      <c r="D972" s="3">
        <v>83.6</v>
      </c>
      <c r="E972" s="3">
        <v>3.35</v>
      </c>
      <c r="F972" s="3">
        <v>30.15</v>
      </c>
      <c r="G972" s="3">
        <v>80.17</v>
      </c>
      <c r="H972" s="3">
        <v>0.0</v>
      </c>
      <c r="I972" s="3">
        <v>99.94</v>
      </c>
      <c r="J972" s="3">
        <v>0.0</v>
      </c>
      <c r="K972" s="4">
        <f t="shared" si="1"/>
        <v>7336.2514</v>
      </c>
      <c r="L972" s="4">
        <f t="shared" si="2"/>
        <v>0.9526609189</v>
      </c>
    </row>
    <row r="973">
      <c r="A973" s="3" t="s">
        <v>90</v>
      </c>
      <c r="B973" s="3">
        <v>3.58</v>
      </c>
      <c r="C973" s="3">
        <v>1.93</v>
      </c>
      <c r="D973" s="3">
        <v>83.9</v>
      </c>
      <c r="E973" s="3">
        <v>3.95</v>
      </c>
      <c r="F973" s="3">
        <v>29.44</v>
      </c>
      <c r="G973" s="3">
        <v>78.52</v>
      </c>
      <c r="H973" s="3">
        <v>0.0</v>
      </c>
      <c r="I973" s="3">
        <v>58.42</v>
      </c>
      <c r="J973" s="3">
        <v>0.0</v>
      </c>
      <c r="K973" s="4">
        <f t="shared" si="1"/>
        <v>7032.104</v>
      </c>
      <c r="L973" s="4">
        <f t="shared" si="2"/>
        <v>1.001010508</v>
      </c>
    </row>
    <row r="974">
      <c r="A974" s="3" t="s">
        <v>90</v>
      </c>
      <c r="B974" s="3">
        <v>3.58</v>
      </c>
      <c r="C974" s="3">
        <v>2.1</v>
      </c>
      <c r="D974" s="3">
        <v>88.7</v>
      </c>
      <c r="E974" s="3">
        <v>4.44</v>
      </c>
      <c r="F974" s="3">
        <v>29.75</v>
      </c>
      <c r="G974" s="3">
        <v>75.56</v>
      </c>
      <c r="H974" s="3">
        <v>0.0</v>
      </c>
      <c r="I974" s="3">
        <v>46.09</v>
      </c>
      <c r="J974" s="3">
        <v>0.0</v>
      </c>
      <c r="K974" s="4">
        <f t="shared" si="1"/>
        <v>6594.3761</v>
      </c>
      <c r="L974" s="4">
        <f t="shared" si="2"/>
        <v>1.193090882</v>
      </c>
    </row>
    <row r="975">
      <c r="A975" s="3" t="s">
        <v>90</v>
      </c>
      <c r="B975" s="3">
        <v>3.58</v>
      </c>
      <c r="C975" s="3">
        <v>2.27</v>
      </c>
      <c r="D975" s="3">
        <v>85.3</v>
      </c>
      <c r="E975" s="3">
        <v>5.36</v>
      </c>
      <c r="F975" s="3">
        <v>29.85</v>
      </c>
      <c r="G975" s="3">
        <v>73.66</v>
      </c>
      <c r="H975" s="3">
        <v>0.0</v>
      </c>
      <c r="I975" s="3">
        <v>41.53</v>
      </c>
      <c r="J975" s="3">
        <v>0.0</v>
      </c>
      <c r="K975" s="4">
        <f t="shared" si="1"/>
        <v>6316.8181</v>
      </c>
      <c r="L975" s="4">
        <f t="shared" si="2"/>
        <v>1.151859985</v>
      </c>
    </row>
    <row r="976">
      <c r="A976" s="3" t="s">
        <v>91</v>
      </c>
      <c r="B976" s="3">
        <v>68.1</v>
      </c>
      <c r="C976" s="3">
        <v>0.33</v>
      </c>
      <c r="D976" s="3">
        <v>90.0</v>
      </c>
      <c r="E976" s="3">
        <v>20.0</v>
      </c>
      <c r="F976" s="3">
        <v>0.0</v>
      </c>
      <c r="G976" s="3">
        <v>44.56</v>
      </c>
      <c r="H976" s="3">
        <v>0.0</v>
      </c>
      <c r="I976" s="3">
        <v>2070.29</v>
      </c>
      <c r="J976" s="3">
        <v>0.0</v>
      </c>
      <c r="K976" s="4">
        <f t="shared" si="1"/>
        <v>1985.5936</v>
      </c>
      <c r="L976" s="4">
        <f t="shared" si="2"/>
        <v>4.079384623</v>
      </c>
    </row>
    <row r="977">
      <c r="A977" s="3" t="s">
        <v>91</v>
      </c>
      <c r="B977" s="3">
        <v>68.1</v>
      </c>
      <c r="C977" s="3">
        <v>0.99</v>
      </c>
      <c r="D977" s="3">
        <v>125.0</v>
      </c>
      <c r="E977" s="3">
        <v>15.0</v>
      </c>
      <c r="F977" s="3">
        <v>0.66</v>
      </c>
      <c r="G977" s="3">
        <v>93.23</v>
      </c>
      <c r="H977" s="3">
        <v>0.0</v>
      </c>
      <c r="I977" s="3">
        <v>1190.44</v>
      </c>
      <c r="J977" s="3">
        <v>0.0</v>
      </c>
      <c r="K977" s="4">
        <f t="shared" si="1"/>
        <v>8692.2685</v>
      </c>
      <c r="L977" s="4">
        <f t="shared" si="2"/>
        <v>1.797574477</v>
      </c>
    </row>
    <row r="978">
      <c r="A978" s="3" t="s">
        <v>91</v>
      </c>
      <c r="B978" s="3">
        <v>68.1</v>
      </c>
      <c r="C978" s="3">
        <v>1.98</v>
      </c>
      <c r="D978" s="3">
        <v>148.0</v>
      </c>
      <c r="E978" s="3">
        <v>15.0</v>
      </c>
      <c r="F978" s="3">
        <v>2.66</v>
      </c>
      <c r="G978" s="3">
        <v>132.13</v>
      </c>
      <c r="H978" s="3">
        <v>0.0</v>
      </c>
      <c r="I978" s="3">
        <v>888.44</v>
      </c>
      <c r="J978" s="3">
        <v>0.0</v>
      </c>
      <c r="K978" s="4">
        <f t="shared" si="1"/>
        <v>17465.4125</v>
      </c>
      <c r="L978" s="4">
        <f t="shared" si="2"/>
        <v>1.254135853</v>
      </c>
    </row>
    <row r="979">
      <c r="A979" s="3" t="s">
        <v>91</v>
      </c>
      <c r="B979" s="3">
        <v>68.1</v>
      </c>
      <c r="C979" s="3">
        <v>2.64</v>
      </c>
      <c r="D979" s="3">
        <v>180.0</v>
      </c>
      <c r="E979" s="3">
        <v>17.0</v>
      </c>
      <c r="F979" s="3">
        <v>4.03</v>
      </c>
      <c r="G979" s="3">
        <v>154.64</v>
      </c>
      <c r="H979" s="3">
        <v>0.0</v>
      </c>
      <c r="I979" s="3">
        <v>784.11</v>
      </c>
      <c r="J979" s="3">
        <v>0.0</v>
      </c>
      <c r="K979" s="4">
        <f t="shared" si="1"/>
        <v>23929.7705</v>
      </c>
      <c r="L979" s="4">
        <f t="shared" si="2"/>
        <v>1.353962003</v>
      </c>
    </row>
    <row r="980">
      <c r="A980" s="3" t="s">
        <v>91</v>
      </c>
      <c r="B980" s="3">
        <v>68.1</v>
      </c>
      <c r="C980" s="3">
        <v>3.63</v>
      </c>
      <c r="D980" s="3">
        <v>201.0</v>
      </c>
      <c r="E980" s="3">
        <v>15.0</v>
      </c>
      <c r="F980" s="3">
        <v>6.22</v>
      </c>
      <c r="G980" s="3">
        <v>196.69</v>
      </c>
      <c r="H980" s="3">
        <v>0.0</v>
      </c>
      <c r="I980" s="3">
        <v>702.55</v>
      </c>
      <c r="J980" s="3">
        <v>0.0</v>
      </c>
      <c r="K980" s="4">
        <f t="shared" si="1"/>
        <v>38725.6445</v>
      </c>
      <c r="L980" s="4">
        <f t="shared" si="2"/>
        <v>1.043262172</v>
      </c>
    </row>
    <row r="981">
      <c r="A981" s="3" t="s">
        <v>91</v>
      </c>
      <c r="B981" s="3">
        <v>68.1</v>
      </c>
      <c r="C981" s="3">
        <v>7.59</v>
      </c>
      <c r="D981" s="3">
        <v>206.0</v>
      </c>
      <c r="E981" s="3">
        <v>10.0</v>
      </c>
      <c r="F981" s="3">
        <v>16.84</v>
      </c>
      <c r="G981" s="3">
        <v>221.58</v>
      </c>
      <c r="H981" s="3">
        <v>0.0</v>
      </c>
      <c r="I981" s="3">
        <v>192.87</v>
      </c>
      <c r="J981" s="3">
        <v>0.0</v>
      </c>
      <c r="K981" s="4">
        <f t="shared" si="1"/>
        <v>49381.282</v>
      </c>
      <c r="L981" s="4">
        <f t="shared" si="2"/>
        <v>0.8593539552</v>
      </c>
    </row>
    <row r="982">
      <c r="A982" s="3" t="s">
        <v>91</v>
      </c>
      <c r="B982" s="3">
        <v>68.1</v>
      </c>
      <c r="C982" s="3">
        <v>12.5</v>
      </c>
      <c r="D982" s="3">
        <v>214.0</v>
      </c>
      <c r="E982" s="3">
        <v>5.0</v>
      </c>
      <c r="F982" s="3">
        <v>32.06</v>
      </c>
      <c r="G982" s="3">
        <v>213.19</v>
      </c>
      <c r="H982" s="3">
        <v>0.0</v>
      </c>
      <c r="I982" s="3">
        <v>56.1</v>
      </c>
      <c r="J982" s="3">
        <v>0.0</v>
      </c>
      <c r="K982" s="4">
        <f t="shared" si="1"/>
        <v>46477.8197</v>
      </c>
      <c r="L982" s="4">
        <f t="shared" si="2"/>
        <v>0.9853302133</v>
      </c>
    </row>
    <row r="983">
      <c r="A983" s="3" t="s">
        <v>91</v>
      </c>
      <c r="B983" s="3">
        <v>68.1</v>
      </c>
      <c r="C983" s="3">
        <v>17.48</v>
      </c>
      <c r="D983" s="3">
        <v>212.0</v>
      </c>
      <c r="E983" s="3">
        <v>5.0</v>
      </c>
      <c r="F983" s="3">
        <v>44.76</v>
      </c>
      <c r="G983" s="3">
        <v>198.92</v>
      </c>
      <c r="H983" s="3">
        <v>0.0</v>
      </c>
      <c r="I983" s="3">
        <v>17.41</v>
      </c>
      <c r="J983" s="3">
        <v>0.0</v>
      </c>
      <c r="K983" s="4">
        <f t="shared" si="1"/>
        <v>41572.624</v>
      </c>
      <c r="L983" s="4">
        <f t="shared" si="2"/>
        <v>1.08109606</v>
      </c>
    </row>
    <row r="984">
      <c r="A984" s="3" t="s">
        <v>91</v>
      </c>
      <c r="B984" s="3">
        <v>68.1</v>
      </c>
      <c r="C984" s="3">
        <v>22.46</v>
      </c>
      <c r="D984" s="3">
        <v>213.0</v>
      </c>
      <c r="E984" s="3">
        <v>2.0</v>
      </c>
      <c r="F984" s="3">
        <v>52.43</v>
      </c>
      <c r="G984" s="3">
        <v>175.78</v>
      </c>
      <c r="H984" s="3">
        <v>0.0</v>
      </c>
      <c r="I984" s="3">
        <v>10.54</v>
      </c>
      <c r="J984" s="3">
        <v>0.0</v>
      </c>
      <c r="K984" s="4">
        <f t="shared" si="1"/>
        <v>33647.5133</v>
      </c>
      <c r="L984" s="4">
        <f t="shared" si="2"/>
        <v>1.348361158</v>
      </c>
    </row>
    <row r="985">
      <c r="A985" s="3" t="s">
        <v>91</v>
      </c>
      <c r="B985" s="3">
        <v>68.1</v>
      </c>
      <c r="C985" s="3">
        <v>27.44</v>
      </c>
      <c r="D985" s="3">
        <v>214.0</v>
      </c>
      <c r="E985" s="3">
        <v>2.0</v>
      </c>
      <c r="F985" s="3">
        <v>58.37</v>
      </c>
      <c r="G985" s="3">
        <v>162.69</v>
      </c>
      <c r="H985" s="3">
        <v>0.0</v>
      </c>
      <c r="I985" s="3">
        <v>5.26</v>
      </c>
      <c r="J985" s="3">
        <v>0.0</v>
      </c>
      <c r="K985" s="4">
        <f t="shared" si="1"/>
        <v>29875.093</v>
      </c>
      <c r="L985" s="4">
        <f t="shared" si="2"/>
        <v>1.53291573</v>
      </c>
    </row>
    <row r="986">
      <c r="A986" s="3" t="s">
        <v>91</v>
      </c>
      <c r="B986" s="3">
        <v>68.1</v>
      </c>
      <c r="C986" s="3">
        <v>32.32</v>
      </c>
      <c r="D986" s="3">
        <v>213.0</v>
      </c>
      <c r="E986" s="3">
        <v>2.0</v>
      </c>
      <c r="F986" s="3">
        <v>63.92</v>
      </c>
      <c r="G986" s="3">
        <v>151.18</v>
      </c>
      <c r="H986" s="3">
        <v>0.0</v>
      </c>
      <c r="I986" s="3">
        <v>2.5</v>
      </c>
      <c r="J986" s="3">
        <v>0.0</v>
      </c>
      <c r="K986" s="4">
        <f t="shared" si="1"/>
        <v>26941.1588</v>
      </c>
      <c r="L986" s="4">
        <f t="shared" si="2"/>
        <v>1.684003288</v>
      </c>
    </row>
    <row r="987">
      <c r="A987" s="3" t="s">
        <v>91</v>
      </c>
      <c r="B987" s="3">
        <v>68.1</v>
      </c>
      <c r="C987" s="3">
        <v>37.3</v>
      </c>
      <c r="D987" s="3">
        <v>213.0</v>
      </c>
      <c r="E987" s="3">
        <v>3.0</v>
      </c>
      <c r="F987" s="3">
        <v>66.04</v>
      </c>
      <c r="G987" s="3">
        <v>139.68</v>
      </c>
      <c r="H987" s="3">
        <v>0.0</v>
      </c>
      <c r="I987" s="3">
        <v>0.96</v>
      </c>
      <c r="J987" s="3">
        <v>0.0</v>
      </c>
      <c r="K987" s="4">
        <f t="shared" si="1"/>
        <v>23871.784</v>
      </c>
      <c r="L987" s="4">
        <f t="shared" si="2"/>
        <v>1.900528255</v>
      </c>
    </row>
    <row r="988">
      <c r="A988" s="3" t="s">
        <v>91</v>
      </c>
      <c r="B988" s="3">
        <v>68.1</v>
      </c>
      <c r="C988" s="3">
        <v>42.28</v>
      </c>
      <c r="D988" s="3">
        <v>203.0</v>
      </c>
      <c r="E988" s="3">
        <v>3.0</v>
      </c>
      <c r="F988" s="3">
        <v>64.42</v>
      </c>
      <c r="G988" s="3">
        <v>130.09</v>
      </c>
      <c r="H988" s="3">
        <v>0.0</v>
      </c>
      <c r="I988" s="3">
        <v>0.33</v>
      </c>
      <c r="J988" s="3">
        <v>0.0</v>
      </c>
      <c r="K988" s="4">
        <f t="shared" si="1"/>
        <v>21073.3445</v>
      </c>
      <c r="L988" s="4">
        <f t="shared" si="2"/>
        <v>1.955503551</v>
      </c>
    </row>
    <row r="989">
      <c r="A989" s="3" t="s">
        <v>17</v>
      </c>
      <c r="B989" s="3">
        <v>1.33</v>
      </c>
      <c r="C989" s="3">
        <v>0.26</v>
      </c>
      <c r="D989" s="3">
        <v>6.1</v>
      </c>
      <c r="E989" s="3">
        <v>1.6</v>
      </c>
      <c r="F989" s="3">
        <v>1.0</v>
      </c>
      <c r="G989" s="3">
        <v>2.78</v>
      </c>
      <c r="H989" s="3">
        <v>0.0</v>
      </c>
      <c r="I989" s="3">
        <v>10.55</v>
      </c>
      <c r="J989" s="3">
        <v>0.0</v>
      </c>
      <c r="K989" s="4">
        <f t="shared" si="1"/>
        <v>8.7284</v>
      </c>
      <c r="L989" s="4">
        <f t="shared" si="2"/>
        <v>4.263095184</v>
      </c>
    </row>
    <row r="990">
      <c r="A990" s="3" t="s">
        <v>17</v>
      </c>
      <c r="B990" s="3">
        <v>1.33</v>
      </c>
      <c r="C990" s="3">
        <v>0.52</v>
      </c>
      <c r="D990" s="3">
        <v>11.2</v>
      </c>
      <c r="E990" s="3">
        <v>0.7</v>
      </c>
      <c r="F990" s="3">
        <v>2.12</v>
      </c>
      <c r="G990" s="3">
        <v>4.73</v>
      </c>
      <c r="H990" s="3">
        <v>0.0</v>
      </c>
      <c r="I990" s="3">
        <v>8.77</v>
      </c>
      <c r="J990" s="3">
        <v>0.0</v>
      </c>
      <c r="K990" s="4">
        <f t="shared" si="1"/>
        <v>26.8673</v>
      </c>
      <c r="L990" s="4">
        <f t="shared" si="2"/>
        <v>4.66887257</v>
      </c>
    </row>
    <row r="991">
      <c r="A991" s="3" t="s">
        <v>17</v>
      </c>
      <c r="B991" s="3">
        <v>1.33</v>
      </c>
      <c r="C991" s="3">
        <v>0.77</v>
      </c>
      <c r="D991" s="3">
        <v>14.9</v>
      </c>
      <c r="E991" s="3">
        <v>1.5</v>
      </c>
      <c r="F991" s="3">
        <v>4.53</v>
      </c>
      <c r="G991" s="3">
        <v>7.0</v>
      </c>
      <c r="H991" s="3">
        <v>0.0</v>
      </c>
      <c r="I991" s="3">
        <v>8.41</v>
      </c>
      <c r="J991" s="3">
        <v>0.0</v>
      </c>
      <c r="K991" s="4">
        <f t="shared" si="1"/>
        <v>69.5209</v>
      </c>
      <c r="L991" s="4">
        <f t="shared" si="2"/>
        <v>3.193428163</v>
      </c>
    </row>
    <row r="992">
      <c r="A992" s="3" t="s">
        <v>17</v>
      </c>
      <c r="B992" s="3">
        <v>1.33</v>
      </c>
      <c r="C992" s="3">
        <v>1.03</v>
      </c>
      <c r="D992" s="3">
        <v>19.1</v>
      </c>
      <c r="E992" s="3">
        <v>2.2</v>
      </c>
      <c r="F992" s="3">
        <v>6.54</v>
      </c>
      <c r="G992" s="3">
        <v>8.59</v>
      </c>
      <c r="H992" s="3">
        <v>0.0</v>
      </c>
      <c r="I992" s="3">
        <v>7.93</v>
      </c>
      <c r="J992" s="3">
        <v>0.0</v>
      </c>
      <c r="K992" s="4">
        <f t="shared" si="1"/>
        <v>116.5597</v>
      </c>
      <c r="L992" s="4">
        <f t="shared" si="2"/>
        <v>3.129812448</v>
      </c>
    </row>
    <row r="993">
      <c r="A993" s="3" t="s">
        <v>17</v>
      </c>
      <c r="B993" s="3">
        <v>1.33</v>
      </c>
      <c r="C993" s="3">
        <v>1.29</v>
      </c>
      <c r="D993" s="3">
        <v>24.3</v>
      </c>
      <c r="E993" s="3">
        <v>0.9</v>
      </c>
      <c r="F993" s="3">
        <v>8.22</v>
      </c>
      <c r="G993" s="3">
        <v>10.63</v>
      </c>
      <c r="H993" s="3">
        <v>0.0</v>
      </c>
      <c r="I993" s="3">
        <v>6.67</v>
      </c>
      <c r="J993" s="3">
        <v>0.0</v>
      </c>
      <c r="K993" s="4">
        <f t="shared" si="1"/>
        <v>180.5653</v>
      </c>
      <c r="L993" s="4">
        <f t="shared" si="2"/>
        <v>3.270229662</v>
      </c>
    </row>
    <row r="994">
      <c r="A994" s="3" t="s">
        <v>17</v>
      </c>
      <c r="B994" s="3">
        <v>1.33</v>
      </c>
      <c r="C994" s="3">
        <v>1.55</v>
      </c>
      <c r="D994" s="3">
        <v>29.8</v>
      </c>
      <c r="E994" s="3">
        <v>1.9</v>
      </c>
      <c r="F994" s="3">
        <v>10.06</v>
      </c>
      <c r="G994" s="3">
        <v>11.72</v>
      </c>
      <c r="H994" s="3">
        <v>0.0</v>
      </c>
      <c r="I994" s="3">
        <v>5.17</v>
      </c>
      <c r="J994" s="3">
        <v>0.0</v>
      </c>
      <c r="K994" s="4">
        <f t="shared" si="1"/>
        <v>238.562</v>
      </c>
      <c r="L994" s="4">
        <f t="shared" si="2"/>
        <v>3.722470469</v>
      </c>
    </row>
    <row r="995">
      <c r="A995" s="3" t="s">
        <v>17</v>
      </c>
      <c r="B995" s="3">
        <v>1.33</v>
      </c>
      <c r="C995" s="3">
        <v>1.81</v>
      </c>
      <c r="D995" s="3">
        <v>34.3</v>
      </c>
      <c r="E995" s="3">
        <v>1.6</v>
      </c>
      <c r="F995" s="3">
        <v>11.73</v>
      </c>
      <c r="G995" s="3">
        <v>12.56</v>
      </c>
      <c r="H995" s="3">
        <v>0.0</v>
      </c>
      <c r="I995" s="3">
        <v>4.71</v>
      </c>
      <c r="J995" s="3">
        <v>0.0</v>
      </c>
      <c r="K995" s="4">
        <f t="shared" si="1"/>
        <v>295.3465</v>
      </c>
      <c r="L995" s="4">
        <f t="shared" si="2"/>
        <v>3.983422861</v>
      </c>
    </row>
    <row r="996">
      <c r="A996" s="3" t="s">
        <v>17</v>
      </c>
      <c r="B996" s="3">
        <v>1.33</v>
      </c>
      <c r="C996" s="3">
        <v>2.06</v>
      </c>
      <c r="D996" s="3">
        <v>38.2</v>
      </c>
      <c r="E996" s="3">
        <v>3.5</v>
      </c>
      <c r="F996" s="3">
        <v>12.92</v>
      </c>
      <c r="G996" s="3">
        <v>13.39</v>
      </c>
      <c r="H996" s="3">
        <v>0.0</v>
      </c>
      <c r="I996" s="3">
        <v>3.81</v>
      </c>
      <c r="J996" s="3">
        <v>0.0</v>
      </c>
      <c r="K996" s="4">
        <f t="shared" si="1"/>
        <v>346.2185</v>
      </c>
      <c r="L996" s="4">
        <f t="shared" si="2"/>
        <v>4.214794992</v>
      </c>
    </row>
    <row r="997">
      <c r="A997" s="3" t="s">
        <v>17</v>
      </c>
      <c r="B997" s="3">
        <v>1.33</v>
      </c>
      <c r="C997" s="3">
        <v>2.32</v>
      </c>
      <c r="D997" s="3">
        <v>42.5</v>
      </c>
      <c r="E997" s="3">
        <v>5.6</v>
      </c>
      <c r="F997" s="3">
        <v>13.76</v>
      </c>
      <c r="G997" s="3">
        <v>13.69</v>
      </c>
      <c r="H997" s="3">
        <v>0.0</v>
      </c>
      <c r="I997" s="3">
        <v>2.97</v>
      </c>
      <c r="J997" s="3">
        <v>0.0</v>
      </c>
      <c r="K997" s="4">
        <f t="shared" si="1"/>
        <v>376.7537</v>
      </c>
      <c r="L997" s="4">
        <f t="shared" si="2"/>
        <v>4.794246214</v>
      </c>
    </row>
    <row r="998">
      <c r="A998" s="3" t="s">
        <v>17</v>
      </c>
      <c r="B998" s="3">
        <v>1.33</v>
      </c>
      <c r="C998" s="3">
        <v>2.58</v>
      </c>
      <c r="D998" s="3">
        <v>42.3</v>
      </c>
      <c r="E998" s="3">
        <v>3.0</v>
      </c>
      <c r="F998" s="3">
        <v>14.44</v>
      </c>
      <c r="G998" s="3">
        <v>13.73</v>
      </c>
      <c r="H998" s="3">
        <v>0.0</v>
      </c>
      <c r="I998" s="3">
        <v>2.43</v>
      </c>
      <c r="J998" s="3">
        <v>0.0</v>
      </c>
      <c r="K998" s="4">
        <f t="shared" si="1"/>
        <v>397.0265</v>
      </c>
      <c r="L998" s="4">
        <f t="shared" si="2"/>
        <v>4.506726881</v>
      </c>
    </row>
    <row r="999">
      <c r="A999" s="3" t="s">
        <v>17</v>
      </c>
      <c r="B999" s="3">
        <v>1.33</v>
      </c>
      <c r="C999" s="3">
        <v>2.84</v>
      </c>
      <c r="D999" s="3">
        <v>47.3</v>
      </c>
      <c r="E999" s="3">
        <v>4.4</v>
      </c>
      <c r="F999" s="3">
        <v>15.04</v>
      </c>
      <c r="G999" s="3">
        <v>13.74</v>
      </c>
      <c r="H999" s="3">
        <v>0.0</v>
      </c>
      <c r="I999" s="3">
        <v>2.3</v>
      </c>
      <c r="J999" s="3">
        <v>0.0</v>
      </c>
      <c r="K999" s="4">
        <f t="shared" si="1"/>
        <v>414.9892</v>
      </c>
      <c r="L999" s="4">
        <f t="shared" si="2"/>
        <v>5.391200542</v>
      </c>
    </row>
    <row r="1000">
      <c r="A1000" s="3" t="s">
        <v>17</v>
      </c>
      <c r="B1000" s="3">
        <v>1.33</v>
      </c>
      <c r="C1000" s="3">
        <v>3.1</v>
      </c>
      <c r="D1000" s="3">
        <v>49.3</v>
      </c>
      <c r="E1000" s="3">
        <v>4.0</v>
      </c>
      <c r="F1000" s="3">
        <v>15.37</v>
      </c>
      <c r="G1000" s="3">
        <v>14.32</v>
      </c>
      <c r="H1000" s="3">
        <v>0.0</v>
      </c>
      <c r="I1000" s="3">
        <v>2.42</v>
      </c>
      <c r="J1000" s="3">
        <v>0.0</v>
      </c>
      <c r="K1000" s="4">
        <f t="shared" si="1"/>
        <v>441.2993</v>
      </c>
      <c r="L1000" s="4">
        <f t="shared" si="2"/>
        <v>5.507577284</v>
      </c>
    </row>
    <row r="1001">
      <c r="A1001" s="3" t="s">
        <v>17</v>
      </c>
      <c r="B1001" s="3">
        <v>1.33</v>
      </c>
      <c r="C1001" s="3">
        <v>3.35</v>
      </c>
      <c r="D1001" s="3">
        <v>50.6</v>
      </c>
      <c r="E1001" s="3">
        <v>3.5</v>
      </c>
      <c r="F1001" s="3">
        <v>15.75</v>
      </c>
      <c r="G1001" s="3">
        <v>15.08</v>
      </c>
      <c r="H1001" s="3">
        <v>0.0</v>
      </c>
      <c r="I1001" s="3">
        <v>1.97</v>
      </c>
      <c r="J1001" s="3">
        <v>0.0</v>
      </c>
      <c r="K1001" s="4">
        <f t="shared" si="1"/>
        <v>475.4689</v>
      </c>
      <c r="L1001" s="4">
        <f t="shared" si="2"/>
        <v>5.384915817</v>
      </c>
    </row>
    <row r="1002">
      <c r="A1002" s="3" t="s">
        <v>17</v>
      </c>
      <c r="B1002" s="3">
        <v>1.33</v>
      </c>
      <c r="C1002" s="3">
        <v>3.61</v>
      </c>
      <c r="D1002" s="3">
        <v>53.0</v>
      </c>
      <c r="E1002" s="3">
        <v>3.5</v>
      </c>
      <c r="F1002" s="3">
        <v>16.29</v>
      </c>
      <c r="G1002" s="3">
        <v>15.34</v>
      </c>
      <c r="H1002" s="3">
        <v>0.0</v>
      </c>
      <c r="I1002" s="3">
        <v>1.22</v>
      </c>
      <c r="J1002" s="3">
        <v>0.0</v>
      </c>
      <c r="K1002" s="4">
        <f t="shared" si="1"/>
        <v>500.6797</v>
      </c>
      <c r="L1002" s="4">
        <f t="shared" si="2"/>
        <v>5.610373259</v>
      </c>
    </row>
    <row r="1003">
      <c r="A1003" s="3" t="s">
        <v>17</v>
      </c>
      <c r="B1003" s="3">
        <v>1.33</v>
      </c>
      <c r="C1003" s="3">
        <v>3.87</v>
      </c>
      <c r="D1003" s="3">
        <v>54.7</v>
      </c>
      <c r="E1003" s="3">
        <v>3.3</v>
      </c>
      <c r="F1003" s="3">
        <v>16.37</v>
      </c>
      <c r="G1003" s="3">
        <v>14.77</v>
      </c>
      <c r="H1003" s="3">
        <v>0.0</v>
      </c>
      <c r="I1003" s="3">
        <v>0.78</v>
      </c>
      <c r="J1003" s="3">
        <v>0.0</v>
      </c>
      <c r="K1003" s="4">
        <f t="shared" si="1"/>
        <v>486.1298</v>
      </c>
      <c r="L1003" s="4">
        <f t="shared" si="2"/>
        <v>6.154919941</v>
      </c>
    </row>
    <row r="1004">
      <c r="A1004" s="3" t="s">
        <v>17</v>
      </c>
      <c r="B1004" s="3">
        <v>1.33</v>
      </c>
      <c r="C1004" s="3">
        <v>4.13</v>
      </c>
      <c r="D1004" s="3">
        <v>55.2</v>
      </c>
      <c r="E1004" s="3">
        <v>3.1</v>
      </c>
      <c r="F1004" s="3">
        <v>16.42</v>
      </c>
      <c r="G1004" s="3">
        <v>14.16</v>
      </c>
      <c r="H1004" s="3">
        <v>0.0</v>
      </c>
      <c r="I1004" s="3">
        <v>0.69</v>
      </c>
      <c r="J1004" s="3">
        <v>0.0</v>
      </c>
      <c r="K1004" s="4">
        <f t="shared" si="1"/>
        <v>470.122</v>
      </c>
      <c r="L1004" s="4">
        <f t="shared" si="2"/>
        <v>6.481381429</v>
      </c>
    </row>
    <row r="1005">
      <c r="A1005" s="3" t="s">
        <v>17</v>
      </c>
      <c r="B1005" s="3">
        <v>1.33</v>
      </c>
      <c r="C1005" s="3">
        <v>4.38</v>
      </c>
      <c r="D1005" s="3">
        <v>57.5</v>
      </c>
      <c r="E1005" s="3">
        <v>2.6</v>
      </c>
      <c r="F1005" s="3">
        <v>16.88</v>
      </c>
      <c r="G1005" s="3">
        <v>13.87</v>
      </c>
      <c r="H1005" s="3">
        <v>0.0</v>
      </c>
      <c r="I1005" s="3">
        <v>0.81</v>
      </c>
      <c r="J1005" s="3">
        <v>0.0</v>
      </c>
      <c r="K1005" s="4">
        <f t="shared" si="1"/>
        <v>477.3113</v>
      </c>
      <c r="L1005" s="4">
        <f t="shared" si="2"/>
        <v>6.926821133</v>
      </c>
    </row>
    <row r="1006">
      <c r="A1006" s="3" t="s">
        <v>17</v>
      </c>
      <c r="B1006" s="3">
        <v>1.33</v>
      </c>
      <c r="C1006" s="3">
        <v>4.64</v>
      </c>
      <c r="D1006" s="3">
        <v>59.1</v>
      </c>
      <c r="E1006" s="3">
        <v>2.4</v>
      </c>
      <c r="F1006" s="3">
        <v>17.22</v>
      </c>
      <c r="G1006" s="3">
        <v>13.96</v>
      </c>
      <c r="H1006" s="3">
        <v>0.0</v>
      </c>
      <c r="I1006" s="3">
        <v>0.75</v>
      </c>
      <c r="J1006" s="3">
        <v>0.0</v>
      </c>
      <c r="K1006" s="4">
        <f t="shared" si="1"/>
        <v>491.41</v>
      </c>
      <c r="L1006" s="4">
        <f t="shared" si="2"/>
        <v>7.107730815</v>
      </c>
    </row>
    <row r="1007">
      <c r="A1007" s="3" t="s">
        <v>17</v>
      </c>
      <c r="B1007" s="3">
        <v>1.33</v>
      </c>
      <c r="C1007" s="3">
        <v>4.9</v>
      </c>
      <c r="D1007" s="3">
        <v>61.2</v>
      </c>
      <c r="E1007" s="3">
        <v>1.9</v>
      </c>
      <c r="F1007" s="3">
        <v>17.66</v>
      </c>
      <c r="G1007" s="3">
        <v>14.01</v>
      </c>
      <c r="H1007" s="3">
        <v>0.0</v>
      </c>
      <c r="I1007" s="3">
        <v>0.64</v>
      </c>
      <c r="J1007" s="3">
        <v>0.0</v>
      </c>
      <c r="K1007" s="4">
        <f t="shared" si="1"/>
        <v>508.1557</v>
      </c>
      <c r="L1007" s="4">
        <f t="shared" si="2"/>
        <v>7.370654309</v>
      </c>
    </row>
    <row r="1008">
      <c r="A1008" s="3" t="s">
        <v>17</v>
      </c>
      <c r="B1008" s="3">
        <v>1.33</v>
      </c>
      <c r="C1008" s="3">
        <v>5.16</v>
      </c>
      <c r="D1008" s="3">
        <v>62.7</v>
      </c>
      <c r="E1008" s="3">
        <v>1.9</v>
      </c>
      <c r="F1008" s="3">
        <v>18.09</v>
      </c>
      <c r="G1008" s="3">
        <v>14.01</v>
      </c>
      <c r="H1008" s="3">
        <v>0.0</v>
      </c>
      <c r="I1008" s="3">
        <v>0.51</v>
      </c>
      <c r="J1008" s="3">
        <v>0.0</v>
      </c>
      <c r="K1008" s="4">
        <f t="shared" si="1"/>
        <v>523.5282</v>
      </c>
      <c r="L1008" s="4">
        <f t="shared" si="2"/>
        <v>7.509222999</v>
      </c>
    </row>
    <row r="1009">
      <c r="A1009" s="3" t="s">
        <v>17</v>
      </c>
      <c r="B1009" s="3">
        <v>1.33</v>
      </c>
      <c r="C1009" s="3">
        <v>5.42</v>
      </c>
      <c r="D1009" s="3">
        <v>64.4</v>
      </c>
      <c r="E1009" s="3">
        <v>2.9</v>
      </c>
      <c r="F1009" s="3">
        <v>18.73</v>
      </c>
      <c r="G1009" s="3">
        <v>13.96</v>
      </c>
      <c r="H1009" s="3">
        <v>0.0</v>
      </c>
      <c r="I1009" s="3">
        <v>0.43</v>
      </c>
      <c r="J1009" s="3">
        <v>0.0</v>
      </c>
      <c r="K1009" s="4">
        <f t="shared" si="1"/>
        <v>545.6945</v>
      </c>
      <c r="L1009" s="4">
        <f t="shared" si="2"/>
        <v>7.600149901</v>
      </c>
    </row>
    <row r="1010">
      <c r="A1010" s="3" t="s">
        <v>17</v>
      </c>
      <c r="B1010" s="3">
        <v>1.33</v>
      </c>
      <c r="C1010" s="3">
        <v>5.67</v>
      </c>
      <c r="D1010" s="3">
        <v>66.6</v>
      </c>
      <c r="E1010" s="3">
        <v>3.2</v>
      </c>
      <c r="F1010" s="3">
        <v>19.3</v>
      </c>
      <c r="G1010" s="3">
        <v>13.99</v>
      </c>
      <c r="H1010" s="3">
        <v>0.0</v>
      </c>
      <c r="I1010" s="3">
        <v>0.36</v>
      </c>
      <c r="J1010" s="3">
        <v>0.0</v>
      </c>
      <c r="K1010" s="4">
        <f t="shared" si="1"/>
        <v>568.2101</v>
      </c>
      <c r="L1010" s="4">
        <f t="shared" si="2"/>
        <v>7.806197039</v>
      </c>
    </row>
    <row r="1011">
      <c r="A1011" s="3" t="s">
        <v>17</v>
      </c>
      <c r="B1011" s="3">
        <v>1.33</v>
      </c>
      <c r="C1011" s="3">
        <v>5.93</v>
      </c>
      <c r="D1011" s="3">
        <v>66.3</v>
      </c>
      <c r="E1011" s="3">
        <v>3.4</v>
      </c>
      <c r="F1011" s="3">
        <v>19.36</v>
      </c>
      <c r="G1011" s="3">
        <v>13.93</v>
      </c>
      <c r="H1011" s="3">
        <v>0.0</v>
      </c>
      <c r="I1011" s="3">
        <v>0.0</v>
      </c>
      <c r="J1011" s="3">
        <v>0.0</v>
      </c>
      <c r="K1011" s="4">
        <f t="shared" si="1"/>
        <v>568.8545</v>
      </c>
      <c r="L1011" s="4">
        <f t="shared" si="2"/>
        <v>7.727265935</v>
      </c>
    </row>
    <row r="1012">
      <c r="A1012" s="3" t="s">
        <v>17</v>
      </c>
      <c r="B1012" s="3">
        <v>1.33</v>
      </c>
      <c r="C1012" s="3">
        <v>6.19</v>
      </c>
      <c r="D1012" s="3">
        <v>66.2</v>
      </c>
      <c r="E1012" s="3">
        <v>3.2</v>
      </c>
      <c r="F1012" s="3">
        <v>19.43</v>
      </c>
      <c r="G1012" s="3">
        <v>13.15</v>
      </c>
      <c r="H1012" s="3">
        <v>0.0</v>
      </c>
      <c r="I1012" s="3">
        <v>0.0</v>
      </c>
      <c r="J1012" s="3">
        <v>0.0</v>
      </c>
      <c r="K1012" s="4">
        <f t="shared" si="1"/>
        <v>550.4474</v>
      </c>
      <c r="L1012" s="4">
        <f t="shared" si="2"/>
        <v>7.961596331</v>
      </c>
    </row>
    <row r="1013">
      <c r="A1013" s="3" t="s">
        <v>17</v>
      </c>
      <c r="B1013" s="3">
        <v>1.33</v>
      </c>
      <c r="C1013" s="3">
        <v>6.45</v>
      </c>
      <c r="D1013" s="3">
        <v>67.3</v>
      </c>
      <c r="E1013" s="3">
        <v>3.0</v>
      </c>
      <c r="F1013" s="3">
        <v>19.41</v>
      </c>
      <c r="G1013" s="3">
        <v>12.62</v>
      </c>
      <c r="H1013" s="3">
        <v>0.0</v>
      </c>
      <c r="I1013" s="3">
        <v>0.0</v>
      </c>
      <c r="J1013" s="3">
        <v>0.0</v>
      </c>
      <c r="K1013" s="4">
        <f t="shared" si="1"/>
        <v>536.0125</v>
      </c>
      <c r="L1013" s="4">
        <f t="shared" si="2"/>
        <v>8.44997085</v>
      </c>
    </row>
    <row r="1014">
      <c r="A1014" s="3" t="s">
        <v>92</v>
      </c>
      <c r="B1014" s="3">
        <v>13.8</v>
      </c>
      <c r="C1014" s="3">
        <v>0.32</v>
      </c>
      <c r="D1014" s="3">
        <v>24.4</v>
      </c>
      <c r="E1014" s="3">
        <v>35.9</v>
      </c>
      <c r="F1014" s="3">
        <v>0.0</v>
      </c>
      <c r="G1014" s="3">
        <v>63.28</v>
      </c>
      <c r="H1014" s="3">
        <v>0.0</v>
      </c>
      <c r="I1014" s="3">
        <v>1084.92</v>
      </c>
      <c r="J1014" s="3">
        <v>0.0</v>
      </c>
      <c r="K1014" s="4">
        <f t="shared" si="1"/>
        <v>4004.3584</v>
      </c>
      <c r="L1014" s="4">
        <f t="shared" si="2"/>
        <v>0.1486780005</v>
      </c>
    </row>
    <row r="1015">
      <c r="A1015" s="3" t="s">
        <v>92</v>
      </c>
      <c r="B1015" s="3">
        <v>13.8</v>
      </c>
      <c r="C1015" s="3">
        <v>0.64</v>
      </c>
      <c r="D1015" s="3">
        <v>43.3</v>
      </c>
      <c r="E1015" s="3">
        <v>16.3</v>
      </c>
      <c r="F1015" s="3">
        <v>0.0</v>
      </c>
      <c r="G1015" s="3">
        <v>73.66</v>
      </c>
      <c r="H1015" s="3">
        <v>0.0</v>
      </c>
      <c r="I1015" s="3">
        <v>590.57</v>
      </c>
      <c r="J1015" s="3">
        <v>0.0</v>
      </c>
      <c r="K1015" s="4">
        <f t="shared" si="1"/>
        <v>5425.7956</v>
      </c>
      <c r="L1015" s="4">
        <f t="shared" si="2"/>
        <v>0.3455511667</v>
      </c>
    </row>
    <row r="1016">
      <c r="A1016" s="3" t="s">
        <v>92</v>
      </c>
      <c r="B1016" s="3">
        <v>13.8</v>
      </c>
      <c r="C1016" s="3">
        <v>0.96</v>
      </c>
      <c r="D1016" s="3">
        <v>45.5</v>
      </c>
      <c r="E1016" s="3">
        <v>16.1</v>
      </c>
      <c r="F1016" s="3">
        <v>0.0</v>
      </c>
      <c r="G1016" s="3">
        <v>78.98</v>
      </c>
      <c r="H1016" s="3">
        <v>0.0</v>
      </c>
      <c r="I1016" s="3">
        <v>410.97</v>
      </c>
      <c r="J1016" s="3">
        <v>0.0</v>
      </c>
      <c r="K1016" s="4">
        <f t="shared" si="1"/>
        <v>6237.8404</v>
      </c>
      <c r="L1016" s="4">
        <f t="shared" si="2"/>
        <v>0.3318856956</v>
      </c>
    </row>
    <row r="1017">
      <c r="A1017" s="3" t="s">
        <v>92</v>
      </c>
      <c r="B1017" s="3">
        <v>13.8</v>
      </c>
      <c r="C1017" s="3">
        <v>1.28</v>
      </c>
      <c r="D1017" s="3">
        <v>58.5</v>
      </c>
      <c r="E1017" s="3">
        <v>15.4</v>
      </c>
      <c r="F1017" s="3">
        <v>0.35</v>
      </c>
      <c r="G1017" s="3">
        <v>82.7</v>
      </c>
      <c r="H1017" s="3">
        <v>0.0</v>
      </c>
      <c r="I1017" s="3">
        <v>329.34</v>
      </c>
      <c r="J1017" s="3">
        <v>0.0</v>
      </c>
      <c r="K1017" s="4">
        <f t="shared" si="1"/>
        <v>6839.4125</v>
      </c>
      <c r="L1017" s="4">
        <f t="shared" si="2"/>
        <v>0.5003719252</v>
      </c>
    </row>
    <row r="1018">
      <c r="A1018" s="3" t="s">
        <v>92</v>
      </c>
      <c r="B1018" s="3">
        <v>13.8</v>
      </c>
      <c r="C1018" s="3">
        <v>1.61</v>
      </c>
      <c r="D1018" s="3">
        <v>68.8</v>
      </c>
      <c r="E1018" s="3">
        <v>7.61</v>
      </c>
      <c r="F1018" s="3">
        <v>0.15</v>
      </c>
      <c r="G1018" s="3">
        <v>84.22</v>
      </c>
      <c r="H1018" s="3">
        <v>0.0</v>
      </c>
      <c r="I1018" s="3">
        <v>268.62</v>
      </c>
      <c r="J1018" s="3">
        <v>0.0</v>
      </c>
      <c r="K1018" s="4">
        <f t="shared" si="1"/>
        <v>7093.0309</v>
      </c>
      <c r="L1018" s="4">
        <f t="shared" si="2"/>
        <v>0.6673367234</v>
      </c>
    </row>
    <row r="1019">
      <c r="A1019" s="3" t="s">
        <v>92</v>
      </c>
      <c r="B1019" s="3">
        <v>13.8</v>
      </c>
      <c r="C1019" s="3">
        <v>1.93</v>
      </c>
      <c r="D1019" s="3">
        <v>76.9</v>
      </c>
      <c r="E1019" s="3">
        <v>10.3</v>
      </c>
      <c r="F1019" s="3">
        <v>-0.05</v>
      </c>
      <c r="G1019" s="3">
        <v>83.17</v>
      </c>
      <c r="H1019" s="3">
        <v>0.0</v>
      </c>
      <c r="I1019" s="3">
        <v>247.67</v>
      </c>
      <c r="J1019" s="3">
        <v>0.0</v>
      </c>
      <c r="K1019" s="4">
        <f t="shared" si="1"/>
        <v>6917.2514</v>
      </c>
      <c r="L1019" s="4">
        <f t="shared" si="2"/>
        <v>0.8549074854</v>
      </c>
    </row>
    <row r="1020">
      <c r="A1020" s="3" t="s">
        <v>92</v>
      </c>
      <c r="B1020" s="3">
        <v>13.8</v>
      </c>
      <c r="C1020" s="3">
        <v>2.24</v>
      </c>
      <c r="D1020" s="3">
        <v>82.0</v>
      </c>
      <c r="E1020" s="3">
        <v>8.09</v>
      </c>
      <c r="F1020" s="3">
        <v>-0.47</v>
      </c>
      <c r="G1020" s="3">
        <v>87.04</v>
      </c>
      <c r="H1020" s="3">
        <v>0.0</v>
      </c>
      <c r="I1020" s="3">
        <v>227.56</v>
      </c>
      <c r="J1020" s="3">
        <v>0.0</v>
      </c>
      <c r="K1020" s="4">
        <f t="shared" si="1"/>
        <v>7576.1825</v>
      </c>
      <c r="L1020" s="4">
        <f t="shared" si="2"/>
        <v>0.8875182191</v>
      </c>
    </row>
    <row r="1021">
      <c r="A1021" s="3" t="s">
        <v>92</v>
      </c>
      <c r="B1021" s="3">
        <v>13.8</v>
      </c>
      <c r="C1021" s="3">
        <v>2.57</v>
      </c>
      <c r="D1021" s="3">
        <v>86.9</v>
      </c>
      <c r="E1021" s="3">
        <v>7.6</v>
      </c>
      <c r="F1021" s="3">
        <v>-0.95</v>
      </c>
      <c r="G1021" s="3">
        <v>88.91</v>
      </c>
      <c r="H1021" s="3">
        <v>0.0</v>
      </c>
      <c r="I1021" s="3">
        <v>205.02</v>
      </c>
      <c r="J1021" s="3">
        <v>0.0</v>
      </c>
      <c r="K1021" s="4">
        <f t="shared" si="1"/>
        <v>7905.8906</v>
      </c>
      <c r="L1021" s="4">
        <f t="shared" si="2"/>
        <v>0.9551877685</v>
      </c>
    </row>
    <row r="1022">
      <c r="A1022" s="3" t="s">
        <v>92</v>
      </c>
      <c r="B1022" s="3">
        <v>13.8</v>
      </c>
      <c r="C1022" s="3">
        <v>2.89</v>
      </c>
      <c r="D1022" s="3">
        <v>97.6</v>
      </c>
      <c r="E1022" s="3">
        <v>3.03</v>
      </c>
      <c r="F1022" s="3">
        <v>-1.43</v>
      </c>
      <c r="G1022" s="3">
        <v>88.98</v>
      </c>
      <c r="H1022" s="3">
        <v>0.0</v>
      </c>
      <c r="I1022" s="3">
        <v>200.2</v>
      </c>
      <c r="J1022" s="3">
        <v>0.0</v>
      </c>
      <c r="K1022" s="4">
        <f t="shared" si="1"/>
        <v>7919.4853</v>
      </c>
      <c r="L1022" s="4">
        <f t="shared" si="2"/>
        <v>1.202825643</v>
      </c>
    </row>
    <row r="1023">
      <c r="A1023" s="3" t="s">
        <v>92</v>
      </c>
      <c r="B1023" s="3">
        <v>13.8</v>
      </c>
      <c r="C1023" s="3">
        <v>3.21</v>
      </c>
      <c r="D1023" s="3">
        <v>100.0</v>
      </c>
      <c r="E1023" s="3">
        <v>5.31</v>
      </c>
      <c r="F1023" s="3">
        <v>-1.14</v>
      </c>
      <c r="G1023" s="3">
        <v>93.81</v>
      </c>
      <c r="H1023" s="3">
        <v>0.0</v>
      </c>
      <c r="I1023" s="3">
        <v>208.58</v>
      </c>
      <c r="J1023" s="3">
        <v>0.0</v>
      </c>
      <c r="K1023" s="4">
        <f t="shared" si="1"/>
        <v>8801.6157</v>
      </c>
      <c r="L1023" s="4">
        <f t="shared" si="2"/>
        <v>1.136155036</v>
      </c>
    </row>
    <row r="1024">
      <c r="A1024" s="3" t="s">
        <v>92</v>
      </c>
      <c r="B1024" s="3">
        <v>13.8</v>
      </c>
      <c r="C1024" s="3">
        <v>3.54</v>
      </c>
      <c r="D1024" s="3">
        <v>107.0</v>
      </c>
      <c r="E1024" s="3">
        <v>7.51</v>
      </c>
      <c r="F1024" s="3">
        <v>-0.39</v>
      </c>
      <c r="G1024" s="3">
        <v>101.22</v>
      </c>
      <c r="H1024" s="3">
        <v>0.0</v>
      </c>
      <c r="I1024" s="3">
        <v>208.47</v>
      </c>
      <c r="J1024" s="3">
        <v>0.0</v>
      </c>
      <c r="K1024" s="4">
        <f t="shared" si="1"/>
        <v>10245.6405</v>
      </c>
      <c r="L1024" s="4">
        <f t="shared" si="2"/>
        <v>1.117450881</v>
      </c>
    </row>
    <row r="1025">
      <c r="A1025" s="3" t="s">
        <v>92</v>
      </c>
      <c r="B1025" s="3">
        <v>13.8</v>
      </c>
      <c r="C1025" s="3">
        <v>3.85</v>
      </c>
      <c r="D1025" s="3">
        <v>113.0</v>
      </c>
      <c r="E1025" s="3">
        <v>7.32</v>
      </c>
      <c r="F1025" s="3">
        <v>0.36</v>
      </c>
      <c r="G1025" s="3">
        <v>108.53</v>
      </c>
      <c r="H1025" s="3">
        <v>0.0</v>
      </c>
      <c r="I1025" s="3">
        <v>196.07</v>
      </c>
      <c r="J1025" s="3">
        <v>0.0</v>
      </c>
      <c r="K1025" s="4">
        <f t="shared" si="1"/>
        <v>11778.8905</v>
      </c>
      <c r="L1025" s="4">
        <f t="shared" si="2"/>
        <v>1.084057959</v>
      </c>
    </row>
    <row r="1026">
      <c r="A1026" s="3" t="s">
        <v>92</v>
      </c>
      <c r="B1026" s="3">
        <v>13.8</v>
      </c>
      <c r="C1026" s="3">
        <v>4.17</v>
      </c>
      <c r="D1026" s="3">
        <v>117.0</v>
      </c>
      <c r="E1026" s="3">
        <v>5.21</v>
      </c>
      <c r="F1026" s="3">
        <v>1.52</v>
      </c>
      <c r="G1026" s="3">
        <v>115.51</v>
      </c>
      <c r="H1026" s="3">
        <v>0.0</v>
      </c>
      <c r="I1026" s="3">
        <v>179.96</v>
      </c>
      <c r="J1026" s="3">
        <v>0.0</v>
      </c>
      <c r="K1026" s="4">
        <f t="shared" si="1"/>
        <v>13344.8705</v>
      </c>
      <c r="L1026" s="4">
        <f t="shared" si="2"/>
        <v>1.025787399</v>
      </c>
    </row>
    <row r="1027">
      <c r="A1027" s="3" t="s">
        <v>92</v>
      </c>
      <c r="B1027" s="3">
        <v>13.8</v>
      </c>
      <c r="C1027" s="3">
        <v>4.5</v>
      </c>
      <c r="D1027" s="3">
        <v>119.0</v>
      </c>
      <c r="E1027" s="3">
        <v>5.67</v>
      </c>
      <c r="F1027" s="3">
        <v>3.07</v>
      </c>
      <c r="G1027" s="3">
        <v>120.51</v>
      </c>
      <c r="H1027" s="3">
        <v>0.0</v>
      </c>
      <c r="I1027" s="3">
        <v>164.19</v>
      </c>
      <c r="J1027" s="3">
        <v>0.0</v>
      </c>
      <c r="K1027" s="4">
        <f t="shared" si="1"/>
        <v>14532.085</v>
      </c>
      <c r="L1027" s="4">
        <f t="shared" si="2"/>
        <v>0.9744644351</v>
      </c>
    </row>
    <row r="1028">
      <c r="A1028" s="3" t="s">
        <v>92</v>
      </c>
      <c r="B1028" s="3">
        <v>13.8</v>
      </c>
      <c r="C1028" s="3">
        <v>4.82</v>
      </c>
      <c r="D1028" s="3">
        <v>127.0</v>
      </c>
      <c r="E1028" s="3">
        <v>5.39</v>
      </c>
      <c r="F1028" s="3">
        <v>4.63</v>
      </c>
      <c r="G1028" s="3">
        <v>125.42</v>
      </c>
      <c r="H1028" s="3">
        <v>0.0</v>
      </c>
      <c r="I1028" s="3">
        <v>150.99</v>
      </c>
      <c r="J1028" s="3">
        <v>0.0</v>
      </c>
      <c r="K1028" s="4">
        <f t="shared" si="1"/>
        <v>15751.6133</v>
      </c>
      <c r="L1028" s="4">
        <f t="shared" si="2"/>
        <v>1.023958606</v>
      </c>
    </row>
    <row r="1029">
      <c r="A1029" s="3" t="s">
        <v>92</v>
      </c>
      <c r="B1029" s="3">
        <v>13.8</v>
      </c>
      <c r="C1029" s="3">
        <v>5.15</v>
      </c>
      <c r="D1029" s="3">
        <v>132.0</v>
      </c>
      <c r="E1029" s="3">
        <v>4.34</v>
      </c>
      <c r="F1029" s="3">
        <v>6.02</v>
      </c>
      <c r="G1029" s="3">
        <v>129.4</v>
      </c>
      <c r="H1029" s="3">
        <v>0.0</v>
      </c>
      <c r="I1029" s="3">
        <v>138.08</v>
      </c>
      <c r="J1029" s="3">
        <v>0.0</v>
      </c>
      <c r="K1029" s="4">
        <f t="shared" si="1"/>
        <v>16780.6004</v>
      </c>
      <c r="L1029" s="4">
        <f t="shared" si="2"/>
        <v>1.03834187</v>
      </c>
    </row>
    <row r="1030">
      <c r="A1030" s="3" t="s">
        <v>92</v>
      </c>
      <c r="B1030" s="3">
        <v>13.8</v>
      </c>
      <c r="C1030" s="3">
        <v>5.46</v>
      </c>
      <c r="D1030" s="3">
        <v>134.0</v>
      </c>
      <c r="E1030" s="3">
        <v>2.36</v>
      </c>
      <c r="F1030" s="3">
        <v>7.16</v>
      </c>
      <c r="G1030" s="3">
        <v>133.15</v>
      </c>
      <c r="H1030" s="3">
        <v>0.0</v>
      </c>
      <c r="I1030" s="3">
        <v>126.0</v>
      </c>
      <c r="J1030" s="3">
        <v>0.0</v>
      </c>
      <c r="K1030" s="4">
        <f t="shared" si="1"/>
        <v>17780.1881</v>
      </c>
      <c r="L1030" s="4">
        <f t="shared" si="2"/>
        <v>1.009888079</v>
      </c>
    </row>
    <row r="1031">
      <c r="A1031" s="3" t="s">
        <v>92</v>
      </c>
      <c r="B1031" s="3">
        <v>13.8</v>
      </c>
      <c r="C1031" s="3">
        <v>5.78</v>
      </c>
      <c r="D1031" s="3">
        <v>137.0</v>
      </c>
      <c r="E1031" s="3">
        <v>0.89</v>
      </c>
      <c r="F1031" s="3">
        <v>8.31</v>
      </c>
      <c r="G1031" s="3">
        <v>136.45</v>
      </c>
      <c r="H1031" s="3">
        <v>0.0</v>
      </c>
      <c r="I1031" s="3">
        <v>113.63</v>
      </c>
      <c r="J1031" s="3">
        <v>0.0</v>
      </c>
      <c r="K1031" s="4">
        <f t="shared" si="1"/>
        <v>18687.6586</v>
      </c>
      <c r="L1031" s="4">
        <f t="shared" si="2"/>
        <v>1.00435268</v>
      </c>
    </row>
    <row r="1032">
      <c r="A1032" s="3" t="s">
        <v>92</v>
      </c>
      <c r="B1032" s="3">
        <v>13.8</v>
      </c>
      <c r="C1032" s="3">
        <v>6.1</v>
      </c>
      <c r="D1032" s="3">
        <v>140.0</v>
      </c>
      <c r="E1032" s="3">
        <v>2.84</v>
      </c>
      <c r="F1032" s="3">
        <v>9.46</v>
      </c>
      <c r="G1032" s="3">
        <v>139.41</v>
      </c>
      <c r="H1032" s="3">
        <v>0.0</v>
      </c>
      <c r="I1032" s="3">
        <v>101.19</v>
      </c>
      <c r="J1032" s="3">
        <v>0.0</v>
      </c>
      <c r="K1032" s="4">
        <f t="shared" si="1"/>
        <v>19524.6397</v>
      </c>
      <c r="L1032" s="4">
        <f t="shared" si="2"/>
        <v>1.003859754</v>
      </c>
    </row>
    <row r="1033">
      <c r="A1033" s="3" t="s">
        <v>92</v>
      </c>
      <c r="B1033" s="3">
        <v>13.8</v>
      </c>
      <c r="C1033" s="3">
        <v>6.43</v>
      </c>
      <c r="D1033" s="3">
        <v>142.0</v>
      </c>
      <c r="E1033" s="3">
        <v>0.88</v>
      </c>
      <c r="F1033" s="3">
        <v>10.61</v>
      </c>
      <c r="G1033" s="3">
        <v>141.85</v>
      </c>
      <c r="H1033" s="3">
        <v>0.0</v>
      </c>
      <c r="I1033" s="3">
        <v>86.52</v>
      </c>
      <c r="J1033" s="3">
        <v>0.0</v>
      </c>
      <c r="K1033" s="4">
        <f t="shared" si="1"/>
        <v>20233.9946</v>
      </c>
      <c r="L1033" s="4">
        <f t="shared" si="2"/>
        <v>0.9965407424</v>
      </c>
    </row>
    <row r="1034">
      <c r="A1034" s="3" t="s">
        <v>92</v>
      </c>
      <c r="B1034" s="3">
        <v>13.8</v>
      </c>
      <c r="C1034" s="3">
        <v>6.74</v>
      </c>
      <c r="D1034" s="3">
        <v>144.0</v>
      </c>
      <c r="E1034" s="3">
        <v>1.23</v>
      </c>
      <c r="F1034" s="3">
        <v>11.77</v>
      </c>
      <c r="G1034" s="3">
        <v>142.32</v>
      </c>
      <c r="H1034" s="3">
        <v>0.0</v>
      </c>
      <c r="I1034" s="3">
        <v>70.23</v>
      </c>
      <c r="J1034" s="3">
        <v>0.0</v>
      </c>
      <c r="K1034" s="4">
        <f t="shared" si="1"/>
        <v>20393.5153</v>
      </c>
      <c r="L1034" s="4">
        <f t="shared" si="2"/>
        <v>1.016793804</v>
      </c>
    </row>
    <row r="1035">
      <c r="A1035" s="3" t="s">
        <v>92</v>
      </c>
      <c r="B1035" s="3">
        <v>13.8</v>
      </c>
      <c r="C1035" s="3">
        <v>7.06</v>
      </c>
      <c r="D1035" s="3">
        <v>146.0</v>
      </c>
      <c r="E1035" s="3">
        <v>1.57</v>
      </c>
      <c r="F1035" s="3">
        <v>12.87</v>
      </c>
      <c r="G1035" s="3">
        <v>140.94</v>
      </c>
      <c r="H1035" s="3">
        <v>0.0</v>
      </c>
      <c r="I1035" s="3">
        <v>57.67</v>
      </c>
      <c r="J1035" s="3">
        <v>0.0</v>
      </c>
      <c r="K1035" s="4">
        <f t="shared" si="1"/>
        <v>20029.7205</v>
      </c>
      <c r="L1035" s="4">
        <f t="shared" si="2"/>
        <v>1.064218545</v>
      </c>
    </row>
    <row r="1036">
      <c r="A1036" s="3" t="s">
        <v>92</v>
      </c>
      <c r="B1036" s="3">
        <v>13.8</v>
      </c>
      <c r="C1036" s="3">
        <v>8.04</v>
      </c>
      <c r="D1036" s="3">
        <v>147.0</v>
      </c>
      <c r="E1036" s="3">
        <v>3.0</v>
      </c>
      <c r="F1036" s="3">
        <v>16.39</v>
      </c>
      <c r="G1036" s="3">
        <v>135.68</v>
      </c>
      <c r="H1036" s="3">
        <v>0.0</v>
      </c>
      <c r="I1036" s="3">
        <v>40.74</v>
      </c>
      <c r="J1036" s="3">
        <v>0.0</v>
      </c>
      <c r="K1036" s="4">
        <f t="shared" si="1"/>
        <v>18677.6945</v>
      </c>
      <c r="L1036" s="4">
        <f t="shared" si="2"/>
        <v>1.156941506</v>
      </c>
    </row>
    <row r="1037">
      <c r="A1037" s="3" t="s">
        <v>92</v>
      </c>
      <c r="B1037" s="3">
        <v>13.8</v>
      </c>
      <c r="C1037" s="3">
        <v>9.04</v>
      </c>
      <c r="D1037" s="3">
        <v>148.0</v>
      </c>
      <c r="E1037" s="3">
        <v>3.0</v>
      </c>
      <c r="F1037" s="3">
        <v>20.03</v>
      </c>
      <c r="G1037" s="3">
        <v>130.79</v>
      </c>
      <c r="H1037" s="3">
        <v>0.0</v>
      </c>
      <c r="I1037" s="3">
        <v>31.83</v>
      </c>
      <c r="J1037" s="3">
        <v>0.0</v>
      </c>
      <c r="K1037" s="4">
        <f t="shared" si="1"/>
        <v>17507.225</v>
      </c>
      <c r="L1037" s="4">
        <f t="shared" si="2"/>
        <v>1.251140601</v>
      </c>
    </row>
    <row r="1038">
      <c r="A1038" s="3" t="s">
        <v>92</v>
      </c>
      <c r="B1038" s="3">
        <v>13.8</v>
      </c>
      <c r="C1038" s="3">
        <v>10.04</v>
      </c>
      <c r="D1038" s="3">
        <v>152.0</v>
      </c>
      <c r="E1038" s="3">
        <v>2.0</v>
      </c>
      <c r="F1038" s="3">
        <v>23.68</v>
      </c>
      <c r="G1038" s="3">
        <v>128.1</v>
      </c>
      <c r="H1038" s="3">
        <v>0.0</v>
      </c>
      <c r="I1038" s="3">
        <v>26.64</v>
      </c>
      <c r="J1038" s="3">
        <v>0.0</v>
      </c>
      <c r="K1038" s="4">
        <f t="shared" si="1"/>
        <v>16970.3524</v>
      </c>
      <c r="L1038" s="4">
        <f t="shared" si="2"/>
        <v>1.361433131</v>
      </c>
    </row>
    <row r="1039">
      <c r="A1039" s="3" t="s">
        <v>92</v>
      </c>
      <c r="B1039" s="3">
        <v>13.8</v>
      </c>
      <c r="C1039" s="3">
        <v>11.04</v>
      </c>
      <c r="D1039" s="3">
        <v>155.0</v>
      </c>
      <c r="E1039" s="3">
        <v>2.0</v>
      </c>
      <c r="F1039" s="3">
        <v>27.08</v>
      </c>
      <c r="G1039" s="3">
        <v>126.67</v>
      </c>
      <c r="H1039" s="3">
        <v>0.0</v>
      </c>
      <c r="I1039" s="3">
        <v>21.02</v>
      </c>
      <c r="J1039" s="3">
        <v>0.0</v>
      </c>
      <c r="K1039" s="4">
        <f t="shared" si="1"/>
        <v>16778.6153</v>
      </c>
      <c r="L1039" s="4">
        <f t="shared" si="2"/>
        <v>1.431882165</v>
      </c>
    </row>
    <row r="1040">
      <c r="A1040" s="3" t="s">
        <v>92</v>
      </c>
      <c r="B1040" s="3">
        <v>13.8</v>
      </c>
      <c r="C1040" s="3">
        <v>12.05</v>
      </c>
      <c r="D1040" s="3">
        <v>156.0</v>
      </c>
      <c r="E1040" s="3">
        <v>2.0</v>
      </c>
      <c r="F1040" s="3">
        <v>30.11</v>
      </c>
      <c r="G1040" s="3">
        <v>124.98</v>
      </c>
      <c r="H1040" s="3">
        <v>0.0</v>
      </c>
      <c r="I1040" s="3">
        <v>15.42</v>
      </c>
      <c r="J1040" s="3">
        <v>0.0</v>
      </c>
      <c r="K1040" s="4">
        <f t="shared" si="1"/>
        <v>16526.6125</v>
      </c>
      <c r="L1040" s="4">
        <f t="shared" si="2"/>
        <v>1.472534072</v>
      </c>
    </row>
    <row r="1041">
      <c r="A1041" s="3" t="s">
        <v>92</v>
      </c>
      <c r="B1041" s="3">
        <v>13.8</v>
      </c>
      <c r="C1041" s="3">
        <v>14.05</v>
      </c>
      <c r="D1041" s="3">
        <v>157.0</v>
      </c>
      <c r="E1041" s="3">
        <v>2.0</v>
      </c>
      <c r="F1041" s="3">
        <v>34.48</v>
      </c>
      <c r="G1041" s="3">
        <v>118.12</v>
      </c>
      <c r="H1041" s="3">
        <v>0.0</v>
      </c>
      <c r="I1041" s="3">
        <v>6.42</v>
      </c>
      <c r="J1041" s="3">
        <v>0.0</v>
      </c>
      <c r="K1041" s="4">
        <f t="shared" si="1"/>
        <v>15141.2048</v>
      </c>
      <c r="L1041" s="4">
        <f t="shared" si="2"/>
        <v>1.627941787</v>
      </c>
    </row>
    <row r="1042">
      <c r="A1042" s="3" t="s">
        <v>92</v>
      </c>
      <c r="B1042" s="3">
        <v>13.8</v>
      </c>
      <c r="C1042" s="3">
        <v>16.07</v>
      </c>
      <c r="D1042" s="3">
        <v>153.0</v>
      </c>
      <c r="E1042" s="3">
        <v>2.0</v>
      </c>
      <c r="F1042" s="3">
        <v>36.43</v>
      </c>
      <c r="G1042" s="3">
        <v>108.22</v>
      </c>
      <c r="H1042" s="3">
        <v>0.0</v>
      </c>
      <c r="I1042" s="3">
        <v>2.95</v>
      </c>
      <c r="J1042" s="3">
        <v>0.0</v>
      </c>
      <c r="K1042" s="4">
        <f t="shared" si="1"/>
        <v>13038.7133</v>
      </c>
      <c r="L1042" s="4">
        <f t="shared" si="2"/>
        <v>1.795345864</v>
      </c>
    </row>
    <row r="1043">
      <c r="A1043" s="3" t="s">
        <v>92</v>
      </c>
      <c r="B1043" s="3">
        <v>13.8</v>
      </c>
      <c r="C1043" s="3">
        <v>18.13</v>
      </c>
      <c r="D1043" s="3">
        <v>153.0</v>
      </c>
      <c r="E1043" s="3">
        <v>2.0</v>
      </c>
      <c r="F1043" s="3">
        <v>37.76</v>
      </c>
      <c r="G1043" s="3">
        <v>101.1</v>
      </c>
      <c r="H1043" s="3">
        <v>0.0</v>
      </c>
      <c r="I1043" s="3">
        <v>2.39</v>
      </c>
      <c r="J1043" s="3">
        <v>0.0</v>
      </c>
      <c r="K1043" s="4">
        <f t="shared" si="1"/>
        <v>11647.0276</v>
      </c>
      <c r="L1043" s="4">
        <f t="shared" si="2"/>
        <v>2.009869024</v>
      </c>
    </row>
    <row r="1044">
      <c r="A1044" s="3" t="s">
        <v>92</v>
      </c>
      <c r="B1044" s="3">
        <v>13.8</v>
      </c>
      <c r="C1044" s="3">
        <v>20.05</v>
      </c>
      <c r="D1044" s="3">
        <v>154.0</v>
      </c>
      <c r="E1044" s="3">
        <v>2.0</v>
      </c>
      <c r="F1044" s="3">
        <v>39.83</v>
      </c>
      <c r="G1044" s="3">
        <v>96.4</v>
      </c>
      <c r="H1044" s="3">
        <v>0.0</v>
      </c>
      <c r="I1044" s="3">
        <v>1.44</v>
      </c>
      <c r="J1044" s="3">
        <v>0.0</v>
      </c>
      <c r="K1044" s="4">
        <f t="shared" si="1"/>
        <v>10879.3889</v>
      </c>
      <c r="L1044" s="4">
        <f t="shared" si="2"/>
        <v>2.179901851</v>
      </c>
    </row>
    <row r="1045">
      <c r="A1045" s="3" t="s">
        <v>92</v>
      </c>
      <c r="B1045" s="3">
        <v>13.8</v>
      </c>
      <c r="C1045" s="3">
        <v>22.12</v>
      </c>
      <c r="D1045" s="3">
        <v>153.0</v>
      </c>
      <c r="E1045" s="3">
        <v>2.0</v>
      </c>
      <c r="F1045" s="3">
        <v>40.92</v>
      </c>
      <c r="G1045" s="3">
        <v>91.56</v>
      </c>
      <c r="H1045" s="3">
        <v>0.0</v>
      </c>
      <c r="I1045" s="3">
        <v>0.72</v>
      </c>
      <c r="J1045" s="3">
        <v>0.0</v>
      </c>
      <c r="K1045" s="4">
        <f t="shared" si="1"/>
        <v>10057.68</v>
      </c>
      <c r="L1045" s="4">
        <f t="shared" si="2"/>
        <v>2.327475123</v>
      </c>
    </row>
    <row r="1046">
      <c r="A1046" s="3" t="s">
        <v>92</v>
      </c>
      <c r="B1046" s="3">
        <v>13.8</v>
      </c>
      <c r="C1046" s="3">
        <v>24.03</v>
      </c>
      <c r="D1046" s="3">
        <v>150.0</v>
      </c>
      <c r="E1046" s="3">
        <v>2.0</v>
      </c>
      <c r="F1046" s="3">
        <v>41.77</v>
      </c>
      <c r="G1046" s="3">
        <v>87.03</v>
      </c>
      <c r="H1046" s="3">
        <v>0.0</v>
      </c>
      <c r="I1046" s="3">
        <v>0.28</v>
      </c>
      <c r="J1046" s="3">
        <v>0.0</v>
      </c>
      <c r="K1046" s="4">
        <f t="shared" si="1"/>
        <v>9318.9538</v>
      </c>
      <c r="L1046" s="4">
        <f t="shared" si="2"/>
        <v>2.414434118</v>
      </c>
    </row>
    <row r="1047">
      <c r="A1047" s="3" t="s">
        <v>92</v>
      </c>
      <c r="B1047" s="3">
        <v>13.8</v>
      </c>
      <c r="C1047" s="3">
        <v>26.1</v>
      </c>
      <c r="D1047" s="3">
        <v>149.0</v>
      </c>
      <c r="E1047" s="3">
        <v>2.0</v>
      </c>
      <c r="F1047" s="3">
        <v>43.71</v>
      </c>
      <c r="G1047" s="3">
        <v>82.67</v>
      </c>
      <c r="H1047" s="3">
        <v>0.0</v>
      </c>
      <c r="I1047" s="3">
        <v>0.16</v>
      </c>
      <c r="J1047" s="3">
        <v>0.0</v>
      </c>
      <c r="K1047" s="4">
        <f t="shared" si="1"/>
        <v>8744.893</v>
      </c>
      <c r="L1047" s="4">
        <f t="shared" si="2"/>
        <v>2.538738896</v>
      </c>
    </row>
    <row r="1048">
      <c r="A1048" s="3" t="s">
        <v>92</v>
      </c>
      <c r="B1048" s="3">
        <v>13.8</v>
      </c>
      <c r="C1048" s="3">
        <v>28.16</v>
      </c>
      <c r="D1048" s="3">
        <v>148.0</v>
      </c>
      <c r="E1048" s="3">
        <v>2.0</v>
      </c>
      <c r="F1048" s="3">
        <v>45.41</v>
      </c>
      <c r="G1048" s="3">
        <v>79.06</v>
      </c>
      <c r="H1048" s="3">
        <v>0.0</v>
      </c>
      <c r="I1048" s="3">
        <v>0.08</v>
      </c>
      <c r="J1048" s="3">
        <v>0.0</v>
      </c>
      <c r="K1048" s="4">
        <f t="shared" si="1"/>
        <v>8312.5517</v>
      </c>
      <c r="L1048" s="4">
        <f t="shared" si="2"/>
        <v>2.63505128</v>
      </c>
    </row>
    <row r="1049">
      <c r="A1049" s="3" t="s">
        <v>92</v>
      </c>
      <c r="B1049" s="3">
        <v>13.8</v>
      </c>
      <c r="C1049" s="3">
        <v>30.08</v>
      </c>
      <c r="D1049" s="3">
        <v>146.0</v>
      </c>
      <c r="E1049" s="3">
        <v>2.0</v>
      </c>
      <c r="F1049" s="3">
        <v>45.29</v>
      </c>
      <c r="G1049" s="3">
        <v>76.07</v>
      </c>
      <c r="H1049" s="3">
        <v>0.0</v>
      </c>
      <c r="I1049" s="3">
        <v>0.04</v>
      </c>
      <c r="J1049" s="3">
        <v>0.0</v>
      </c>
      <c r="K1049" s="4">
        <f t="shared" si="1"/>
        <v>7837.829</v>
      </c>
      <c r="L1049" s="4">
        <f t="shared" si="2"/>
        <v>2.719630653</v>
      </c>
    </row>
    <row r="1050">
      <c r="A1050" s="3" t="s">
        <v>92</v>
      </c>
      <c r="B1050" s="3">
        <v>13.8</v>
      </c>
      <c r="C1050" s="3">
        <v>32.14</v>
      </c>
      <c r="D1050" s="3">
        <v>147.0</v>
      </c>
      <c r="E1050" s="3">
        <v>2.0</v>
      </c>
      <c r="F1050" s="3">
        <v>44.56</v>
      </c>
      <c r="G1050" s="3">
        <v>73.27</v>
      </c>
      <c r="H1050" s="3">
        <v>0.0</v>
      </c>
      <c r="I1050" s="3">
        <v>0.02</v>
      </c>
      <c r="J1050" s="3">
        <v>0.0</v>
      </c>
      <c r="K1050" s="4">
        <f t="shared" si="1"/>
        <v>7354.0865</v>
      </c>
      <c r="L1050" s="4">
        <f t="shared" si="2"/>
        <v>2.938366308</v>
      </c>
    </row>
    <row r="1051">
      <c r="A1051" s="3" t="s">
        <v>92</v>
      </c>
      <c r="B1051" s="3">
        <v>13.8</v>
      </c>
      <c r="C1051" s="3">
        <v>34.06</v>
      </c>
      <c r="D1051" s="3">
        <v>148.0</v>
      </c>
      <c r="E1051" s="3">
        <v>2.0</v>
      </c>
      <c r="F1051" s="3">
        <v>44.81</v>
      </c>
      <c r="G1051" s="3">
        <v>70.91</v>
      </c>
      <c r="H1051" s="3">
        <v>0.0</v>
      </c>
      <c r="I1051" s="3">
        <v>0.01</v>
      </c>
      <c r="J1051" s="3">
        <v>0.0</v>
      </c>
      <c r="K1051" s="4">
        <f t="shared" si="1"/>
        <v>7036.1642</v>
      </c>
      <c r="L1051" s="4">
        <f t="shared" si="2"/>
        <v>3.113059812</v>
      </c>
    </row>
    <row r="1052">
      <c r="A1052" s="3" t="s">
        <v>92</v>
      </c>
      <c r="B1052" s="3">
        <v>13.8</v>
      </c>
      <c r="C1052" s="3">
        <v>36.12</v>
      </c>
      <c r="D1052" s="3">
        <v>148.0</v>
      </c>
      <c r="E1052" s="3">
        <v>2.0</v>
      </c>
      <c r="F1052" s="3">
        <v>45.9</v>
      </c>
      <c r="G1052" s="3">
        <v>68.62</v>
      </c>
      <c r="H1052" s="3">
        <v>0.0</v>
      </c>
      <c r="I1052" s="3">
        <v>0.01</v>
      </c>
      <c r="J1052" s="3">
        <v>0.0</v>
      </c>
      <c r="K1052" s="4">
        <f t="shared" si="1"/>
        <v>6815.5144</v>
      </c>
      <c r="L1052" s="4">
        <f t="shared" si="2"/>
        <v>3.213843991</v>
      </c>
    </row>
    <row r="1053">
      <c r="A1053" s="3" t="s">
        <v>92</v>
      </c>
      <c r="B1053" s="3">
        <v>13.8</v>
      </c>
      <c r="C1053" s="3">
        <v>38.19</v>
      </c>
      <c r="D1053" s="3">
        <v>149.0</v>
      </c>
      <c r="E1053" s="3">
        <v>2.0</v>
      </c>
      <c r="F1053" s="3">
        <v>46.75</v>
      </c>
      <c r="G1053" s="3">
        <v>66.59</v>
      </c>
      <c r="H1053" s="3">
        <v>0.0</v>
      </c>
      <c r="I1053" s="3">
        <v>0.0</v>
      </c>
      <c r="J1053" s="3">
        <v>0.0</v>
      </c>
      <c r="K1053" s="4">
        <f t="shared" si="1"/>
        <v>6619.7906</v>
      </c>
      <c r="L1053" s="4">
        <f t="shared" si="2"/>
        <v>3.353731461</v>
      </c>
    </row>
    <row r="1054">
      <c r="A1054" s="3" t="s">
        <v>92</v>
      </c>
      <c r="B1054" s="3">
        <v>13.8</v>
      </c>
      <c r="C1054" s="3">
        <v>40.1</v>
      </c>
      <c r="D1054" s="3">
        <v>150.0</v>
      </c>
      <c r="E1054" s="3">
        <v>2.0</v>
      </c>
      <c r="F1054" s="3">
        <v>47.48</v>
      </c>
      <c r="G1054" s="3">
        <v>64.84</v>
      </c>
      <c r="H1054" s="3">
        <v>0.0</v>
      </c>
      <c r="I1054" s="3">
        <v>0.0</v>
      </c>
      <c r="J1054" s="3">
        <v>0.0</v>
      </c>
      <c r="K1054" s="4">
        <f t="shared" si="1"/>
        <v>6458.576</v>
      </c>
      <c r="L1054" s="4">
        <f t="shared" si="2"/>
        <v>3.483740069</v>
      </c>
    </row>
    <row r="1055">
      <c r="A1055" s="3" t="s">
        <v>92</v>
      </c>
      <c r="B1055" s="3">
        <v>13.8</v>
      </c>
      <c r="C1055" s="3">
        <v>42.17</v>
      </c>
      <c r="D1055" s="3">
        <v>150.0</v>
      </c>
      <c r="E1055" s="3">
        <v>3.0</v>
      </c>
      <c r="F1055" s="3">
        <v>48.93</v>
      </c>
      <c r="G1055" s="3">
        <v>63.1</v>
      </c>
      <c r="H1055" s="3">
        <v>0.0</v>
      </c>
      <c r="I1055" s="3">
        <v>0.0</v>
      </c>
      <c r="J1055" s="3">
        <v>0.0</v>
      </c>
      <c r="K1055" s="4">
        <f t="shared" si="1"/>
        <v>6375.7549</v>
      </c>
      <c r="L1055" s="4">
        <f t="shared" si="2"/>
        <v>3.528993876</v>
      </c>
    </row>
    <row r="1056">
      <c r="A1056" s="3" t="s">
        <v>92</v>
      </c>
      <c r="B1056" s="3">
        <v>13.8</v>
      </c>
      <c r="C1056" s="3">
        <v>44.08</v>
      </c>
      <c r="D1056" s="3">
        <v>149.0</v>
      </c>
      <c r="E1056" s="3">
        <v>3.0</v>
      </c>
      <c r="F1056" s="3">
        <v>47.84</v>
      </c>
      <c r="G1056" s="3">
        <v>61.63</v>
      </c>
      <c r="H1056" s="3">
        <v>0.0</v>
      </c>
      <c r="I1056" s="3">
        <v>0.0</v>
      </c>
      <c r="J1056" s="3">
        <v>0.0</v>
      </c>
      <c r="K1056" s="4">
        <f t="shared" si="1"/>
        <v>6086.9225</v>
      </c>
      <c r="L1056" s="4">
        <f t="shared" si="2"/>
        <v>3.647327529</v>
      </c>
    </row>
    <row r="1057">
      <c r="A1057" s="3" t="s">
        <v>93</v>
      </c>
      <c r="B1057" s="3">
        <v>7.7</v>
      </c>
      <c r="C1057" s="3">
        <v>0.51</v>
      </c>
      <c r="D1057" s="3">
        <v>143.0</v>
      </c>
      <c r="E1057" s="3">
        <v>33.1</v>
      </c>
      <c r="F1057" s="3">
        <v>-3.74</v>
      </c>
      <c r="G1057" s="3">
        <v>195.66</v>
      </c>
      <c r="H1057" s="3">
        <v>0.0</v>
      </c>
      <c r="I1057" s="3">
        <v>5592.84</v>
      </c>
      <c r="J1057" s="3">
        <v>0.0</v>
      </c>
      <c r="K1057" s="4">
        <f t="shared" si="1"/>
        <v>38296.8232</v>
      </c>
      <c r="L1057" s="4">
        <f t="shared" si="2"/>
        <v>0.5339607386</v>
      </c>
    </row>
    <row r="1058">
      <c r="A1058" s="3" t="s">
        <v>93</v>
      </c>
      <c r="B1058" s="3">
        <v>7.7</v>
      </c>
      <c r="C1058" s="3">
        <v>0.69</v>
      </c>
      <c r="D1058" s="3">
        <v>160.0</v>
      </c>
      <c r="E1058" s="3">
        <v>15.0</v>
      </c>
      <c r="F1058" s="3">
        <v>-4.96</v>
      </c>
      <c r="G1058" s="3">
        <v>213.36</v>
      </c>
      <c r="H1058" s="3">
        <v>0.0</v>
      </c>
      <c r="I1058" s="3">
        <v>4363.43</v>
      </c>
      <c r="J1058" s="3">
        <v>0.0</v>
      </c>
      <c r="K1058" s="4">
        <f t="shared" si="1"/>
        <v>45547.0912</v>
      </c>
      <c r="L1058" s="4">
        <f t="shared" si="2"/>
        <v>0.5620556511</v>
      </c>
    </row>
    <row r="1059">
      <c r="A1059" s="3" t="s">
        <v>93</v>
      </c>
      <c r="B1059" s="3">
        <v>7.7</v>
      </c>
      <c r="C1059" s="3">
        <v>0.86</v>
      </c>
      <c r="D1059" s="3">
        <v>178.0</v>
      </c>
      <c r="E1059" s="3">
        <v>7.92</v>
      </c>
      <c r="F1059" s="3">
        <v>-6.2</v>
      </c>
      <c r="G1059" s="3">
        <v>228.63</v>
      </c>
      <c r="H1059" s="3">
        <v>0.0</v>
      </c>
      <c r="I1059" s="3">
        <v>3675.14</v>
      </c>
      <c r="J1059" s="3">
        <v>0.0</v>
      </c>
      <c r="K1059" s="4">
        <f t="shared" si="1"/>
        <v>52310.1169</v>
      </c>
      <c r="L1059" s="4">
        <f t="shared" si="2"/>
        <v>0.6056954539</v>
      </c>
    </row>
    <row r="1060">
      <c r="A1060" s="3" t="s">
        <v>93</v>
      </c>
      <c r="B1060" s="3">
        <v>7.7</v>
      </c>
      <c r="C1060" s="3">
        <v>1.03</v>
      </c>
      <c r="D1060" s="3">
        <v>188.0</v>
      </c>
      <c r="E1060" s="3">
        <v>8.01</v>
      </c>
      <c r="F1060" s="3">
        <v>-7.39</v>
      </c>
      <c r="G1060" s="3">
        <v>242.31</v>
      </c>
      <c r="H1060" s="3">
        <v>0.0</v>
      </c>
      <c r="I1060" s="3">
        <v>2808.28</v>
      </c>
      <c r="J1060" s="3">
        <v>0.0</v>
      </c>
      <c r="K1060" s="4">
        <f t="shared" si="1"/>
        <v>58768.7482</v>
      </c>
      <c r="L1060" s="4">
        <f t="shared" si="2"/>
        <v>0.6014080797</v>
      </c>
    </row>
    <row r="1061">
      <c r="A1061" s="3" t="s">
        <v>93</v>
      </c>
      <c r="B1061" s="3">
        <v>7.7</v>
      </c>
      <c r="C1061" s="3">
        <v>1.2</v>
      </c>
      <c r="D1061" s="3">
        <v>187.0</v>
      </c>
      <c r="E1061" s="3">
        <v>8.03</v>
      </c>
      <c r="F1061" s="3">
        <v>-8.46</v>
      </c>
      <c r="G1061" s="3">
        <v>244.99</v>
      </c>
      <c r="H1061" s="3">
        <v>0.0</v>
      </c>
      <c r="I1061" s="3">
        <v>2150.5</v>
      </c>
      <c r="J1061" s="3">
        <v>0.0</v>
      </c>
      <c r="K1061" s="4">
        <f t="shared" si="1"/>
        <v>60091.6717</v>
      </c>
      <c r="L1061" s="4">
        <f t="shared" si="2"/>
        <v>0.5819275619</v>
      </c>
    </row>
    <row r="1062">
      <c r="A1062" s="3" t="s">
        <v>93</v>
      </c>
      <c r="B1062" s="3">
        <v>7.7</v>
      </c>
      <c r="C1062" s="3">
        <v>1.38</v>
      </c>
      <c r="D1062" s="3">
        <v>195.0</v>
      </c>
      <c r="E1062" s="3">
        <v>5.6</v>
      </c>
      <c r="F1062" s="3">
        <v>-9.15</v>
      </c>
      <c r="G1062" s="3">
        <v>248.08</v>
      </c>
      <c r="H1062" s="3">
        <v>0.0</v>
      </c>
      <c r="I1062" s="3">
        <v>2033.53</v>
      </c>
      <c r="J1062" s="3">
        <v>0.0</v>
      </c>
      <c r="K1062" s="4">
        <f t="shared" si="1"/>
        <v>61627.4089</v>
      </c>
      <c r="L1062" s="4">
        <f t="shared" si="2"/>
        <v>0.6170144207</v>
      </c>
    </row>
    <row r="1063">
      <c r="A1063" s="3" t="s">
        <v>93</v>
      </c>
      <c r="B1063" s="3">
        <v>7.7</v>
      </c>
      <c r="C1063" s="3">
        <v>1.55</v>
      </c>
      <c r="D1063" s="3">
        <v>199.0</v>
      </c>
      <c r="E1063" s="3">
        <v>7.52</v>
      </c>
      <c r="F1063" s="3">
        <v>-9.58</v>
      </c>
      <c r="G1063" s="3">
        <v>251.75</v>
      </c>
      <c r="H1063" s="3">
        <v>0.0</v>
      </c>
      <c r="I1063" s="3">
        <v>1846.64</v>
      </c>
      <c r="J1063" s="3">
        <v>0.0</v>
      </c>
      <c r="K1063" s="4">
        <f t="shared" si="1"/>
        <v>63469.8389</v>
      </c>
      <c r="L1063" s="4">
        <f t="shared" si="2"/>
        <v>0.6239341502</v>
      </c>
    </row>
    <row r="1064">
      <c r="A1064" s="3" t="s">
        <v>93</v>
      </c>
      <c r="B1064" s="3">
        <v>7.7</v>
      </c>
      <c r="C1064" s="3">
        <v>1.71</v>
      </c>
      <c r="D1064" s="3">
        <v>203.0</v>
      </c>
      <c r="E1064" s="3">
        <v>6.87</v>
      </c>
      <c r="F1064" s="3">
        <v>-9.77</v>
      </c>
      <c r="G1064" s="3">
        <v>258.35</v>
      </c>
      <c r="H1064" s="3">
        <v>0.0</v>
      </c>
      <c r="I1064" s="3">
        <v>1668.78</v>
      </c>
      <c r="J1064" s="3">
        <v>0.0</v>
      </c>
      <c r="K1064" s="4">
        <f t="shared" si="1"/>
        <v>66840.1754</v>
      </c>
      <c r="L1064" s="4">
        <f t="shared" si="2"/>
        <v>0.6165303989</v>
      </c>
    </row>
    <row r="1065">
      <c r="A1065" s="3" t="s">
        <v>93</v>
      </c>
      <c r="B1065" s="3">
        <v>7.7</v>
      </c>
      <c r="C1065" s="3">
        <v>1.89</v>
      </c>
      <c r="D1065" s="3">
        <v>206.0</v>
      </c>
      <c r="E1065" s="3">
        <v>9.22</v>
      </c>
      <c r="F1065" s="3">
        <v>-9.95</v>
      </c>
      <c r="G1065" s="3">
        <v>262.92</v>
      </c>
      <c r="H1065" s="3">
        <v>0.0</v>
      </c>
      <c r="I1065" s="3">
        <v>1505.22</v>
      </c>
      <c r="J1065" s="3">
        <v>0.0</v>
      </c>
      <c r="K1065" s="4">
        <f t="shared" si="1"/>
        <v>69225.9289</v>
      </c>
      <c r="L1065" s="4">
        <f t="shared" si="2"/>
        <v>0.6130073034</v>
      </c>
    </row>
    <row r="1066">
      <c r="A1066" s="3" t="s">
        <v>93</v>
      </c>
      <c r="B1066" s="3">
        <v>7.7</v>
      </c>
      <c r="C1066" s="3">
        <v>2.06</v>
      </c>
      <c r="D1066" s="3">
        <v>211.0</v>
      </c>
      <c r="E1066" s="3">
        <v>12.0</v>
      </c>
      <c r="F1066" s="3">
        <v>-9.95</v>
      </c>
      <c r="G1066" s="3">
        <v>270.25</v>
      </c>
      <c r="H1066" s="3">
        <v>0.0</v>
      </c>
      <c r="I1066" s="3">
        <v>1378.94</v>
      </c>
      <c r="J1066" s="3">
        <v>0.0</v>
      </c>
      <c r="K1066" s="4">
        <f t="shared" si="1"/>
        <v>73134.065</v>
      </c>
      <c r="L1066" s="4">
        <f t="shared" si="2"/>
        <v>0.6087587228</v>
      </c>
    </row>
    <row r="1067">
      <c r="A1067" s="3" t="s">
        <v>93</v>
      </c>
      <c r="B1067" s="3">
        <v>7.7</v>
      </c>
      <c r="C1067" s="3">
        <v>2.23</v>
      </c>
      <c r="D1067" s="3">
        <v>219.0</v>
      </c>
      <c r="E1067" s="3">
        <v>13.3</v>
      </c>
      <c r="F1067" s="3">
        <v>-9.95</v>
      </c>
      <c r="G1067" s="3">
        <v>275.1</v>
      </c>
      <c r="H1067" s="3">
        <v>0.0</v>
      </c>
      <c r="I1067" s="3">
        <v>1175.03</v>
      </c>
      <c r="J1067" s="3">
        <v>0.0</v>
      </c>
      <c r="K1067" s="4">
        <f t="shared" si="1"/>
        <v>75779.0125</v>
      </c>
      <c r="L1067" s="4">
        <f t="shared" si="2"/>
        <v>0.6329061097</v>
      </c>
    </row>
    <row r="1068">
      <c r="A1068" s="3" t="s">
        <v>93</v>
      </c>
      <c r="B1068" s="3">
        <v>7.7</v>
      </c>
      <c r="C1068" s="3">
        <v>2.41</v>
      </c>
      <c r="D1068" s="3">
        <v>216.0</v>
      </c>
      <c r="E1068" s="3">
        <v>9.9</v>
      </c>
      <c r="F1068" s="3">
        <v>-10.14</v>
      </c>
      <c r="G1068" s="3">
        <v>276.83</v>
      </c>
      <c r="H1068" s="3">
        <v>0.0</v>
      </c>
      <c r="I1068" s="3">
        <v>926.08</v>
      </c>
      <c r="J1068" s="3">
        <v>0.0</v>
      </c>
      <c r="K1068" s="4">
        <f t="shared" si="1"/>
        <v>76737.6685</v>
      </c>
      <c r="L1068" s="4">
        <f t="shared" si="2"/>
        <v>0.6079934524</v>
      </c>
    </row>
    <row r="1069">
      <c r="A1069" s="3" t="s">
        <v>93</v>
      </c>
      <c r="B1069" s="3">
        <v>7.7</v>
      </c>
      <c r="C1069" s="3">
        <v>2.58</v>
      </c>
      <c r="D1069" s="3">
        <v>214.0</v>
      </c>
      <c r="E1069" s="3">
        <v>10.5</v>
      </c>
      <c r="F1069" s="3">
        <v>-10.6</v>
      </c>
      <c r="G1069" s="3">
        <v>274.55</v>
      </c>
      <c r="H1069" s="3">
        <v>0.0</v>
      </c>
      <c r="I1069" s="3">
        <v>830.56</v>
      </c>
      <c r="J1069" s="3">
        <v>0.0</v>
      </c>
      <c r="K1069" s="4">
        <f t="shared" si="1"/>
        <v>75490.0625</v>
      </c>
      <c r="L1069" s="4">
        <f t="shared" si="2"/>
        <v>0.6066493851</v>
      </c>
    </row>
    <row r="1070">
      <c r="A1070" s="3" t="s">
        <v>93</v>
      </c>
      <c r="B1070" s="3">
        <v>7.7</v>
      </c>
      <c r="C1070" s="3">
        <v>2.75</v>
      </c>
      <c r="D1070" s="3">
        <v>213.0</v>
      </c>
      <c r="E1070" s="3">
        <v>8.39</v>
      </c>
      <c r="F1070" s="3">
        <v>-11.16</v>
      </c>
      <c r="G1070" s="3">
        <v>274.06</v>
      </c>
      <c r="H1070" s="3">
        <v>0.0</v>
      </c>
      <c r="I1070" s="3">
        <v>769.64</v>
      </c>
      <c r="J1070" s="3">
        <v>0.0</v>
      </c>
      <c r="K1070" s="4">
        <f t="shared" si="1"/>
        <v>75233.4292</v>
      </c>
      <c r="L1070" s="4">
        <f t="shared" si="2"/>
        <v>0.6030430951</v>
      </c>
    </row>
    <row r="1071">
      <c r="A1071" s="3" t="s">
        <v>93</v>
      </c>
      <c r="B1071" s="3">
        <v>7.7</v>
      </c>
      <c r="C1071" s="3">
        <v>2.92</v>
      </c>
      <c r="D1071" s="3">
        <v>210.0</v>
      </c>
      <c r="E1071" s="3">
        <v>13.3</v>
      </c>
      <c r="F1071" s="3">
        <v>-11.53</v>
      </c>
      <c r="G1071" s="3">
        <v>273.74</v>
      </c>
      <c r="H1071" s="3">
        <v>0.0</v>
      </c>
      <c r="I1071" s="3">
        <v>727.61</v>
      </c>
      <c r="J1071" s="3">
        <v>0.0</v>
      </c>
      <c r="K1071" s="4">
        <f t="shared" si="1"/>
        <v>75066.5285</v>
      </c>
      <c r="L1071" s="4">
        <f t="shared" si="2"/>
        <v>0.5874788788</v>
      </c>
    </row>
    <row r="1072">
      <c r="A1072" s="3" t="s">
        <v>93</v>
      </c>
      <c r="B1072" s="3">
        <v>7.7</v>
      </c>
      <c r="C1072" s="3">
        <v>3.09</v>
      </c>
      <c r="D1072" s="3">
        <v>214.0</v>
      </c>
      <c r="E1072" s="3">
        <v>6.67</v>
      </c>
      <c r="F1072" s="3">
        <v>-11.25</v>
      </c>
      <c r="G1072" s="3">
        <v>275.23</v>
      </c>
      <c r="H1072" s="3">
        <v>0.0</v>
      </c>
      <c r="I1072" s="3">
        <v>682.48</v>
      </c>
      <c r="J1072" s="3">
        <v>0.0</v>
      </c>
      <c r="K1072" s="4">
        <f t="shared" si="1"/>
        <v>75878.1154</v>
      </c>
      <c r="L1072" s="4">
        <f t="shared" si="2"/>
        <v>0.6035468825</v>
      </c>
    </row>
    <row r="1073">
      <c r="A1073" s="3" t="s">
        <v>93</v>
      </c>
      <c r="B1073" s="3">
        <v>7.7</v>
      </c>
      <c r="C1073" s="3">
        <v>3.26</v>
      </c>
      <c r="D1073" s="3">
        <v>213.0</v>
      </c>
      <c r="E1073" s="3">
        <v>9.98</v>
      </c>
      <c r="F1073" s="3">
        <v>-9.77</v>
      </c>
      <c r="G1073" s="3">
        <v>276.33</v>
      </c>
      <c r="H1073" s="3">
        <v>0.0</v>
      </c>
      <c r="I1073" s="3">
        <v>633.6</v>
      </c>
      <c r="J1073" s="3">
        <v>0.0</v>
      </c>
      <c r="K1073" s="4">
        <f t="shared" si="1"/>
        <v>76453.7218</v>
      </c>
      <c r="L1073" s="4">
        <f t="shared" si="2"/>
        <v>0.5934178079</v>
      </c>
    </row>
    <row r="1074">
      <c r="A1074" s="3" t="s">
        <v>93</v>
      </c>
      <c r="B1074" s="3">
        <v>7.7</v>
      </c>
      <c r="C1074" s="3">
        <v>3.43</v>
      </c>
      <c r="D1074" s="3">
        <v>212.0</v>
      </c>
      <c r="E1074" s="3">
        <v>11.2</v>
      </c>
      <c r="F1074" s="3">
        <v>-7.06</v>
      </c>
      <c r="G1074" s="3">
        <v>278.46</v>
      </c>
      <c r="H1074" s="3">
        <v>0.0</v>
      </c>
      <c r="I1074" s="3">
        <v>575.82</v>
      </c>
      <c r="J1074" s="3">
        <v>0.0</v>
      </c>
      <c r="K1074" s="4">
        <f t="shared" si="1"/>
        <v>77589.8152</v>
      </c>
      <c r="L1074" s="4">
        <f t="shared" si="2"/>
        <v>0.579251283</v>
      </c>
    </row>
    <row r="1075">
      <c r="A1075" s="3" t="s">
        <v>93</v>
      </c>
      <c r="B1075" s="3">
        <v>7.7</v>
      </c>
      <c r="C1075" s="3">
        <v>3.61</v>
      </c>
      <c r="D1075" s="3">
        <v>215.0</v>
      </c>
      <c r="E1075" s="3">
        <v>9.11</v>
      </c>
      <c r="F1075" s="3">
        <v>2.4</v>
      </c>
      <c r="G1075" s="3">
        <v>278.97</v>
      </c>
      <c r="H1075" s="3">
        <v>0.0</v>
      </c>
      <c r="I1075" s="3">
        <v>523.07</v>
      </c>
      <c r="J1075" s="3">
        <v>0.0</v>
      </c>
      <c r="K1075" s="4">
        <f t="shared" si="1"/>
        <v>77830.0209</v>
      </c>
      <c r="L1075" s="4">
        <f t="shared" si="2"/>
        <v>0.5939224924</v>
      </c>
    </row>
    <row r="1076">
      <c r="A1076" s="3" t="s">
        <v>93</v>
      </c>
      <c r="B1076" s="3">
        <v>7.7</v>
      </c>
      <c r="C1076" s="3">
        <v>3.78</v>
      </c>
      <c r="D1076" s="3">
        <v>217.0</v>
      </c>
      <c r="E1076" s="3">
        <v>10.1</v>
      </c>
      <c r="F1076" s="3">
        <v>7.87</v>
      </c>
      <c r="G1076" s="3">
        <v>280.87</v>
      </c>
      <c r="H1076" s="3">
        <v>0.0</v>
      </c>
      <c r="I1076" s="3">
        <v>481.98</v>
      </c>
      <c r="J1076" s="3">
        <v>0.0</v>
      </c>
      <c r="K1076" s="4">
        <f t="shared" si="1"/>
        <v>78949.8938</v>
      </c>
      <c r="L1076" s="4">
        <f t="shared" si="2"/>
        <v>0.5964415876</v>
      </c>
    </row>
    <row r="1077">
      <c r="A1077" s="3" t="s">
        <v>93</v>
      </c>
      <c r="B1077" s="3">
        <v>7.7</v>
      </c>
      <c r="C1077" s="3">
        <v>3.95</v>
      </c>
      <c r="D1077" s="3">
        <v>219.0</v>
      </c>
      <c r="E1077" s="3">
        <v>8.05</v>
      </c>
      <c r="F1077" s="3">
        <v>10.51</v>
      </c>
      <c r="G1077" s="3">
        <v>281.76</v>
      </c>
      <c r="H1077" s="3">
        <v>0.0</v>
      </c>
      <c r="I1077" s="3">
        <v>430.64</v>
      </c>
      <c r="J1077" s="3">
        <v>0.0</v>
      </c>
      <c r="K1077" s="4">
        <f t="shared" si="1"/>
        <v>79499.1577</v>
      </c>
      <c r="L1077" s="4">
        <f t="shared" si="2"/>
        <v>0.6032894107</v>
      </c>
    </row>
    <row r="1078">
      <c r="A1078" s="3" t="s">
        <v>93</v>
      </c>
      <c r="B1078" s="3">
        <v>7.7</v>
      </c>
      <c r="C1078" s="3">
        <v>4.12</v>
      </c>
      <c r="D1078" s="3">
        <v>220.0</v>
      </c>
      <c r="E1078" s="3">
        <v>8.29</v>
      </c>
      <c r="F1078" s="3">
        <v>12.28</v>
      </c>
      <c r="G1078" s="3">
        <v>282.78</v>
      </c>
      <c r="H1078" s="3">
        <v>0.0</v>
      </c>
      <c r="I1078" s="3">
        <v>369.64</v>
      </c>
      <c r="J1078" s="3">
        <v>0.0</v>
      </c>
      <c r="K1078" s="4">
        <f t="shared" si="1"/>
        <v>80115.3268</v>
      </c>
      <c r="L1078" s="4">
        <f t="shared" si="2"/>
        <v>0.6041290966</v>
      </c>
    </row>
    <row r="1079">
      <c r="A1079" s="3" t="s">
        <v>93</v>
      </c>
      <c r="B1079" s="3">
        <v>7.7</v>
      </c>
      <c r="C1079" s="3">
        <v>4.29</v>
      </c>
      <c r="D1079" s="3">
        <v>218.0</v>
      </c>
      <c r="E1079" s="3">
        <v>8.42</v>
      </c>
      <c r="F1079" s="3">
        <v>13.95</v>
      </c>
      <c r="G1079" s="3">
        <v>281.57</v>
      </c>
      <c r="H1079" s="3">
        <v>0.0</v>
      </c>
      <c r="I1079" s="3">
        <v>310.22</v>
      </c>
      <c r="J1079" s="3">
        <v>0.0</v>
      </c>
      <c r="K1079" s="4">
        <f t="shared" si="1"/>
        <v>79476.2674</v>
      </c>
      <c r="L1079" s="4">
        <f t="shared" si="2"/>
        <v>0.5979646699</v>
      </c>
    </row>
    <row r="1080">
      <c r="A1080" s="3" t="s">
        <v>93</v>
      </c>
      <c r="B1080" s="3">
        <v>7.7</v>
      </c>
      <c r="C1080" s="3">
        <v>4.46</v>
      </c>
      <c r="D1080" s="3">
        <v>220.0</v>
      </c>
      <c r="E1080" s="3">
        <v>9.71</v>
      </c>
      <c r="F1080" s="3">
        <v>15.63</v>
      </c>
      <c r="G1080" s="3">
        <v>279.92</v>
      </c>
      <c r="H1080" s="3">
        <v>0.0</v>
      </c>
      <c r="I1080" s="3">
        <v>258.02</v>
      </c>
      <c r="J1080" s="3">
        <v>0.0</v>
      </c>
      <c r="K1080" s="4">
        <f t="shared" si="1"/>
        <v>78599.5033</v>
      </c>
      <c r="L1080" s="4">
        <f t="shared" si="2"/>
        <v>0.6157799727</v>
      </c>
    </row>
    <row r="1081">
      <c r="A1081" s="3" t="s">
        <v>93</v>
      </c>
      <c r="B1081" s="3">
        <v>7.7</v>
      </c>
      <c r="C1081" s="3">
        <v>4.64</v>
      </c>
      <c r="D1081" s="3">
        <v>220.0</v>
      </c>
      <c r="E1081" s="3">
        <v>20.1</v>
      </c>
      <c r="F1081" s="3">
        <v>17.49</v>
      </c>
      <c r="G1081" s="3">
        <v>276.26</v>
      </c>
      <c r="H1081" s="3">
        <v>0.0</v>
      </c>
      <c r="I1081" s="3">
        <v>208.23</v>
      </c>
      <c r="J1081" s="3">
        <v>0.0</v>
      </c>
      <c r="K1081" s="4">
        <f t="shared" si="1"/>
        <v>76625.4877</v>
      </c>
      <c r="L1081" s="4">
        <f t="shared" si="2"/>
        <v>0.6316436143</v>
      </c>
    </row>
    <row r="1082">
      <c r="A1082" s="3" t="s">
        <v>93</v>
      </c>
      <c r="B1082" s="3">
        <v>7.7</v>
      </c>
      <c r="C1082" s="3">
        <v>4.81</v>
      </c>
      <c r="D1082" s="3">
        <v>216.0</v>
      </c>
      <c r="E1082" s="3">
        <v>23.5</v>
      </c>
      <c r="F1082" s="3">
        <v>19.07</v>
      </c>
      <c r="G1082" s="3">
        <v>272.38</v>
      </c>
      <c r="H1082" s="3">
        <v>0.0</v>
      </c>
      <c r="I1082" s="3">
        <v>177.5</v>
      </c>
      <c r="J1082" s="3">
        <v>0.0</v>
      </c>
      <c r="K1082" s="4">
        <f t="shared" si="1"/>
        <v>74554.5293</v>
      </c>
      <c r="L1082" s="4">
        <f t="shared" si="2"/>
        <v>0.6257969896</v>
      </c>
    </row>
    <row r="1083">
      <c r="A1083" s="3" t="s">
        <v>93</v>
      </c>
      <c r="B1083" s="3">
        <v>7.7</v>
      </c>
      <c r="C1083" s="3">
        <v>4.98</v>
      </c>
      <c r="D1083" s="3">
        <v>220.0</v>
      </c>
      <c r="E1083" s="3">
        <v>14.6</v>
      </c>
      <c r="F1083" s="3">
        <v>20.0</v>
      </c>
      <c r="G1083" s="3">
        <v>268.13</v>
      </c>
      <c r="H1083" s="3">
        <v>0.0</v>
      </c>
      <c r="I1083" s="3">
        <v>157.71</v>
      </c>
      <c r="J1083" s="3">
        <v>0.0</v>
      </c>
      <c r="K1083" s="4">
        <f t="shared" si="1"/>
        <v>72293.6969</v>
      </c>
      <c r="L1083" s="4">
        <f t="shared" si="2"/>
        <v>0.6694912845</v>
      </c>
    </row>
    <row r="1084">
      <c r="A1084" s="3" t="s">
        <v>93</v>
      </c>
      <c r="B1084" s="3">
        <v>7.7</v>
      </c>
      <c r="C1084" s="3">
        <v>5.15</v>
      </c>
      <c r="D1084" s="3">
        <v>218.0</v>
      </c>
      <c r="E1084" s="3">
        <v>12.2</v>
      </c>
      <c r="F1084" s="3">
        <v>20.46</v>
      </c>
      <c r="G1084" s="3">
        <v>264.51</v>
      </c>
      <c r="H1084" s="3">
        <v>0.0</v>
      </c>
      <c r="I1084" s="3">
        <v>143.45</v>
      </c>
      <c r="J1084" s="3">
        <v>0.0</v>
      </c>
      <c r="K1084" s="4">
        <f t="shared" si="1"/>
        <v>70384.1517</v>
      </c>
      <c r="L1084" s="4">
        <f t="shared" si="2"/>
        <v>0.6752088198</v>
      </c>
    </row>
    <row r="1085">
      <c r="A1085" s="3" t="s">
        <v>93</v>
      </c>
      <c r="B1085" s="3">
        <v>7.7</v>
      </c>
      <c r="C1085" s="3">
        <v>5.32</v>
      </c>
      <c r="D1085" s="3">
        <v>213.0</v>
      </c>
      <c r="E1085" s="3">
        <v>23.1</v>
      </c>
      <c r="F1085" s="3">
        <v>20.65</v>
      </c>
      <c r="G1085" s="3">
        <v>260.81</v>
      </c>
      <c r="H1085" s="3">
        <v>0.0</v>
      </c>
      <c r="I1085" s="3">
        <v>128.98</v>
      </c>
      <c r="J1085" s="3">
        <v>0.0</v>
      </c>
      <c r="K1085" s="4">
        <f t="shared" si="1"/>
        <v>68448.2786</v>
      </c>
      <c r="L1085" s="4">
        <f t="shared" si="2"/>
        <v>0.662821636</v>
      </c>
    </row>
    <row r="1086">
      <c r="A1086" s="3" t="s">
        <v>93</v>
      </c>
      <c r="B1086" s="3">
        <v>7.7</v>
      </c>
      <c r="C1086" s="3">
        <v>5.49</v>
      </c>
      <c r="D1086" s="3">
        <v>215.0</v>
      </c>
      <c r="E1086" s="3">
        <v>21.2</v>
      </c>
      <c r="F1086" s="3">
        <v>20.74</v>
      </c>
      <c r="G1086" s="3">
        <v>257.41</v>
      </c>
      <c r="H1086" s="3">
        <v>0.0</v>
      </c>
      <c r="I1086" s="3">
        <v>118.36</v>
      </c>
      <c r="J1086" s="3">
        <v>0.0</v>
      </c>
      <c r="K1086" s="4">
        <f t="shared" si="1"/>
        <v>66690.0557</v>
      </c>
      <c r="L1086" s="4">
        <f t="shared" si="2"/>
        <v>0.6931318247</v>
      </c>
    </row>
    <row r="1087">
      <c r="A1087" s="3" t="s">
        <v>93</v>
      </c>
      <c r="B1087" s="3">
        <v>7.7</v>
      </c>
      <c r="C1087" s="3">
        <v>5.67</v>
      </c>
      <c r="D1087" s="3">
        <v>216.0</v>
      </c>
      <c r="E1087" s="3">
        <v>18.3</v>
      </c>
      <c r="F1087" s="3">
        <v>21.02</v>
      </c>
      <c r="G1087" s="3">
        <v>254.02</v>
      </c>
      <c r="H1087" s="3">
        <v>0.0</v>
      </c>
      <c r="I1087" s="3">
        <v>108.99</v>
      </c>
      <c r="J1087" s="3">
        <v>0.0</v>
      </c>
      <c r="K1087" s="4">
        <f t="shared" si="1"/>
        <v>64968.0008</v>
      </c>
      <c r="L1087" s="4">
        <f t="shared" si="2"/>
        <v>0.7181381515</v>
      </c>
    </row>
    <row r="1088">
      <c r="A1088" s="3" t="s">
        <v>93</v>
      </c>
      <c r="B1088" s="3">
        <v>7.7</v>
      </c>
      <c r="C1088" s="3">
        <v>5.84</v>
      </c>
      <c r="D1088" s="3">
        <v>208.0</v>
      </c>
      <c r="E1088" s="3">
        <v>31.7</v>
      </c>
      <c r="F1088" s="3">
        <v>21.3</v>
      </c>
      <c r="G1088" s="3">
        <v>251.09</v>
      </c>
      <c r="H1088" s="3">
        <v>0.0</v>
      </c>
      <c r="I1088" s="3">
        <v>100.28</v>
      </c>
      <c r="J1088" s="3">
        <v>0.0</v>
      </c>
      <c r="K1088" s="4">
        <f t="shared" si="1"/>
        <v>63499.8781</v>
      </c>
      <c r="L1088" s="4">
        <f t="shared" si="2"/>
        <v>0.6813241426</v>
      </c>
    </row>
    <row r="1089">
      <c r="A1089" s="3" t="s">
        <v>93</v>
      </c>
      <c r="B1089" s="3">
        <v>7.7</v>
      </c>
      <c r="C1089" s="3">
        <v>6.01</v>
      </c>
      <c r="D1089" s="3">
        <v>212.0</v>
      </c>
      <c r="E1089" s="3">
        <v>25.3</v>
      </c>
      <c r="F1089" s="3">
        <v>21.67</v>
      </c>
      <c r="G1089" s="3">
        <v>248.27</v>
      </c>
      <c r="H1089" s="3">
        <v>0.0</v>
      </c>
      <c r="I1089" s="3">
        <v>93.06</v>
      </c>
      <c r="J1089" s="3">
        <v>0.0</v>
      </c>
      <c r="K1089" s="4">
        <f t="shared" si="1"/>
        <v>62107.5818</v>
      </c>
      <c r="L1089" s="4">
        <f t="shared" si="2"/>
        <v>0.7236475596</v>
      </c>
    </row>
    <row r="1090">
      <c r="A1090" s="3" t="s">
        <v>93</v>
      </c>
      <c r="B1090" s="3">
        <v>7.7</v>
      </c>
      <c r="C1090" s="3">
        <v>6.19</v>
      </c>
      <c r="D1090" s="3">
        <v>213.0</v>
      </c>
      <c r="E1090" s="3">
        <v>23.8</v>
      </c>
      <c r="F1090" s="3">
        <v>22.04</v>
      </c>
      <c r="G1090" s="3">
        <v>245.66</v>
      </c>
      <c r="H1090" s="3">
        <v>0.0</v>
      </c>
      <c r="I1090" s="3">
        <v>85.94</v>
      </c>
      <c r="J1090" s="3">
        <v>0.0</v>
      </c>
      <c r="K1090" s="4">
        <f t="shared" si="1"/>
        <v>60834.5972</v>
      </c>
      <c r="L1090" s="4">
        <f t="shared" si="2"/>
        <v>0.7457762867</v>
      </c>
    </row>
    <row r="1091">
      <c r="A1091" s="3" t="s">
        <v>93</v>
      </c>
      <c r="B1091" s="3">
        <v>7.7</v>
      </c>
      <c r="C1091" s="3">
        <v>6.35</v>
      </c>
      <c r="D1091" s="3">
        <v>216.0</v>
      </c>
      <c r="E1091" s="3">
        <v>19.6</v>
      </c>
      <c r="F1091" s="3">
        <v>22.51</v>
      </c>
      <c r="G1091" s="3">
        <v>243.33</v>
      </c>
      <c r="H1091" s="3">
        <v>0.0</v>
      </c>
      <c r="I1091" s="3">
        <v>77.79</v>
      </c>
      <c r="J1091" s="3">
        <v>0.0</v>
      </c>
      <c r="K1091" s="4">
        <f t="shared" si="1"/>
        <v>59716.189</v>
      </c>
      <c r="L1091" s="4">
        <f t="shared" si="2"/>
        <v>0.7812956718</v>
      </c>
    </row>
    <row r="1092">
      <c r="A1092" s="3" t="s">
        <v>93</v>
      </c>
      <c r="B1092" s="3">
        <v>7.7</v>
      </c>
      <c r="C1092" s="3">
        <v>6.64</v>
      </c>
      <c r="D1092" s="3">
        <v>210.0</v>
      </c>
      <c r="E1092" s="3">
        <v>25.0</v>
      </c>
      <c r="F1092" s="3">
        <v>23.63</v>
      </c>
      <c r="G1092" s="3">
        <v>238.82</v>
      </c>
      <c r="H1092" s="3">
        <v>0.0</v>
      </c>
      <c r="I1092" s="3">
        <v>62.26</v>
      </c>
      <c r="J1092" s="3">
        <v>0.0</v>
      </c>
      <c r="K1092" s="4">
        <f t="shared" si="1"/>
        <v>57593.3693</v>
      </c>
      <c r="L1092" s="4">
        <f t="shared" si="2"/>
        <v>0.7657131461</v>
      </c>
    </row>
    <row r="1093">
      <c r="A1093" s="3" t="s">
        <v>93</v>
      </c>
      <c r="B1093" s="3">
        <v>7.7</v>
      </c>
      <c r="C1093" s="3">
        <v>8.82</v>
      </c>
      <c r="D1093" s="3">
        <v>210.0</v>
      </c>
      <c r="E1093" s="3">
        <v>10.7</v>
      </c>
      <c r="F1093" s="3">
        <v>34.97</v>
      </c>
      <c r="G1093" s="3">
        <v>209.65</v>
      </c>
      <c r="H1093" s="3">
        <v>0.0</v>
      </c>
      <c r="I1093" s="3">
        <v>27.97</v>
      </c>
      <c r="J1093" s="3">
        <v>0.0</v>
      </c>
      <c r="K1093" s="4">
        <f t="shared" si="1"/>
        <v>45176.0234</v>
      </c>
      <c r="L1093" s="4">
        <f t="shared" si="2"/>
        <v>0.9761815379</v>
      </c>
    </row>
    <row r="1094">
      <c r="A1094" s="3" t="s">
        <v>93</v>
      </c>
      <c r="B1094" s="3">
        <v>7.7</v>
      </c>
      <c r="C1094" s="3">
        <v>11.07</v>
      </c>
      <c r="D1094" s="3">
        <v>210.0</v>
      </c>
      <c r="E1094" s="3">
        <v>10.7</v>
      </c>
      <c r="F1094" s="3">
        <v>43.44</v>
      </c>
      <c r="G1094" s="3">
        <v>188.05</v>
      </c>
      <c r="H1094" s="3">
        <v>0.0</v>
      </c>
      <c r="I1094" s="3">
        <v>11.92</v>
      </c>
      <c r="J1094" s="3">
        <v>0.0</v>
      </c>
      <c r="K1094" s="4">
        <f t="shared" si="1"/>
        <v>37249.8361</v>
      </c>
      <c r="L1094" s="4">
        <f t="shared" si="2"/>
        <v>1.183897827</v>
      </c>
    </row>
    <row r="1095">
      <c r="A1095" s="3" t="s">
        <v>93</v>
      </c>
      <c r="B1095" s="3">
        <v>7.7</v>
      </c>
      <c r="C1095" s="3">
        <v>13.32</v>
      </c>
      <c r="D1095" s="3">
        <v>206.0</v>
      </c>
      <c r="E1095" s="3">
        <v>6.25</v>
      </c>
      <c r="F1095" s="3">
        <v>45.95</v>
      </c>
      <c r="G1095" s="3">
        <v>172.02</v>
      </c>
      <c r="H1095" s="3">
        <v>0.0</v>
      </c>
      <c r="I1095" s="3">
        <v>6.19</v>
      </c>
      <c r="J1095" s="3">
        <v>0.0</v>
      </c>
      <c r="K1095" s="4">
        <f t="shared" si="1"/>
        <v>31702.2829</v>
      </c>
      <c r="L1095" s="4">
        <f t="shared" si="2"/>
        <v>1.33857868</v>
      </c>
    </row>
    <row r="1096">
      <c r="A1096" s="3" t="s">
        <v>93</v>
      </c>
      <c r="B1096" s="3">
        <v>7.7</v>
      </c>
      <c r="C1096" s="3">
        <v>15.49</v>
      </c>
      <c r="D1096" s="3">
        <v>206.0</v>
      </c>
      <c r="E1096" s="3">
        <v>6.25</v>
      </c>
      <c r="F1096" s="3">
        <v>45.39</v>
      </c>
      <c r="G1096" s="3">
        <v>159.31</v>
      </c>
      <c r="H1096" s="3">
        <v>0.0</v>
      </c>
      <c r="I1096" s="3">
        <v>1.91</v>
      </c>
      <c r="J1096" s="3">
        <v>0.0</v>
      </c>
      <c r="K1096" s="4">
        <f t="shared" si="1"/>
        <v>27439.9282</v>
      </c>
      <c r="L1096" s="4">
        <f t="shared" si="2"/>
        <v>1.546505504</v>
      </c>
    </row>
    <row r="1097">
      <c r="A1097" s="3" t="s">
        <v>93</v>
      </c>
      <c r="B1097" s="3">
        <v>7.7</v>
      </c>
      <c r="C1097" s="3">
        <v>17.74</v>
      </c>
      <c r="D1097" s="3">
        <v>206.0</v>
      </c>
      <c r="E1097" s="3">
        <v>10.7</v>
      </c>
      <c r="F1097" s="3">
        <v>42.23</v>
      </c>
      <c r="G1097" s="3">
        <v>147.38</v>
      </c>
      <c r="H1097" s="3">
        <v>0.0</v>
      </c>
      <c r="I1097" s="3">
        <v>0.0</v>
      </c>
      <c r="J1097" s="3">
        <v>0.0</v>
      </c>
      <c r="K1097" s="4">
        <f t="shared" si="1"/>
        <v>23504.2373</v>
      </c>
      <c r="L1097" s="4">
        <f t="shared" si="2"/>
        <v>1.80546169</v>
      </c>
    </row>
    <row r="1098">
      <c r="A1098" s="3" t="s">
        <v>94</v>
      </c>
      <c r="B1098" s="3">
        <v>18.0</v>
      </c>
      <c r="C1098" s="3">
        <v>3.5</v>
      </c>
      <c r="D1098" s="3">
        <v>102.0</v>
      </c>
      <c r="E1098" s="3">
        <v>7.0</v>
      </c>
      <c r="F1098" s="3">
        <v>0.0</v>
      </c>
      <c r="G1098" s="3">
        <v>138.23</v>
      </c>
      <c r="H1098" s="3">
        <v>0.0</v>
      </c>
      <c r="I1098" s="3">
        <v>367.95</v>
      </c>
      <c r="J1098" s="3">
        <v>0.0</v>
      </c>
      <c r="K1098" s="4">
        <f t="shared" si="1"/>
        <v>19107.5329</v>
      </c>
      <c r="L1098" s="4">
        <f t="shared" si="2"/>
        <v>0.5444972961</v>
      </c>
    </row>
    <row r="1099">
      <c r="A1099" s="3" t="s">
        <v>94</v>
      </c>
      <c r="B1099" s="3">
        <v>18.0</v>
      </c>
      <c r="C1099" s="3">
        <v>5.24</v>
      </c>
      <c r="D1099" s="3">
        <v>125.0</v>
      </c>
      <c r="E1099" s="3">
        <v>6.1</v>
      </c>
      <c r="F1099" s="3">
        <v>0.0</v>
      </c>
      <c r="G1099" s="3">
        <v>163.99</v>
      </c>
      <c r="H1099" s="3">
        <v>0.0</v>
      </c>
      <c r="I1099" s="3">
        <v>200.43</v>
      </c>
      <c r="J1099" s="3">
        <v>0.0</v>
      </c>
      <c r="K1099" s="4">
        <f t="shared" si="1"/>
        <v>26892.7201</v>
      </c>
      <c r="L1099" s="4">
        <f t="shared" si="2"/>
        <v>0.5810122569</v>
      </c>
    </row>
    <row r="1100">
      <c r="A1100" s="3" t="s">
        <v>94</v>
      </c>
      <c r="B1100" s="3">
        <v>18.0</v>
      </c>
      <c r="C1100" s="3">
        <v>6.98</v>
      </c>
      <c r="D1100" s="3">
        <v>145.0</v>
      </c>
      <c r="E1100" s="3">
        <v>4.9</v>
      </c>
      <c r="F1100" s="3">
        <v>8.76</v>
      </c>
      <c r="G1100" s="3">
        <v>177.95</v>
      </c>
      <c r="H1100" s="3">
        <v>0.0</v>
      </c>
      <c r="I1100" s="3">
        <v>156.27</v>
      </c>
      <c r="J1100" s="3">
        <v>0.0</v>
      </c>
      <c r="K1100" s="4">
        <f t="shared" si="1"/>
        <v>31742.9401</v>
      </c>
      <c r="L1100" s="4">
        <f t="shared" si="2"/>
        <v>0.6623520044</v>
      </c>
    </row>
    <row r="1101">
      <c r="A1101" s="3" t="s">
        <v>94</v>
      </c>
      <c r="B1101" s="3">
        <v>18.0</v>
      </c>
      <c r="C1101" s="3">
        <v>8.72</v>
      </c>
      <c r="D1101" s="3">
        <v>164.0</v>
      </c>
      <c r="E1101" s="3">
        <v>3.9</v>
      </c>
      <c r="F1101" s="3">
        <v>23.82</v>
      </c>
      <c r="G1101" s="3">
        <v>182.72</v>
      </c>
      <c r="H1101" s="3">
        <v>0.0</v>
      </c>
      <c r="I1101" s="3">
        <v>66.34</v>
      </c>
      <c r="J1101" s="3">
        <v>0.0</v>
      </c>
      <c r="K1101" s="4">
        <f t="shared" si="1"/>
        <v>33953.9908</v>
      </c>
      <c r="L1101" s="4">
        <f t="shared" si="2"/>
        <v>0.7921307442</v>
      </c>
    </row>
    <row r="1102">
      <c r="A1102" s="3" t="s">
        <v>94</v>
      </c>
      <c r="B1102" s="3">
        <v>18.0</v>
      </c>
      <c r="C1102" s="3">
        <v>10.47</v>
      </c>
      <c r="D1102" s="3">
        <v>162.0</v>
      </c>
      <c r="E1102" s="3">
        <v>4.8</v>
      </c>
      <c r="F1102" s="3">
        <v>31.14</v>
      </c>
      <c r="G1102" s="3">
        <v>173.68</v>
      </c>
      <c r="H1102" s="3">
        <v>0.0</v>
      </c>
      <c r="I1102" s="3">
        <v>42.03</v>
      </c>
      <c r="J1102" s="3">
        <v>0.0</v>
      </c>
      <c r="K1102" s="4">
        <f t="shared" si="1"/>
        <v>31134.442</v>
      </c>
      <c r="L1102" s="4">
        <f t="shared" si="2"/>
        <v>0.8429250153</v>
      </c>
    </row>
    <row r="1103">
      <c r="A1103" s="3" t="s">
        <v>94</v>
      </c>
      <c r="B1103" s="3">
        <v>18.0</v>
      </c>
      <c r="C1103" s="3">
        <v>12.19</v>
      </c>
      <c r="D1103" s="3">
        <v>160.0</v>
      </c>
      <c r="E1103" s="3">
        <v>4.8</v>
      </c>
      <c r="F1103" s="3">
        <v>37.29</v>
      </c>
      <c r="G1103" s="3">
        <v>166.41</v>
      </c>
      <c r="H1103" s="3">
        <v>0.0</v>
      </c>
      <c r="I1103" s="3">
        <v>26.8</v>
      </c>
      <c r="J1103" s="3">
        <v>0.0</v>
      </c>
      <c r="K1103" s="4">
        <f t="shared" si="1"/>
        <v>29082.8322</v>
      </c>
      <c r="L1103" s="4">
        <f t="shared" si="2"/>
        <v>0.8802443938</v>
      </c>
    </row>
    <row r="1104">
      <c r="A1104" s="3" t="s">
        <v>94</v>
      </c>
      <c r="B1104" s="3">
        <v>18.0</v>
      </c>
      <c r="C1104" s="3">
        <v>13.94</v>
      </c>
      <c r="D1104" s="3">
        <v>156.0</v>
      </c>
      <c r="E1104" s="3">
        <v>4.8</v>
      </c>
      <c r="F1104" s="3">
        <v>46.45</v>
      </c>
      <c r="G1104" s="3">
        <v>159.41</v>
      </c>
      <c r="H1104" s="3">
        <v>0.0</v>
      </c>
      <c r="I1104" s="3">
        <v>15.65</v>
      </c>
      <c r="J1104" s="3">
        <v>0.0</v>
      </c>
      <c r="K1104" s="4">
        <f t="shared" si="1"/>
        <v>27569.1506</v>
      </c>
      <c r="L1104" s="4">
        <f t="shared" si="2"/>
        <v>0.8827257812</v>
      </c>
    </row>
    <row r="1105">
      <c r="A1105" s="3" t="s">
        <v>94</v>
      </c>
      <c r="B1105" s="3">
        <v>18.0</v>
      </c>
      <c r="C1105" s="3">
        <v>16.03</v>
      </c>
      <c r="D1105" s="3">
        <v>146.0</v>
      </c>
      <c r="E1105" s="3">
        <v>4.85</v>
      </c>
      <c r="F1105" s="3">
        <v>53.13</v>
      </c>
      <c r="G1105" s="3">
        <v>148.01</v>
      </c>
      <c r="H1105" s="3">
        <v>0.0</v>
      </c>
      <c r="I1105" s="3">
        <v>6.69</v>
      </c>
      <c r="J1105" s="3">
        <v>0.0</v>
      </c>
      <c r="K1105" s="4">
        <f t="shared" si="1"/>
        <v>24729.757</v>
      </c>
      <c r="L1105" s="4">
        <f t="shared" si="2"/>
        <v>0.8619575194</v>
      </c>
    </row>
    <row r="1106">
      <c r="A1106" s="3" t="s">
        <v>94</v>
      </c>
      <c r="B1106" s="3">
        <v>18.0</v>
      </c>
      <c r="C1106" s="3">
        <v>22.3</v>
      </c>
      <c r="D1106" s="3">
        <v>158.0</v>
      </c>
      <c r="E1106" s="3">
        <v>4.9</v>
      </c>
      <c r="F1106" s="3">
        <v>48.17</v>
      </c>
      <c r="G1106" s="3">
        <v>124.21</v>
      </c>
      <c r="H1106" s="3">
        <v>0.0</v>
      </c>
      <c r="I1106" s="3">
        <v>1.41</v>
      </c>
      <c r="J1106" s="3">
        <v>0.0</v>
      </c>
      <c r="K1106" s="4">
        <f t="shared" si="1"/>
        <v>17748.473</v>
      </c>
      <c r="L1106" s="4">
        <f t="shared" si="2"/>
        <v>1.406543538</v>
      </c>
    </row>
    <row r="1107">
      <c r="A1107" s="3" t="s">
        <v>94</v>
      </c>
      <c r="B1107" s="3">
        <v>18.0</v>
      </c>
      <c r="C1107" s="3">
        <v>27.52</v>
      </c>
      <c r="D1107" s="3">
        <v>168.0</v>
      </c>
      <c r="E1107" s="3">
        <v>10.6</v>
      </c>
      <c r="F1107" s="3">
        <v>42.67</v>
      </c>
      <c r="G1107" s="3">
        <v>109.5</v>
      </c>
      <c r="H1107" s="3">
        <v>0.0</v>
      </c>
      <c r="I1107" s="3">
        <v>0.29</v>
      </c>
      <c r="J1107" s="3">
        <v>0.0</v>
      </c>
      <c r="K1107" s="4">
        <f t="shared" si="1"/>
        <v>13810.9789</v>
      </c>
      <c r="L1107" s="4">
        <f t="shared" si="2"/>
        <v>2.043591566</v>
      </c>
    </row>
    <row r="1108">
      <c r="A1108" s="3" t="s">
        <v>94</v>
      </c>
      <c r="B1108" s="3">
        <v>18.0</v>
      </c>
      <c r="C1108" s="3">
        <v>30.08</v>
      </c>
      <c r="D1108" s="3">
        <v>169.0</v>
      </c>
      <c r="E1108" s="3">
        <v>10.6</v>
      </c>
      <c r="F1108" s="3">
        <v>40.52</v>
      </c>
      <c r="G1108" s="3">
        <v>103.96</v>
      </c>
      <c r="H1108" s="3">
        <v>0.0</v>
      </c>
      <c r="I1108" s="3">
        <v>0.14</v>
      </c>
      <c r="J1108" s="3">
        <v>0.0</v>
      </c>
      <c r="K1108" s="4">
        <f t="shared" si="1"/>
        <v>12449.552</v>
      </c>
      <c r="L1108" s="4">
        <f t="shared" si="2"/>
        <v>2.294138777</v>
      </c>
    </row>
    <row r="1109">
      <c r="A1109" s="3" t="s">
        <v>94</v>
      </c>
      <c r="B1109" s="3">
        <v>18.0</v>
      </c>
      <c r="C1109" s="3">
        <v>32.52</v>
      </c>
      <c r="D1109" s="3">
        <v>167.0</v>
      </c>
      <c r="E1109" s="3">
        <v>15.2</v>
      </c>
      <c r="F1109" s="3">
        <v>39.01</v>
      </c>
      <c r="G1109" s="3">
        <v>99.53</v>
      </c>
      <c r="H1109" s="3">
        <v>0.0</v>
      </c>
      <c r="I1109" s="3">
        <v>0.0</v>
      </c>
      <c r="J1109" s="3">
        <v>0.0</v>
      </c>
      <c r="K1109" s="4">
        <f t="shared" si="1"/>
        <v>11428.001</v>
      </c>
      <c r="L1109" s="4">
        <f t="shared" si="2"/>
        <v>2.440409307</v>
      </c>
    </row>
    <row r="1110">
      <c r="A1110" s="3" t="s">
        <v>18</v>
      </c>
      <c r="B1110" s="3">
        <v>3.21</v>
      </c>
      <c r="C1110" s="3">
        <v>0.23</v>
      </c>
      <c r="D1110" s="3">
        <v>13.1</v>
      </c>
      <c r="E1110" s="3">
        <v>2.19</v>
      </c>
      <c r="F1110" s="3">
        <v>2.45</v>
      </c>
      <c r="G1110" s="3">
        <v>11.6</v>
      </c>
      <c r="H1110" s="3">
        <v>0.0</v>
      </c>
      <c r="I1110" s="3">
        <v>35.93</v>
      </c>
      <c r="J1110" s="3">
        <v>0.0</v>
      </c>
      <c r="K1110" s="4">
        <f t="shared" si="1"/>
        <v>140.5625</v>
      </c>
      <c r="L1110" s="4">
        <f t="shared" si="2"/>
        <v>1.220880391</v>
      </c>
    </row>
    <row r="1111">
      <c r="A1111" s="3" t="s">
        <v>18</v>
      </c>
      <c r="B1111" s="3">
        <v>3.21</v>
      </c>
      <c r="C1111" s="3">
        <v>0.47</v>
      </c>
      <c r="D1111" s="3">
        <v>17.3</v>
      </c>
      <c r="E1111" s="3">
        <v>2.39</v>
      </c>
      <c r="F1111" s="3">
        <v>4.75</v>
      </c>
      <c r="G1111" s="3">
        <v>13.88</v>
      </c>
      <c r="H1111" s="3">
        <v>0.0</v>
      </c>
      <c r="I1111" s="3">
        <v>9.96</v>
      </c>
      <c r="J1111" s="3">
        <v>0.0</v>
      </c>
      <c r="K1111" s="4">
        <f t="shared" si="1"/>
        <v>215.2169</v>
      </c>
      <c r="L1111" s="4">
        <f t="shared" si="2"/>
        <v>1.390643579</v>
      </c>
    </row>
    <row r="1112">
      <c r="A1112" s="3" t="s">
        <v>18</v>
      </c>
      <c r="B1112" s="3">
        <v>3.21</v>
      </c>
      <c r="C1112" s="3">
        <v>0.7</v>
      </c>
      <c r="D1112" s="3">
        <v>23.6</v>
      </c>
      <c r="E1112" s="3">
        <v>2.21</v>
      </c>
      <c r="F1112" s="3">
        <v>6.71</v>
      </c>
      <c r="G1112" s="3">
        <v>13.02</v>
      </c>
      <c r="H1112" s="3">
        <v>0.0</v>
      </c>
      <c r="I1112" s="3">
        <v>2.76</v>
      </c>
      <c r="J1112" s="3">
        <v>0.0</v>
      </c>
      <c r="K1112" s="4">
        <f t="shared" si="1"/>
        <v>214.5445</v>
      </c>
      <c r="L1112" s="4">
        <f t="shared" si="2"/>
        <v>2.59601155</v>
      </c>
    </row>
    <row r="1113">
      <c r="A1113" s="3" t="s">
        <v>18</v>
      </c>
      <c r="B1113" s="3">
        <v>3.21</v>
      </c>
      <c r="C1113" s="3">
        <v>0.93</v>
      </c>
      <c r="D1113" s="3">
        <v>26.2</v>
      </c>
      <c r="E1113" s="3">
        <v>2.21</v>
      </c>
      <c r="F1113" s="3">
        <v>7.8</v>
      </c>
      <c r="G1113" s="3">
        <v>11.93</v>
      </c>
      <c r="H1113" s="3">
        <v>0.0</v>
      </c>
      <c r="I1113" s="3">
        <v>1.21</v>
      </c>
      <c r="J1113" s="3">
        <v>0.0</v>
      </c>
      <c r="K1113" s="4">
        <f t="shared" si="1"/>
        <v>203.1649</v>
      </c>
      <c r="L1113" s="4">
        <f t="shared" si="2"/>
        <v>3.378733236</v>
      </c>
    </row>
    <row r="1114">
      <c r="A1114" s="3" t="s">
        <v>18</v>
      </c>
      <c r="B1114" s="3">
        <v>3.21</v>
      </c>
      <c r="C1114" s="3">
        <v>1.17</v>
      </c>
      <c r="D1114" s="3">
        <v>27.4</v>
      </c>
      <c r="E1114" s="3">
        <v>2.24</v>
      </c>
      <c r="F1114" s="3">
        <v>8.39</v>
      </c>
      <c r="G1114" s="3">
        <v>10.78</v>
      </c>
      <c r="H1114" s="3">
        <v>0.0</v>
      </c>
      <c r="I1114" s="3">
        <v>0.32</v>
      </c>
      <c r="J1114" s="3">
        <v>0.0</v>
      </c>
      <c r="K1114" s="4">
        <f t="shared" si="1"/>
        <v>186.6005</v>
      </c>
      <c r="L1114" s="4">
        <f t="shared" si="2"/>
        <v>4.023354707</v>
      </c>
    </row>
    <row r="1115">
      <c r="A1115" s="3" t="s">
        <v>18</v>
      </c>
      <c r="B1115" s="3">
        <v>3.21</v>
      </c>
      <c r="C1115" s="3">
        <v>1.4</v>
      </c>
      <c r="D1115" s="3">
        <v>26.9</v>
      </c>
      <c r="E1115" s="3">
        <v>2.23</v>
      </c>
      <c r="F1115" s="3">
        <v>8.84</v>
      </c>
      <c r="G1115" s="3">
        <v>9.72</v>
      </c>
      <c r="H1115" s="3">
        <v>0.0</v>
      </c>
      <c r="I1115" s="3">
        <v>0.1</v>
      </c>
      <c r="J1115" s="3">
        <v>0.0</v>
      </c>
      <c r="K1115" s="4">
        <f t="shared" si="1"/>
        <v>172.624</v>
      </c>
      <c r="L1115" s="4">
        <f t="shared" si="2"/>
        <v>4.191827324</v>
      </c>
    </row>
    <row r="1116">
      <c r="A1116" s="3" t="s">
        <v>18</v>
      </c>
      <c r="B1116" s="3">
        <v>3.21</v>
      </c>
      <c r="C1116" s="3">
        <v>1.64</v>
      </c>
      <c r="D1116" s="3">
        <v>27.4</v>
      </c>
      <c r="E1116" s="3">
        <v>2.21</v>
      </c>
      <c r="F1116" s="3">
        <v>9.23</v>
      </c>
      <c r="G1116" s="3">
        <v>8.89</v>
      </c>
      <c r="H1116" s="3">
        <v>0.0</v>
      </c>
      <c r="I1116" s="3">
        <v>0.03</v>
      </c>
      <c r="J1116" s="3">
        <v>0.0</v>
      </c>
      <c r="K1116" s="4">
        <f t="shared" si="1"/>
        <v>164.225</v>
      </c>
      <c r="L1116" s="4">
        <f t="shared" si="2"/>
        <v>4.571532958</v>
      </c>
    </row>
    <row r="1117">
      <c r="A1117" s="3" t="s">
        <v>18</v>
      </c>
      <c r="B1117" s="3">
        <v>3.21</v>
      </c>
      <c r="C1117" s="3">
        <v>1.87</v>
      </c>
      <c r="D1117" s="3">
        <v>31.0</v>
      </c>
      <c r="E1117" s="3">
        <v>2.2</v>
      </c>
      <c r="F1117" s="3">
        <v>9.41</v>
      </c>
      <c r="G1117" s="3">
        <v>8.25</v>
      </c>
      <c r="H1117" s="3">
        <v>0.0</v>
      </c>
      <c r="I1117" s="3">
        <v>0.01</v>
      </c>
      <c r="J1117" s="3">
        <v>0.0</v>
      </c>
      <c r="K1117" s="4">
        <f t="shared" si="1"/>
        <v>156.6106</v>
      </c>
      <c r="L1117" s="4">
        <f t="shared" si="2"/>
        <v>6.136238543</v>
      </c>
    </row>
    <row r="1118">
      <c r="A1118" s="3" t="s">
        <v>18</v>
      </c>
      <c r="B1118" s="3">
        <v>3.21</v>
      </c>
      <c r="C1118" s="3">
        <v>2.1</v>
      </c>
      <c r="D1118" s="3">
        <v>32.5</v>
      </c>
      <c r="E1118" s="3">
        <v>2.19</v>
      </c>
      <c r="F1118" s="3">
        <v>9.55</v>
      </c>
      <c r="G1118" s="3">
        <v>7.73</v>
      </c>
      <c r="H1118" s="3">
        <v>0.0</v>
      </c>
      <c r="I1118" s="3">
        <v>0.0</v>
      </c>
      <c r="J1118" s="3">
        <v>0.0</v>
      </c>
      <c r="K1118" s="4">
        <f t="shared" si="1"/>
        <v>150.9554</v>
      </c>
      <c r="L1118" s="4">
        <f t="shared" si="2"/>
        <v>6.997099806</v>
      </c>
    </row>
    <row r="1119">
      <c r="A1119" s="3" t="s">
        <v>18</v>
      </c>
      <c r="B1119" s="3">
        <v>3.21</v>
      </c>
      <c r="C1119" s="3">
        <v>2.33</v>
      </c>
      <c r="D1119" s="3">
        <v>33.0</v>
      </c>
      <c r="E1119" s="3">
        <v>2.19</v>
      </c>
      <c r="F1119" s="3">
        <v>10.05</v>
      </c>
      <c r="G1119" s="3">
        <v>7.3</v>
      </c>
      <c r="H1119" s="3">
        <v>0.0</v>
      </c>
      <c r="I1119" s="3">
        <v>0.0</v>
      </c>
      <c r="J1119" s="3">
        <v>0.0</v>
      </c>
      <c r="K1119" s="4">
        <f t="shared" si="1"/>
        <v>154.2925</v>
      </c>
      <c r="L1119" s="4">
        <f t="shared" si="2"/>
        <v>7.058022911</v>
      </c>
    </row>
    <row r="1120">
      <c r="A1120" s="3" t="s">
        <v>18</v>
      </c>
      <c r="B1120" s="3">
        <v>3.21</v>
      </c>
      <c r="C1120" s="3">
        <v>2.57</v>
      </c>
      <c r="D1120" s="3">
        <v>36.5</v>
      </c>
      <c r="E1120" s="3">
        <v>2.2</v>
      </c>
      <c r="F1120" s="3">
        <v>10.65</v>
      </c>
      <c r="G1120" s="3">
        <v>6.92</v>
      </c>
      <c r="H1120" s="3">
        <v>0.0</v>
      </c>
      <c r="I1120" s="3">
        <v>0.0</v>
      </c>
      <c r="J1120" s="3">
        <v>0.0</v>
      </c>
      <c r="K1120" s="4">
        <f t="shared" si="1"/>
        <v>161.3089</v>
      </c>
      <c r="L1120" s="4">
        <f t="shared" si="2"/>
        <v>8.258998729</v>
      </c>
    </row>
    <row r="1121">
      <c r="A1121" s="3" t="s">
        <v>18</v>
      </c>
      <c r="B1121" s="3">
        <v>3.21</v>
      </c>
      <c r="C1121" s="3">
        <v>2.8</v>
      </c>
      <c r="D1121" s="3">
        <v>38.9</v>
      </c>
      <c r="E1121" s="3">
        <v>2.21</v>
      </c>
      <c r="F1121" s="3">
        <v>11.28</v>
      </c>
      <c r="G1121" s="3">
        <v>6.62</v>
      </c>
      <c r="H1121" s="3">
        <v>0.0</v>
      </c>
      <c r="I1121" s="3">
        <v>0.0</v>
      </c>
      <c r="J1121" s="3">
        <v>0.0</v>
      </c>
      <c r="K1121" s="4">
        <f t="shared" si="1"/>
        <v>171.0628</v>
      </c>
      <c r="L1121" s="4">
        <f t="shared" si="2"/>
        <v>8.845932605</v>
      </c>
    </row>
    <row r="1122">
      <c r="A1122" s="3" t="s">
        <v>18</v>
      </c>
      <c r="B1122" s="3">
        <v>3.21</v>
      </c>
      <c r="C1122" s="3">
        <v>3.26</v>
      </c>
      <c r="D1122" s="3">
        <v>41.5</v>
      </c>
      <c r="E1122" s="3">
        <v>2.21</v>
      </c>
      <c r="F1122" s="3">
        <v>12.0</v>
      </c>
      <c r="G1122" s="3">
        <v>6.11</v>
      </c>
      <c r="H1122" s="3">
        <v>0.0</v>
      </c>
      <c r="I1122" s="3">
        <v>0.0</v>
      </c>
      <c r="J1122" s="3">
        <v>0.0</v>
      </c>
      <c r="K1122" s="4">
        <f t="shared" si="1"/>
        <v>181.3321</v>
      </c>
      <c r="L1122" s="4">
        <f t="shared" si="2"/>
        <v>9.497766805</v>
      </c>
    </row>
    <row r="1123">
      <c r="A1123" s="3" t="s">
        <v>18</v>
      </c>
      <c r="B1123" s="3">
        <v>3.21</v>
      </c>
      <c r="C1123" s="3">
        <v>3.73</v>
      </c>
      <c r="D1123" s="3">
        <v>42.7</v>
      </c>
      <c r="E1123" s="3">
        <v>2.2</v>
      </c>
      <c r="F1123" s="3">
        <v>12.41</v>
      </c>
      <c r="G1123" s="3">
        <v>5.7</v>
      </c>
      <c r="H1123" s="3">
        <v>0.0</v>
      </c>
      <c r="I1123" s="3">
        <v>0.0</v>
      </c>
      <c r="J1123" s="3">
        <v>0.0</v>
      </c>
      <c r="K1123" s="4">
        <f t="shared" si="1"/>
        <v>186.4981</v>
      </c>
      <c r="L1123" s="4">
        <f t="shared" si="2"/>
        <v>9.776453487</v>
      </c>
    </row>
    <row r="1124">
      <c r="A1124" s="3" t="s">
        <v>18</v>
      </c>
      <c r="B1124" s="3">
        <v>3.21</v>
      </c>
      <c r="C1124" s="3">
        <v>4.21</v>
      </c>
      <c r="D1124" s="3">
        <v>44.7</v>
      </c>
      <c r="E1124" s="3">
        <v>2.22</v>
      </c>
      <c r="F1124" s="3">
        <v>13.14</v>
      </c>
      <c r="G1124" s="3">
        <v>5.36</v>
      </c>
      <c r="H1124" s="3">
        <v>0.0</v>
      </c>
      <c r="I1124" s="3">
        <v>0.0</v>
      </c>
      <c r="J1124" s="3">
        <v>0.0</v>
      </c>
      <c r="K1124" s="4">
        <f t="shared" si="1"/>
        <v>201.3892</v>
      </c>
      <c r="L1124" s="4">
        <f t="shared" si="2"/>
        <v>9.921535018</v>
      </c>
    </row>
    <row r="1125">
      <c r="A1125" s="3" t="s">
        <v>18</v>
      </c>
      <c r="B1125" s="3">
        <v>3.21</v>
      </c>
      <c r="C1125" s="3">
        <v>4.67</v>
      </c>
      <c r="D1125" s="3">
        <v>46.7</v>
      </c>
      <c r="E1125" s="3">
        <v>2.24</v>
      </c>
      <c r="F1125" s="3">
        <v>13.55</v>
      </c>
      <c r="G1125" s="3">
        <v>5.09</v>
      </c>
      <c r="H1125" s="3">
        <v>0.0</v>
      </c>
      <c r="I1125" s="3">
        <v>0.0</v>
      </c>
      <c r="J1125" s="3">
        <v>0.0</v>
      </c>
      <c r="K1125" s="4">
        <f t="shared" si="1"/>
        <v>209.5106</v>
      </c>
      <c r="L1125" s="4">
        <f t="shared" si="2"/>
        <v>10.40944945</v>
      </c>
    </row>
    <row r="1126">
      <c r="A1126" s="3" t="s">
        <v>18</v>
      </c>
      <c r="B1126" s="3">
        <v>3.21</v>
      </c>
      <c r="C1126" s="3">
        <v>5.14</v>
      </c>
      <c r="D1126" s="3">
        <v>48.5</v>
      </c>
      <c r="E1126" s="3">
        <v>2.27</v>
      </c>
      <c r="F1126" s="3">
        <v>13.86</v>
      </c>
      <c r="G1126" s="3">
        <v>4.84</v>
      </c>
      <c r="H1126" s="3">
        <v>0.0</v>
      </c>
      <c r="I1126" s="3">
        <v>0.0</v>
      </c>
      <c r="J1126" s="3">
        <v>0.0</v>
      </c>
      <c r="K1126" s="4">
        <f t="shared" si="1"/>
        <v>215.5252</v>
      </c>
      <c r="L1126" s="4">
        <f t="shared" si="2"/>
        <v>10.91403697</v>
      </c>
    </row>
    <row r="1127">
      <c r="A1127" s="3" t="s">
        <v>18</v>
      </c>
      <c r="B1127" s="3">
        <v>3.21</v>
      </c>
      <c r="C1127" s="3">
        <v>5.61</v>
      </c>
      <c r="D1127" s="3">
        <v>50.0</v>
      </c>
      <c r="E1127" s="3">
        <v>2.32</v>
      </c>
      <c r="F1127" s="3">
        <v>13.86</v>
      </c>
      <c r="G1127" s="3">
        <v>4.63</v>
      </c>
      <c r="H1127" s="3">
        <v>0.0</v>
      </c>
      <c r="I1127" s="3">
        <v>0.0</v>
      </c>
      <c r="J1127" s="3">
        <v>0.0</v>
      </c>
      <c r="K1127" s="4">
        <f t="shared" si="1"/>
        <v>213.5365</v>
      </c>
      <c r="L1127" s="4">
        <f t="shared" si="2"/>
        <v>11.70760034</v>
      </c>
    </row>
    <row r="1128">
      <c r="A1128" s="3" t="s">
        <v>18</v>
      </c>
      <c r="B1128" s="3">
        <v>3.21</v>
      </c>
      <c r="C1128" s="3">
        <v>6.07</v>
      </c>
      <c r="D1128" s="3">
        <v>50.2</v>
      </c>
      <c r="E1128" s="3">
        <v>2.4</v>
      </c>
      <c r="F1128" s="3">
        <v>13.76</v>
      </c>
      <c r="G1128" s="3">
        <v>4.45</v>
      </c>
      <c r="H1128" s="3">
        <v>0.0</v>
      </c>
      <c r="I1128" s="3">
        <v>0.0</v>
      </c>
      <c r="J1128" s="3">
        <v>0.0</v>
      </c>
      <c r="K1128" s="4">
        <f t="shared" si="1"/>
        <v>209.1401</v>
      </c>
      <c r="L1128" s="4">
        <f t="shared" si="2"/>
        <v>12.04953043</v>
      </c>
    </row>
    <row r="1129">
      <c r="A1129" s="3" t="s">
        <v>18</v>
      </c>
      <c r="B1129" s="3">
        <v>3.21</v>
      </c>
      <c r="C1129" s="3">
        <v>6.54</v>
      </c>
      <c r="D1129" s="3">
        <v>50.1</v>
      </c>
      <c r="E1129" s="3">
        <v>2.57</v>
      </c>
      <c r="F1129" s="3">
        <v>13.55</v>
      </c>
      <c r="G1129" s="3">
        <v>4.29</v>
      </c>
      <c r="H1129" s="3">
        <v>0.0</v>
      </c>
      <c r="I1129" s="3">
        <v>0.0</v>
      </c>
      <c r="J1129" s="3">
        <v>0.0</v>
      </c>
      <c r="K1129" s="4">
        <f t="shared" si="1"/>
        <v>202.0066</v>
      </c>
      <c r="L1129" s="4">
        <f t="shared" si="2"/>
        <v>12.4253861</v>
      </c>
    </row>
    <row r="1130">
      <c r="A1130" s="3" t="s">
        <v>18</v>
      </c>
      <c r="B1130" s="3">
        <v>3.21</v>
      </c>
      <c r="C1130" s="3">
        <v>7.0</v>
      </c>
      <c r="D1130" s="3">
        <v>51.6</v>
      </c>
      <c r="E1130" s="3">
        <v>3.24</v>
      </c>
      <c r="F1130" s="3">
        <v>13.34</v>
      </c>
      <c r="G1130" s="3">
        <v>4.14</v>
      </c>
      <c r="H1130" s="3">
        <v>0.0</v>
      </c>
      <c r="I1130" s="3">
        <v>0.0</v>
      </c>
      <c r="J1130" s="3">
        <v>0.0</v>
      </c>
      <c r="K1130" s="4">
        <f t="shared" si="1"/>
        <v>195.0952</v>
      </c>
      <c r="L1130" s="4">
        <f t="shared" si="2"/>
        <v>13.64749107</v>
      </c>
    </row>
    <row r="1131">
      <c r="A1131" s="3" t="s">
        <v>95</v>
      </c>
      <c r="B1131" s="3">
        <v>18.0</v>
      </c>
      <c r="C1131" s="3">
        <v>1.74</v>
      </c>
      <c r="D1131" s="3">
        <v>87.5</v>
      </c>
      <c r="E1131" s="3">
        <v>9.4</v>
      </c>
      <c r="F1131" s="3">
        <v>11.85</v>
      </c>
      <c r="G1131" s="3">
        <v>126.23</v>
      </c>
      <c r="H1131" s="3">
        <v>0.0</v>
      </c>
      <c r="I1131" s="3">
        <v>363.15</v>
      </c>
      <c r="J1131" s="3">
        <v>0.0</v>
      </c>
      <c r="K1131" s="4">
        <f t="shared" si="1"/>
        <v>16074.4354</v>
      </c>
      <c r="L1131" s="4">
        <f t="shared" si="2"/>
        <v>0.4762997772</v>
      </c>
    </row>
    <row r="1132">
      <c r="A1132" s="3" t="s">
        <v>95</v>
      </c>
      <c r="B1132" s="3">
        <v>18.0</v>
      </c>
      <c r="C1132" s="3">
        <v>3.5</v>
      </c>
      <c r="D1132" s="3">
        <v>106.0</v>
      </c>
      <c r="E1132" s="3">
        <v>7.1</v>
      </c>
      <c r="F1132" s="3">
        <v>22.09</v>
      </c>
      <c r="G1132" s="3">
        <v>136.2</v>
      </c>
      <c r="H1132" s="3">
        <v>0.0</v>
      </c>
      <c r="I1132" s="3">
        <v>106.15</v>
      </c>
      <c r="J1132" s="3">
        <v>0.0</v>
      </c>
      <c r="K1132" s="4">
        <f t="shared" si="1"/>
        <v>19038.4081</v>
      </c>
      <c r="L1132" s="4">
        <f t="shared" si="2"/>
        <v>0.5901753939</v>
      </c>
    </row>
    <row r="1133">
      <c r="A1133" s="3" t="s">
        <v>95</v>
      </c>
      <c r="B1133" s="3">
        <v>18.0</v>
      </c>
      <c r="C1133" s="3">
        <v>5.24</v>
      </c>
      <c r="D1133" s="3">
        <v>116.0</v>
      </c>
      <c r="E1133" s="3">
        <v>5.3</v>
      </c>
      <c r="F1133" s="3">
        <v>28.99</v>
      </c>
      <c r="G1133" s="3">
        <v>123.81</v>
      </c>
      <c r="H1133" s="3">
        <v>0.0</v>
      </c>
      <c r="I1133" s="3">
        <v>34.23</v>
      </c>
      <c r="J1133" s="3">
        <v>0.0</v>
      </c>
      <c r="K1133" s="4">
        <f t="shared" si="1"/>
        <v>16169.3362</v>
      </c>
      <c r="L1133" s="4">
        <f t="shared" si="2"/>
        <v>0.8321924805</v>
      </c>
    </row>
    <row r="1134">
      <c r="A1134" s="3" t="s">
        <v>95</v>
      </c>
      <c r="B1134" s="3">
        <v>18.0</v>
      </c>
      <c r="C1134" s="3">
        <v>6.98</v>
      </c>
      <c r="D1134" s="3">
        <v>125.0</v>
      </c>
      <c r="E1134" s="3">
        <v>5.7</v>
      </c>
      <c r="F1134" s="3">
        <v>34.81</v>
      </c>
      <c r="G1134" s="3">
        <v>109.91</v>
      </c>
      <c r="H1134" s="3">
        <v>0.0</v>
      </c>
      <c r="I1134" s="3">
        <v>11.25</v>
      </c>
      <c r="J1134" s="3">
        <v>0.0</v>
      </c>
      <c r="K1134" s="4">
        <f t="shared" si="1"/>
        <v>13291.9442</v>
      </c>
      <c r="L1134" s="4">
        <f t="shared" si="2"/>
        <v>1.175524044</v>
      </c>
    </row>
    <row r="1135">
      <c r="A1135" s="3" t="s">
        <v>95</v>
      </c>
      <c r="B1135" s="3">
        <v>18.0</v>
      </c>
      <c r="C1135" s="3">
        <v>8.72</v>
      </c>
      <c r="D1135" s="3">
        <v>126.0</v>
      </c>
      <c r="E1135" s="3">
        <v>4.4</v>
      </c>
      <c r="F1135" s="3">
        <v>36.96</v>
      </c>
      <c r="G1135" s="3">
        <v>98.62</v>
      </c>
      <c r="H1135" s="3">
        <v>0.0</v>
      </c>
      <c r="I1135" s="3">
        <v>3.98</v>
      </c>
      <c r="J1135" s="3">
        <v>0.0</v>
      </c>
      <c r="K1135" s="4">
        <f t="shared" si="1"/>
        <v>11091.946</v>
      </c>
      <c r="L1135" s="4">
        <f t="shared" si="2"/>
        <v>1.431308807</v>
      </c>
    </row>
    <row r="1136">
      <c r="A1136" s="3" t="s">
        <v>95</v>
      </c>
      <c r="B1136" s="3">
        <v>18.0</v>
      </c>
      <c r="C1136" s="3">
        <v>10.47</v>
      </c>
      <c r="D1136" s="3">
        <v>123.0</v>
      </c>
      <c r="E1136" s="3">
        <v>4.4</v>
      </c>
      <c r="F1136" s="3">
        <v>36.75</v>
      </c>
      <c r="G1136" s="3">
        <v>89.83</v>
      </c>
      <c r="H1136" s="3">
        <v>0.0</v>
      </c>
      <c r="I1136" s="3">
        <v>2.58</v>
      </c>
      <c r="J1136" s="3">
        <v>0.0</v>
      </c>
      <c r="K1136" s="4">
        <f t="shared" si="1"/>
        <v>9419.9914</v>
      </c>
      <c r="L1136" s="4">
        <f t="shared" si="2"/>
        <v>1.606052422</v>
      </c>
    </row>
    <row r="1137">
      <c r="A1137" s="3" t="s">
        <v>95</v>
      </c>
      <c r="B1137" s="3">
        <v>18.0</v>
      </c>
      <c r="C1137" s="3">
        <v>12.31</v>
      </c>
      <c r="D1137" s="3">
        <v>118.0</v>
      </c>
      <c r="E1137" s="3">
        <v>4.6</v>
      </c>
      <c r="F1137" s="3">
        <v>34.7</v>
      </c>
      <c r="G1137" s="3">
        <v>83.14</v>
      </c>
      <c r="H1137" s="3">
        <v>0.0</v>
      </c>
      <c r="I1137" s="3">
        <v>1.42</v>
      </c>
      <c r="J1137" s="3">
        <v>0.0</v>
      </c>
      <c r="K1137" s="4">
        <f t="shared" si="1"/>
        <v>8116.3496</v>
      </c>
      <c r="L1137" s="4">
        <f t="shared" si="2"/>
        <v>1.715549562</v>
      </c>
    </row>
    <row r="1138">
      <c r="A1138" s="3" t="s">
        <v>95</v>
      </c>
      <c r="B1138" s="3">
        <v>18.0</v>
      </c>
      <c r="C1138" s="3">
        <v>14.52</v>
      </c>
      <c r="D1138" s="3">
        <v>115.0</v>
      </c>
      <c r="E1138" s="3">
        <v>6.4</v>
      </c>
      <c r="F1138" s="3">
        <v>34.16</v>
      </c>
      <c r="G1138" s="3">
        <v>76.18</v>
      </c>
      <c r="H1138" s="3">
        <v>0.0</v>
      </c>
      <c r="I1138" s="3">
        <v>0.61</v>
      </c>
      <c r="J1138" s="3">
        <v>0.0</v>
      </c>
      <c r="K1138" s="4">
        <f t="shared" si="1"/>
        <v>6970.298</v>
      </c>
      <c r="L1138" s="4">
        <f t="shared" si="2"/>
        <v>1.897336384</v>
      </c>
    </row>
    <row r="1139">
      <c r="A1139" s="3" t="s">
        <v>95</v>
      </c>
      <c r="B1139" s="3">
        <v>18.0</v>
      </c>
      <c r="C1139" s="3">
        <v>17.07</v>
      </c>
      <c r="D1139" s="3">
        <v>122.0</v>
      </c>
      <c r="E1139" s="3">
        <v>15.2</v>
      </c>
      <c r="F1139" s="3">
        <v>34.92</v>
      </c>
      <c r="G1139" s="3">
        <v>70.2</v>
      </c>
      <c r="H1139" s="3">
        <v>0.0</v>
      </c>
      <c r="I1139" s="3">
        <v>0.41</v>
      </c>
      <c r="J1139" s="3">
        <v>0.0</v>
      </c>
      <c r="K1139" s="4">
        <f t="shared" si="1"/>
        <v>6147.4464</v>
      </c>
      <c r="L1139" s="4">
        <f t="shared" si="2"/>
        <v>2.421167918</v>
      </c>
    </row>
    <row r="1140">
      <c r="A1140" s="3" t="s">
        <v>95</v>
      </c>
      <c r="B1140" s="3">
        <v>18.0</v>
      </c>
      <c r="C1140" s="3">
        <v>31.82</v>
      </c>
      <c r="D1140" s="3">
        <v>121.0</v>
      </c>
      <c r="E1140" s="3">
        <v>10.2</v>
      </c>
      <c r="F1140" s="3">
        <v>33.73</v>
      </c>
      <c r="G1140" s="3">
        <v>50.64</v>
      </c>
      <c r="H1140" s="3">
        <v>0.0</v>
      </c>
      <c r="I1140" s="3">
        <v>0.0</v>
      </c>
      <c r="J1140" s="3">
        <v>0.0</v>
      </c>
      <c r="K1140" s="4">
        <f t="shared" si="1"/>
        <v>3702.1225</v>
      </c>
      <c r="L1140" s="4">
        <f t="shared" si="2"/>
        <v>3.954758385</v>
      </c>
    </row>
    <row r="1141">
      <c r="A1141" s="3" t="s">
        <v>95</v>
      </c>
      <c r="B1141" s="3">
        <v>18.0</v>
      </c>
      <c r="C1141" s="3">
        <v>34.61</v>
      </c>
      <c r="D1141" s="3">
        <v>118.0</v>
      </c>
      <c r="E1141" s="3">
        <v>10.4</v>
      </c>
      <c r="F1141" s="3">
        <v>32.54</v>
      </c>
      <c r="G1141" s="3">
        <v>48.51</v>
      </c>
      <c r="H1141" s="3">
        <v>0.0</v>
      </c>
      <c r="I1141" s="3">
        <v>0.0</v>
      </c>
      <c r="J1141" s="3">
        <v>0.0</v>
      </c>
      <c r="K1141" s="4">
        <f t="shared" si="1"/>
        <v>3412.0717</v>
      </c>
      <c r="L1141" s="4">
        <f t="shared" si="2"/>
        <v>4.080805219</v>
      </c>
    </row>
    <row r="1142">
      <c r="A1142" s="3" t="s">
        <v>95</v>
      </c>
      <c r="B1142" s="3">
        <v>18.0</v>
      </c>
      <c r="C1142" s="3">
        <v>37.16</v>
      </c>
      <c r="D1142" s="3">
        <v>113.0</v>
      </c>
      <c r="E1142" s="3">
        <v>10.5</v>
      </c>
      <c r="F1142" s="3">
        <v>31.57</v>
      </c>
      <c r="G1142" s="3">
        <v>46.75</v>
      </c>
      <c r="H1142" s="3">
        <v>0.0</v>
      </c>
      <c r="I1142" s="3">
        <v>0.0</v>
      </c>
      <c r="J1142" s="3">
        <v>0.0</v>
      </c>
      <c r="K1142" s="4">
        <f t="shared" si="1"/>
        <v>3182.2274</v>
      </c>
      <c r="L1142" s="4">
        <f t="shared" si="2"/>
        <v>4.01259822</v>
      </c>
    </row>
    <row r="1143">
      <c r="A1143" s="3" t="s">
        <v>96</v>
      </c>
      <c r="B1143" s="3">
        <v>18.0</v>
      </c>
      <c r="C1143" s="3">
        <v>0.87</v>
      </c>
      <c r="D1143" s="3">
        <v>37.8</v>
      </c>
      <c r="E1143" s="3">
        <v>9.0</v>
      </c>
      <c r="F1143" s="3">
        <v>0.0</v>
      </c>
      <c r="G1143" s="3">
        <v>101.87</v>
      </c>
      <c r="H1143" s="3">
        <v>0.0</v>
      </c>
      <c r="I1143" s="3">
        <v>753.73</v>
      </c>
      <c r="J1143" s="3">
        <v>0.0</v>
      </c>
      <c r="K1143" s="4">
        <f t="shared" si="1"/>
        <v>10377.4969</v>
      </c>
      <c r="L1143" s="4">
        <f t="shared" si="2"/>
        <v>0.1376863818</v>
      </c>
    </row>
    <row r="1144">
      <c r="A1144" s="3" t="s">
        <v>96</v>
      </c>
      <c r="B1144" s="3">
        <v>18.0</v>
      </c>
      <c r="C1144" s="3">
        <v>1.74</v>
      </c>
      <c r="D1144" s="3">
        <v>80.1</v>
      </c>
      <c r="E1144" s="3">
        <v>9.0</v>
      </c>
      <c r="F1144" s="3">
        <v>0.0</v>
      </c>
      <c r="G1144" s="3">
        <v>114.98</v>
      </c>
      <c r="H1144" s="3">
        <v>0.0</v>
      </c>
      <c r="I1144" s="3">
        <v>473.06</v>
      </c>
      <c r="J1144" s="3">
        <v>0.0</v>
      </c>
      <c r="K1144" s="4">
        <f t="shared" si="1"/>
        <v>13220.4004</v>
      </c>
      <c r="L1144" s="4">
        <f t="shared" si="2"/>
        <v>0.4853113223</v>
      </c>
    </row>
    <row r="1145">
      <c r="A1145" s="3" t="s">
        <v>96</v>
      </c>
      <c r="B1145" s="3">
        <v>18.0</v>
      </c>
      <c r="C1145" s="3">
        <v>2.61</v>
      </c>
      <c r="D1145" s="3">
        <v>121.0</v>
      </c>
      <c r="E1145" s="3">
        <v>8.5</v>
      </c>
      <c r="F1145" s="3">
        <v>0.0</v>
      </c>
      <c r="G1145" s="3">
        <v>122.0</v>
      </c>
      <c r="H1145" s="3">
        <v>0.0</v>
      </c>
      <c r="I1145" s="3">
        <v>368.22</v>
      </c>
      <c r="J1145" s="3">
        <v>0.0</v>
      </c>
      <c r="K1145" s="4">
        <f t="shared" si="1"/>
        <v>14884</v>
      </c>
      <c r="L1145" s="4">
        <f t="shared" si="2"/>
        <v>0.9836737436</v>
      </c>
    </row>
    <row r="1146">
      <c r="A1146" s="3" t="s">
        <v>96</v>
      </c>
      <c r="B1146" s="3">
        <v>18.0</v>
      </c>
      <c r="C1146" s="3">
        <v>3.5</v>
      </c>
      <c r="D1146" s="3">
        <v>142.0</v>
      </c>
      <c r="E1146" s="3">
        <v>7.3</v>
      </c>
      <c r="F1146" s="3">
        <v>8.66</v>
      </c>
      <c r="G1146" s="3">
        <v>132.74</v>
      </c>
      <c r="H1146" s="3">
        <v>0.0</v>
      </c>
      <c r="I1146" s="3">
        <v>317.36</v>
      </c>
      <c r="J1146" s="3">
        <v>0.0</v>
      </c>
      <c r="K1146" s="4">
        <f t="shared" si="1"/>
        <v>17694.9032</v>
      </c>
      <c r="L1146" s="4">
        <f t="shared" si="2"/>
        <v>1.139537175</v>
      </c>
    </row>
    <row r="1147">
      <c r="A1147" s="3" t="s">
        <v>96</v>
      </c>
      <c r="B1147" s="3">
        <v>18.0</v>
      </c>
      <c r="C1147" s="3">
        <v>4.37</v>
      </c>
      <c r="D1147" s="3">
        <v>153.0</v>
      </c>
      <c r="E1147" s="3">
        <v>6.2</v>
      </c>
      <c r="F1147" s="3">
        <v>14.44</v>
      </c>
      <c r="G1147" s="3">
        <v>143.94</v>
      </c>
      <c r="H1147" s="3">
        <v>0.0</v>
      </c>
      <c r="I1147" s="3">
        <v>289.49</v>
      </c>
      <c r="J1147" s="3">
        <v>0.0</v>
      </c>
      <c r="K1147" s="4">
        <f t="shared" si="1"/>
        <v>20927.2372</v>
      </c>
      <c r="L1147" s="4">
        <f t="shared" si="2"/>
        <v>1.118590083</v>
      </c>
    </row>
    <row r="1148">
      <c r="A1148" s="3" t="s">
        <v>96</v>
      </c>
      <c r="B1148" s="3">
        <v>18.0</v>
      </c>
      <c r="C1148" s="3">
        <v>5.24</v>
      </c>
      <c r="D1148" s="3">
        <v>160.0</v>
      </c>
      <c r="E1148" s="3">
        <v>5.3</v>
      </c>
      <c r="F1148" s="3">
        <v>18.43</v>
      </c>
      <c r="G1148" s="3">
        <v>159.88</v>
      </c>
      <c r="H1148" s="3">
        <v>0.0</v>
      </c>
      <c r="I1148" s="3">
        <v>271.83</v>
      </c>
      <c r="J1148" s="3">
        <v>0.0</v>
      </c>
      <c r="K1148" s="4">
        <f t="shared" si="1"/>
        <v>25901.2793</v>
      </c>
      <c r="L1148" s="4">
        <f t="shared" si="2"/>
        <v>0.9883681691</v>
      </c>
    </row>
    <row r="1149">
      <c r="A1149" s="3" t="s">
        <v>96</v>
      </c>
      <c r="B1149" s="3">
        <v>18.0</v>
      </c>
      <c r="C1149" s="3">
        <v>6.11</v>
      </c>
      <c r="D1149" s="3">
        <v>162.0</v>
      </c>
      <c r="E1149" s="3">
        <v>5.3</v>
      </c>
      <c r="F1149" s="3">
        <v>22.09</v>
      </c>
      <c r="G1149" s="3">
        <v>181.37</v>
      </c>
      <c r="H1149" s="3">
        <v>0.0</v>
      </c>
      <c r="I1149" s="3">
        <v>236.6</v>
      </c>
      <c r="J1149" s="3">
        <v>0.0</v>
      </c>
      <c r="K1149" s="4">
        <f t="shared" si="1"/>
        <v>33383.045</v>
      </c>
      <c r="L1149" s="4">
        <f t="shared" si="2"/>
        <v>0.7861475788</v>
      </c>
    </row>
    <row r="1150">
      <c r="A1150" s="3" t="s">
        <v>96</v>
      </c>
      <c r="B1150" s="3">
        <v>18.0</v>
      </c>
      <c r="C1150" s="3">
        <v>6.98</v>
      </c>
      <c r="D1150" s="3">
        <v>167.0</v>
      </c>
      <c r="E1150" s="3">
        <v>4.5</v>
      </c>
      <c r="F1150" s="3">
        <v>25.11</v>
      </c>
      <c r="G1150" s="3">
        <v>193.57</v>
      </c>
      <c r="H1150" s="3">
        <v>0.0</v>
      </c>
      <c r="I1150" s="3">
        <v>173.2</v>
      </c>
      <c r="J1150" s="3">
        <v>0.0</v>
      </c>
      <c r="K1150" s="4">
        <f t="shared" si="1"/>
        <v>38099.857</v>
      </c>
      <c r="L1150" s="4">
        <f t="shared" si="2"/>
        <v>0.731997498</v>
      </c>
    </row>
    <row r="1151">
      <c r="A1151" s="3" t="s">
        <v>96</v>
      </c>
      <c r="B1151" s="3">
        <v>18.0</v>
      </c>
      <c r="C1151" s="3">
        <v>7.85</v>
      </c>
      <c r="D1151" s="3">
        <v>169.0</v>
      </c>
      <c r="E1151" s="3">
        <v>5.3</v>
      </c>
      <c r="F1151" s="3">
        <v>26.73</v>
      </c>
      <c r="G1151" s="3">
        <v>197.84</v>
      </c>
      <c r="H1151" s="3">
        <v>0.0</v>
      </c>
      <c r="I1151" s="3">
        <v>132.05</v>
      </c>
      <c r="J1151" s="3">
        <v>0.0</v>
      </c>
      <c r="K1151" s="4">
        <f t="shared" si="1"/>
        <v>39855.1585</v>
      </c>
      <c r="L1151" s="4">
        <f t="shared" si="2"/>
        <v>0.7166199076</v>
      </c>
    </row>
    <row r="1152">
      <c r="A1152" s="3" t="s">
        <v>96</v>
      </c>
      <c r="B1152" s="3">
        <v>18.0</v>
      </c>
      <c r="C1152" s="3">
        <v>8.72</v>
      </c>
      <c r="D1152" s="3">
        <v>171.0</v>
      </c>
      <c r="E1152" s="3">
        <v>4.9</v>
      </c>
      <c r="F1152" s="3">
        <v>28.23</v>
      </c>
      <c r="G1152" s="3">
        <v>200.86</v>
      </c>
      <c r="H1152" s="3">
        <v>0.0</v>
      </c>
      <c r="I1152" s="3">
        <v>101.24</v>
      </c>
      <c r="J1152" s="3">
        <v>0.0</v>
      </c>
      <c r="K1152" s="4">
        <f t="shared" si="1"/>
        <v>41141.6725</v>
      </c>
      <c r="L1152" s="4">
        <f t="shared" si="2"/>
        <v>0.7107392146</v>
      </c>
    </row>
    <row r="1153">
      <c r="A1153" s="3" t="s">
        <v>96</v>
      </c>
      <c r="B1153" s="3">
        <v>18.0</v>
      </c>
      <c r="C1153" s="3">
        <v>9.6</v>
      </c>
      <c r="D1153" s="3">
        <v>171.0</v>
      </c>
      <c r="E1153" s="3">
        <v>4.9</v>
      </c>
      <c r="F1153" s="3">
        <v>29.63</v>
      </c>
      <c r="G1153" s="3">
        <v>201.7</v>
      </c>
      <c r="H1153" s="3">
        <v>0.0</v>
      </c>
      <c r="I1153" s="3">
        <v>66.99</v>
      </c>
      <c r="J1153" s="3">
        <v>0.0</v>
      </c>
      <c r="K1153" s="4">
        <f t="shared" si="1"/>
        <v>41560.8269</v>
      </c>
      <c r="L1153" s="4">
        <f t="shared" si="2"/>
        <v>0.7035711794</v>
      </c>
    </row>
    <row r="1154">
      <c r="A1154" s="3" t="s">
        <v>96</v>
      </c>
      <c r="B1154" s="3">
        <v>18.0</v>
      </c>
      <c r="C1154" s="3">
        <v>10.47</v>
      </c>
      <c r="D1154" s="3">
        <v>170.0</v>
      </c>
      <c r="E1154" s="3">
        <v>5.7</v>
      </c>
      <c r="F1154" s="3">
        <v>30.28</v>
      </c>
      <c r="G1154" s="3">
        <v>195.05</v>
      </c>
      <c r="H1154" s="3">
        <v>0.0</v>
      </c>
      <c r="I1154" s="3">
        <v>43.34</v>
      </c>
      <c r="J1154" s="3">
        <v>0.0</v>
      </c>
      <c r="K1154" s="4">
        <f t="shared" si="1"/>
        <v>38961.3809</v>
      </c>
      <c r="L1154" s="4">
        <f t="shared" si="2"/>
        <v>0.7417601567</v>
      </c>
    </row>
    <row r="1155">
      <c r="A1155" s="3" t="s">
        <v>96</v>
      </c>
      <c r="B1155" s="3">
        <v>18.0</v>
      </c>
      <c r="C1155" s="3">
        <v>11.35</v>
      </c>
      <c r="D1155" s="3">
        <v>169.0</v>
      </c>
      <c r="E1155" s="3">
        <v>7.0</v>
      </c>
      <c r="F1155" s="3">
        <v>30.28</v>
      </c>
      <c r="G1155" s="3">
        <v>189.75</v>
      </c>
      <c r="H1155" s="3">
        <v>0.0</v>
      </c>
      <c r="I1155" s="3">
        <v>31.05</v>
      </c>
      <c r="J1155" s="3">
        <v>0.0</v>
      </c>
      <c r="K1155" s="4">
        <f t="shared" si="1"/>
        <v>36921.9409</v>
      </c>
      <c r="L1155" s="4">
        <f t="shared" si="2"/>
        <v>0.7735508834</v>
      </c>
    </row>
    <row r="1156">
      <c r="A1156" s="3" t="s">
        <v>97</v>
      </c>
      <c r="B1156" s="3">
        <v>18.0</v>
      </c>
      <c r="C1156" s="3">
        <v>1.74</v>
      </c>
      <c r="D1156" s="3">
        <v>145.0</v>
      </c>
      <c r="E1156" s="3">
        <v>6.8</v>
      </c>
      <c r="F1156" s="3">
        <v>17.89</v>
      </c>
      <c r="G1156" s="3">
        <v>202.16</v>
      </c>
      <c r="H1156" s="3">
        <v>0.0</v>
      </c>
      <c r="I1156" s="3">
        <v>1038.77</v>
      </c>
      <c r="J1156" s="3">
        <v>0.0</v>
      </c>
      <c r="K1156" s="4">
        <f t="shared" si="1"/>
        <v>41188.7177</v>
      </c>
      <c r="L1156" s="4">
        <f t="shared" si="2"/>
        <v>0.5104553182</v>
      </c>
    </row>
    <row r="1157">
      <c r="A1157" s="3" t="s">
        <v>97</v>
      </c>
      <c r="B1157" s="3">
        <v>18.0</v>
      </c>
      <c r="C1157" s="3">
        <v>3.5</v>
      </c>
      <c r="D1157" s="3">
        <v>174.0</v>
      </c>
      <c r="E1157" s="3">
        <v>6.8</v>
      </c>
      <c r="F1157" s="3">
        <v>17.67</v>
      </c>
      <c r="G1157" s="3">
        <v>210.45</v>
      </c>
      <c r="H1157" s="3">
        <v>0.0</v>
      </c>
      <c r="I1157" s="3">
        <v>328.04</v>
      </c>
      <c r="J1157" s="3">
        <v>0.0</v>
      </c>
      <c r="K1157" s="4">
        <f t="shared" si="1"/>
        <v>44601.4314</v>
      </c>
      <c r="L1157" s="4">
        <f t="shared" si="2"/>
        <v>0.6788122948</v>
      </c>
    </row>
    <row r="1158">
      <c r="A1158" s="3" t="s">
        <v>97</v>
      </c>
      <c r="B1158" s="3">
        <v>18.0</v>
      </c>
      <c r="C1158" s="3">
        <v>5.24</v>
      </c>
      <c r="D1158" s="3">
        <v>194.0</v>
      </c>
      <c r="E1158" s="3">
        <v>6.4</v>
      </c>
      <c r="F1158" s="3">
        <v>27.48</v>
      </c>
      <c r="G1158" s="3">
        <v>211.51</v>
      </c>
      <c r="H1158" s="3">
        <v>0.0</v>
      </c>
      <c r="I1158" s="3">
        <v>137.0</v>
      </c>
      <c r="J1158" s="3">
        <v>0.0</v>
      </c>
      <c r="K1158" s="4">
        <f t="shared" si="1"/>
        <v>45491.6305</v>
      </c>
      <c r="L1158" s="4">
        <f t="shared" si="2"/>
        <v>0.827317016</v>
      </c>
    </row>
    <row r="1159">
      <c r="A1159" s="3" t="s">
        <v>97</v>
      </c>
      <c r="B1159" s="3">
        <v>18.0</v>
      </c>
      <c r="C1159" s="3">
        <v>6.98</v>
      </c>
      <c r="D1159" s="3">
        <v>190.0</v>
      </c>
      <c r="E1159" s="3">
        <v>5.5</v>
      </c>
      <c r="F1159" s="3">
        <v>42.57</v>
      </c>
      <c r="G1159" s="3">
        <v>187.95</v>
      </c>
      <c r="H1159" s="3">
        <v>0.0</v>
      </c>
      <c r="I1159" s="3">
        <v>48.78</v>
      </c>
      <c r="J1159" s="3">
        <v>0.0</v>
      </c>
      <c r="K1159" s="4">
        <f t="shared" si="1"/>
        <v>37137.4074</v>
      </c>
      <c r="L1159" s="4">
        <f t="shared" si="2"/>
        <v>0.9720657021</v>
      </c>
    </row>
    <row r="1160">
      <c r="A1160" s="3" t="s">
        <v>97</v>
      </c>
      <c r="B1160" s="3">
        <v>18.0</v>
      </c>
      <c r="C1160" s="3">
        <v>8.81</v>
      </c>
      <c r="D1160" s="3">
        <v>186.0</v>
      </c>
      <c r="E1160" s="3">
        <v>5.8</v>
      </c>
      <c r="F1160" s="3">
        <v>48.28</v>
      </c>
      <c r="G1160" s="3">
        <v>172.49</v>
      </c>
      <c r="H1160" s="3">
        <v>0.0</v>
      </c>
      <c r="I1160" s="3">
        <v>34.3</v>
      </c>
      <c r="J1160" s="3">
        <v>0.0</v>
      </c>
      <c r="K1160" s="4">
        <f t="shared" si="1"/>
        <v>32083.7585</v>
      </c>
      <c r="L1160" s="4">
        <f t="shared" si="2"/>
        <v>1.078302594</v>
      </c>
    </row>
    <row r="1161">
      <c r="A1161" s="3" t="s">
        <v>97</v>
      </c>
      <c r="B1161" s="3">
        <v>18.0</v>
      </c>
      <c r="C1161" s="3">
        <v>10.9</v>
      </c>
      <c r="D1161" s="3">
        <v>188.0</v>
      </c>
      <c r="E1161" s="3">
        <v>7.0</v>
      </c>
      <c r="F1161" s="3">
        <v>45.48</v>
      </c>
      <c r="G1161" s="3">
        <v>161.01</v>
      </c>
      <c r="H1161" s="3">
        <v>0.0</v>
      </c>
      <c r="I1161" s="3">
        <v>15.26</v>
      </c>
      <c r="J1161" s="3">
        <v>0.0</v>
      </c>
      <c r="K1161" s="4">
        <f t="shared" si="1"/>
        <v>27992.6505</v>
      </c>
      <c r="L1161" s="4">
        <f t="shared" si="2"/>
        <v>1.262617129</v>
      </c>
    </row>
    <row r="1162">
      <c r="A1162" s="3" t="s">
        <v>97</v>
      </c>
      <c r="B1162" s="3">
        <v>18.0</v>
      </c>
      <c r="C1162" s="3">
        <v>13.12</v>
      </c>
      <c r="D1162" s="3">
        <v>187.0</v>
      </c>
      <c r="E1162" s="3">
        <v>8.5</v>
      </c>
      <c r="F1162" s="3">
        <v>43.32</v>
      </c>
      <c r="G1162" s="3">
        <v>148.11</v>
      </c>
      <c r="H1162" s="3">
        <v>0.0</v>
      </c>
      <c r="I1162" s="3">
        <v>5.31</v>
      </c>
      <c r="J1162" s="3">
        <v>0.0</v>
      </c>
      <c r="K1162" s="4">
        <f t="shared" si="1"/>
        <v>23813.1945</v>
      </c>
      <c r="L1162" s="4">
        <f t="shared" si="2"/>
        <v>1.468471607</v>
      </c>
    </row>
    <row r="1163">
      <c r="A1163" s="3" t="s">
        <v>97</v>
      </c>
      <c r="B1163" s="3">
        <v>18.0</v>
      </c>
      <c r="C1163" s="3">
        <v>15.33</v>
      </c>
      <c r="D1163" s="3">
        <v>179.0</v>
      </c>
      <c r="E1163" s="3">
        <v>12.6</v>
      </c>
      <c r="F1163" s="3">
        <v>43.11</v>
      </c>
      <c r="G1163" s="3">
        <v>134.96</v>
      </c>
      <c r="H1163" s="3">
        <v>0.0</v>
      </c>
      <c r="I1163" s="3">
        <v>1.91</v>
      </c>
      <c r="J1163" s="3">
        <v>0.0</v>
      </c>
      <c r="K1163" s="4">
        <f t="shared" si="1"/>
        <v>20072.6737</v>
      </c>
      <c r="L1163" s="4">
        <f t="shared" si="2"/>
        <v>1.596249731</v>
      </c>
    </row>
    <row r="1164">
      <c r="A1164" s="3" t="s">
        <v>97</v>
      </c>
      <c r="B1164" s="3">
        <v>18.0</v>
      </c>
      <c r="C1164" s="3">
        <v>17.3</v>
      </c>
      <c r="D1164" s="3">
        <v>176.0</v>
      </c>
      <c r="E1164" s="3">
        <v>11.7</v>
      </c>
      <c r="F1164" s="3">
        <v>43.21</v>
      </c>
      <c r="G1164" s="3">
        <v>126.37</v>
      </c>
      <c r="H1164" s="3">
        <v>0.0</v>
      </c>
      <c r="I1164" s="3">
        <v>0.93</v>
      </c>
      <c r="J1164" s="3">
        <v>0.0</v>
      </c>
      <c r="K1164" s="4">
        <f t="shared" si="1"/>
        <v>17836.481</v>
      </c>
      <c r="L1164" s="4">
        <f t="shared" si="2"/>
        <v>1.736665433</v>
      </c>
    </row>
    <row r="1165">
      <c r="A1165" s="3" t="s">
        <v>97</v>
      </c>
      <c r="B1165" s="3">
        <v>18.0</v>
      </c>
      <c r="C1165" s="3">
        <v>19.05</v>
      </c>
      <c r="D1165" s="3">
        <v>167.0</v>
      </c>
      <c r="E1165" s="3">
        <v>13.5</v>
      </c>
      <c r="F1165" s="3">
        <v>44.51</v>
      </c>
      <c r="G1165" s="3">
        <v>119.3</v>
      </c>
      <c r="H1165" s="3">
        <v>0.0</v>
      </c>
      <c r="I1165" s="3">
        <v>0.0</v>
      </c>
      <c r="J1165" s="3">
        <v>0.0</v>
      </c>
      <c r="K1165" s="4">
        <f t="shared" si="1"/>
        <v>16213.6301</v>
      </c>
      <c r="L1165" s="4">
        <f t="shared" si="2"/>
        <v>1.720095983</v>
      </c>
    </row>
    <row r="1166">
      <c r="A1166" s="3" t="s">
        <v>98</v>
      </c>
      <c r="B1166" s="3">
        <v>18.0</v>
      </c>
      <c r="C1166" s="3">
        <v>0.87</v>
      </c>
      <c r="D1166" s="3">
        <v>24.3</v>
      </c>
      <c r="E1166" s="3">
        <v>3.9</v>
      </c>
      <c r="F1166" s="3">
        <v>0.0</v>
      </c>
      <c r="G1166" s="3">
        <v>35.64</v>
      </c>
      <c r="H1166" s="3">
        <v>0.0</v>
      </c>
      <c r="I1166" s="3">
        <v>188.65</v>
      </c>
      <c r="J1166" s="3">
        <v>0.0</v>
      </c>
      <c r="K1166" s="4">
        <f t="shared" si="1"/>
        <v>1270.2096</v>
      </c>
      <c r="L1166" s="4">
        <f t="shared" si="2"/>
        <v>0.4648760331</v>
      </c>
    </row>
    <row r="1167">
      <c r="A1167" s="3" t="s">
        <v>98</v>
      </c>
      <c r="B1167" s="3">
        <v>18.0</v>
      </c>
      <c r="C1167" s="3">
        <v>1.74</v>
      </c>
      <c r="D1167" s="3">
        <v>49.6</v>
      </c>
      <c r="E1167" s="3">
        <v>3.9</v>
      </c>
      <c r="F1167" s="3">
        <v>0.0</v>
      </c>
      <c r="G1167" s="3">
        <v>47.54</v>
      </c>
      <c r="H1167" s="3">
        <v>0.0</v>
      </c>
      <c r="I1167" s="3">
        <v>151.56</v>
      </c>
      <c r="J1167" s="3">
        <v>0.0</v>
      </c>
      <c r="K1167" s="4">
        <f t="shared" si="1"/>
        <v>2260.0516</v>
      </c>
      <c r="L1167" s="4">
        <f t="shared" si="2"/>
        <v>1.088541518</v>
      </c>
    </row>
    <row r="1168">
      <c r="A1168" s="3" t="s">
        <v>98</v>
      </c>
      <c r="B1168" s="3">
        <v>18.0</v>
      </c>
      <c r="C1168" s="3">
        <v>2.61</v>
      </c>
      <c r="D1168" s="3">
        <v>73.6</v>
      </c>
      <c r="E1168" s="3">
        <v>5.2</v>
      </c>
      <c r="F1168" s="3">
        <v>0.0</v>
      </c>
      <c r="G1168" s="3">
        <v>60.47</v>
      </c>
      <c r="H1168" s="3">
        <v>0.0</v>
      </c>
      <c r="I1168" s="3">
        <v>133.11</v>
      </c>
      <c r="J1168" s="3">
        <v>0.0</v>
      </c>
      <c r="K1168" s="4">
        <f t="shared" si="1"/>
        <v>3656.6209</v>
      </c>
      <c r="L1168" s="4">
        <f t="shared" si="2"/>
        <v>1.481411431</v>
      </c>
    </row>
    <row r="1169">
      <c r="A1169" s="3" t="s">
        <v>98</v>
      </c>
      <c r="B1169" s="3">
        <v>18.0</v>
      </c>
      <c r="C1169" s="3">
        <v>3.5</v>
      </c>
      <c r="D1169" s="3">
        <v>101.0</v>
      </c>
      <c r="E1169" s="3">
        <v>4.4</v>
      </c>
      <c r="F1169" s="3">
        <v>7.38</v>
      </c>
      <c r="G1169" s="3">
        <v>73.72</v>
      </c>
      <c r="H1169" s="3">
        <v>0.0</v>
      </c>
      <c r="I1169" s="3">
        <v>113.1</v>
      </c>
      <c r="J1169" s="3">
        <v>0.0</v>
      </c>
      <c r="K1169" s="4">
        <f t="shared" si="1"/>
        <v>5489.1028</v>
      </c>
      <c r="L1169" s="4">
        <f t="shared" si="2"/>
        <v>1.858409356</v>
      </c>
    </row>
    <row r="1170">
      <c r="A1170" s="3" t="s">
        <v>98</v>
      </c>
      <c r="B1170" s="3">
        <v>18.0</v>
      </c>
      <c r="C1170" s="3">
        <v>4.37</v>
      </c>
      <c r="D1170" s="3">
        <v>107.0</v>
      </c>
      <c r="E1170" s="3">
        <v>3.5</v>
      </c>
      <c r="F1170" s="3">
        <v>13.36</v>
      </c>
      <c r="G1170" s="3">
        <v>85.03</v>
      </c>
      <c r="H1170" s="3">
        <v>0.0</v>
      </c>
      <c r="I1170" s="3">
        <v>102.47</v>
      </c>
      <c r="J1170" s="3">
        <v>0.0</v>
      </c>
      <c r="K1170" s="4">
        <f t="shared" si="1"/>
        <v>7408.5905</v>
      </c>
      <c r="L1170" s="4">
        <f t="shared" si="2"/>
        <v>1.545368178</v>
      </c>
    </row>
    <row r="1171">
      <c r="A1171" s="3" t="s">
        <v>98</v>
      </c>
      <c r="B1171" s="3">
        <v>18.0</v>
      </c>
      <c r="C1171" s="3">
        <v>5.24</v>
      </c>
      <c r="D1171" s="3">
        <v>115.0</v>
      </c>
      <c r="E1171" s="3">
        <v>3.5</v>
      </c>
      <c r="F1171" s="3">
        <v>14.01</v>
      </c>
      <c r="G1171" s="3">
        <v>96.27</v>
      </c>
      <c r="H1171" s="3">
        <v>0.0</v>
      </c>
      <c r="I1171" s="3">
        <v>83.86</v>
      </c>
      <c r="J1171" s="3">
        <v>0.0</v>
      </c>
      <c r="K1171" s="4">
        <f t="shared" si="1"/>
        <v>9464.193</v>
      </c>
      <c r="L1171" s="4">
        <f t="shared" si="2"/>
        <v>1.39737218</v>
      </c>
    </row>
    <row r="1172">
      <c r="A1172" s="3" t="s">
        <v>98</v>
      </c>
      <c r="B1172" s="3">
        <v>18.0</v>
      </c>
      <c r="C1172" s="3">
        <v>6.11</v>
      </c>
      <c r="D1172" s="3">
        <v>123.0</v>
      </c>
      <c r="E1172" s="3">
        <v>3.9</v>
      </c>
      <c r="F1172" s="3">
        <v>12.18</v>
      </c>
      <c r="G1172" s="3">
        <v>104.34</v>
      </c>
      <c r="H1172" s="3">
        <v>0.0</v>
      </c>
      <c r="I1172" s="3">
        <v>66.19</v>
      </c>
      <c r="J1172" s="3">
        <v>0.0</v>
      </c>
      <c r="K1172" s="4">
        <f t="shared" si="1"/>
        <v>11035.188</v>
      </c>
      <c r="L1172" s="4">
        <f t="shared" si="2"/>
        <v>1.370978002</v>
      </c>
    </row>
    <row r="1173">
      <c r="A1173" s="3" t="s">
        <v>98</v>
      </c>
      <c r="B1173" s="3">
        <v>18.0</v>
      </c>
      <c r="C1173" s="3">
        <v>6.98</v>
      </c>
      <c r="D1173" s="3">
        <v>130.0</v>
      </c>
      <c r="E1173" s="3">
        <v>3.9</v>
      </c>
      <c r="F1173" s="3">
        <v>18.32</v>
      </c>
      <c r="G1173" s="3">
        <v>107.5</v>
      </c>
      <c r="H1173" s="3">
        <v>0.0</v>
      </c>
      <c r="I1173" s="3">
        <v>47.17</v>
      </c>
      <c r="J1173" s="3">
        <v>0.0</v>
      </c>
      <c r="K1173" s="4">
        <f t="shared" si="1"/>
        <v>11891.8724</v>
      </c>
      <c r="L1173" s="4">
        <f t="shared" si="2"/>
        <v>1.421138693</v>
      </c>
    </row>
    <row r="1174">
      <c r="A1174" s="3" t="s">
        <v>98</v>
      </c>
      <c r="B1174" s="3">
        <v>18.0</v>
      </c>
      <c r="C1174" s="3">
        <v>7.85</v>
      </c>
      <c r="D1174" s="3">
        <v>134.0</v>
      </c>
      <c r="E1174" s="3">
        <v>3.5</v>
      </c>
      <c r="F1174" s="3">
        <v>21.34</v>
      </c>
      <c r="G1174" s="3">
        <v>109.28</v>
      </c>
      <c r="H1174" s="3">
        <v>0.0</v>
      </c>
      <c r="I1174" s="3">
        <v>36.52</v>
      </c>
      <c r="J1174" s="3">
        <v>0.0</v>
      </c>
      <c r="K1174" s="4">
        <f t="shared" si="1"/>
        <v>12397.514</v>
      </c>
      <c r="L1174" s="4">
        <f t="shared" si="2"/>
        <v>1.448354888</v>
      </c>
    </row>
    <row r="1175">
      <c r="A1175" s="3" t="s">
        <v>98</v>
      </c>
      <c r="B1175" s="3">
        <v>18.0</v>
      </c>
      <c r="C1175" s="3">
        <v>8.72</v>
      </c>
      <c r="D1175" s="3">
        <v>136.0</v>
      </c>
      <c r="E1175" s="3">
        <v>3.9</v>
      </c>
      <c r="F1175" s="3">
        <v>21.77</v>
      </c>
      <c r="G1175" s="3">
        <v>108.62</v>
      </c>
      <c r="H1175" s="3">
        <v>0.0</v>
      </c>
      <c r="I1175" s="3">
        <v>26.62</v>
      </c>
      <c r="J1175" s="3">
        <v>0.0</v>
      </c>
      <c r="K1175" s="4">
        <f t="shared" si="1"/>
        <v>12272.2373</v>
      </c>
      <c r="L1175" s="4">
        <f t="shared" si="2"/>
        <v>1.507141652</v>
      </c>
    </row>
    <row r="1176">
      <c r="A1176" s="3" t="s">
        <v>98</v>
      </c>
      <c r="B1176" s="3">
        <v>18.0</v>
      </c>
      <c r="C1176" s="3">
        <v>9.6</v>
      </c>
      <c r="D1176" s="3">
        <v>137.0</v>
      </c>
      <c r="E1176" s="3">
        <v>4.0</v>
      </c>
      <c r="F1176" s="3">
        <v>27.37</v>
      </c>
      <c r="G1176" s="3">
        <v>107.75</v>
      </c>
      <c r="H1176" s="3">
        <v>0.0</v>
      </c>
      <c r="I1176" s="3">
        <v>19.83</v>
      </c>
      <c r="J1176" s="3">
        <v>0.0</v>
      </c>
      <c r="K1176" s="4">
        <f t="shared" si="1"/>
        <v>12359.1794</v>
      </c>
      <c r="L1176" s="4">
        <f t="shared" si="2"/>
        <v>1.518628332</v>
      </c>
    </row>
    <row r="1177">
      <c r="A1177" s="3" t="s">
        <v>98</v>
      </c>
      <c r="B1177" s="3">
        <v>18.0</v>
      </c>
      <c r="C1177" s="3">
        <v>10.47</v>
      </c>
      <c r="D1177" s="3">
        <v>136.0</v>
      </c>
      <c r="E1177" s="3">
        <v>3.5</v>
      </c>
      <c r="F1177" s="3">
        <v>29.53</v>
      </c>
      <c r="G1177" s="3">
        <v>106.05</v>
      </c>
      <c r="H1177" s="3">
        <v>0.0</v>
      </c>
      <c r="I1177" s="3">
        <v>13.97</v>
      </c>
      <c r="J1177" s="3">
        <v>0.0</v>
      </c>
      <c r="K1177" s="4">
        <f t="shared" si="1"/>
        <v>12118.6234</v>
      </c>
      <c r="L1177" s="4">
        <f t="shared" si="2"/>
        <v>1.52624596</v>
      </c>
    </row>
    <row r="1178">
      <c r="A1178" s="3" t="s">
        <v>98</v>
      </c>
      <c r="B1178" s="3">
        <v>18.0</v>
      </c>
      <c r="C1178" s="3">
        <v>11.35</v>
      </c>
      <c r="D1178" s="3">
        <v>137.0</v>
      </c>
      <c r="E1178" s="3">
        <v>3.5</v>
      </c>
      <c r="F1178" s="3">
        <v>32.11</v>
      </c>
      <c r="G1178" s="3">
        <v>103.37</v>
      </c>
      <c r="H1178" s="3">
        <v>0.0</v>
      </c>
      <c r="I1178" s="3">
        <v>9.49</v>
      </c>
      <c r="J1178" s="3">
        <v>0.0</v>
      </c>
      <c r="K1178" s="4">
        <f t="shared" si="1"/>
        <v>11716.409</v>
      </c>
      <c r="L1178" s="4">
        <f t="shared" si="2"/>
        <v>1.601941346</v>
      </c>
    </row>
    <row r="1179">
      <c r="A1179" s="3" t="s">
        <v>98</v>
      </c>
      <c r="B1179" s="3">
        <v>18.0</v>
      </c>
      <c r="C1179" s="3">
        <v>12.19</v>
      </c>
      <c r="D1179" s="3">
        <v>137.0</v>
      </c>
      <c r="E1179" s="3">
        <v>3.5</v>
      </c>
      <c r="F1179" s="3">
        <v>32.87</v>
      </c>
      <c r="G1179" s="3">
        <v>100.58</v>
      </c>
      <c r="H1179" s="3">
        <v>0.0</v>
      </c>
      <c r="I1179" s="3">
        <v>6.45</v>
      </c>
      <c r="J1179" s="3">
        <v>0.0</v>
      </c>
      <c r="K1179" s="4">
        <f t="shared" si="1"/>
        <v>11196.7733</v>
      </c>
      <c r="L1179" s="4">
        <f t="shared" si="2"/>
        <v>1.676286507</v>
      </c>
    </row>
    <row r="1180">
      <c r="A1180" s="3" t="s">
        <v>98</v>
      </c>
      <c r="B1180" s="3">
        <v>18.0</v>
      </c>
      <c r="C1180" s="3">
        <v>13.12</v>
      </c>
      <c r="D1180" s="3">
        <v>137.0</v>
      </c>
      <c r="E1180" s="3">
        <v>5.0</v>
      </c>
      <c r="F1180" s="3">
        <v>30.82</v>
      </c>
      <c r="G1180" s="3">
        <v>96.92</v>
      </c>
      <c r="H1180" s="3">
        <v>0.0</v>
      </c>
      <c r="I1180" s="3">
        <v>3.54</v>
      </c>
      <c r="J1180" s="3">
        <v>0.0</v>
      </c>
      <c r="K1180" s="4">
        <f t="shared" si="1"/>
        <v>10343.3588</v>
      </c>
      <c r="L1180" s="4">
        <f t="shared" si="2"/>
        <v>1.814594308</v>
      </c>
    </row>
    <row r="1181">
      <c r="A1181" s="3" t="s">
        <v>98</v>
      </c>
      <c r="B1181" s="3">
        <v>18.0</v>
      </c>
      <c r="C1181" s="3">
        <v>13.94</v>
      </c>
      <c r="D1181" s="3">
        <v>138.0</v>
      </c>
      <c r="E1181" s="3">
        <v>5.0</v>
      </c>
      <c r="F1181" s="3">
        <v>32.01</v>
      </c>
      <c r="G1181" s="3">
        <v>93.04</v>
      </c>
      <c r="H1181" s="3">
        <v>0.0</v>
      </c>
      <c r="I1181" s="3">
        <v>1.82</v>
      </c>
      <c r="J1181" s="3">
        <v>0.0</v>
      </c>
      <c r="K1181" s="4">
        <f t="shared" si="1"/>
        <v>9681.0817</v>
      </c>
      <c r="L1181" s="4">
        <f t="shared" si="2"/>
        <v>1.967135553</v>
      </c>
    </row>
    <row r="1182">
      <c r="A1182" s="3" t="s">
        <v>98</v>
      </c>
      <c r="B1182" s="3">
        <v>18.0</v>
      </c>
      <c r="C1182" s="3">
        <v>14.86</v>
      </c>
      <c r="D1182" s="3">
        <v>137.0</v>
      </c>
      <c r="E1182" s="3">
        <v>7.5</v>
      </c>
      <c r="F1182" s="3">
        <v>31.79</v>
      </c>
      <c r="G1182" s="3">
        <v>88.38</v>
      </c>
      <c r="H1182" s="3">
        <v>0.0</v>
      </c>
      <c r="I1182" s="3">
        <v>0.79</v>
      </c>
      <c r="J1182" s="3">
        <v>0.0</v>
      </c>
      <c r="K1182" s="4">
        <f t="shared" si="1"/>
        <v>8821.6285</v>
      </c>
      <c r="L1182" s="4">
        <f t="shared" si="2"/>
        <v>2.127611699</v>
      </c>
    </row>
    <row r="1183">
      <c r="A1183" s="3" t="s">
        <v>99</v>
      </c>
      <c r="B1183" s="3">
        <v>18.0</v>
      </c>
      <c r="C1183" s="3">
        <v>1.74</v>
      </c>
      <c r="D1183" s="3">
        <v>123.0</v>
      </c>
      <c r="E1183" s="3">
        <v>5.5</v>
      </c>
      <c r="F1183" s="3">
        <v>5.18</v>
      </c>
      <c r="G1183" s="3">
        <v>160.38</v>
      </c>
      <c r="H1183" s="3">
        <v>0.0</v>
      </c>
      <c r="I1183" s="3">
        <v>751.83</v>
      </c>
      <c r="J1183" s="3">
        <v>0.0</v>
      </c>
      <c r="K1183" s="4">
        <f t="shared" si="1"/>
        <v>25748.5768</v>
      </c>
      <c r="L1183" s="4">
        <f t="shared" si="2"/>
        <v>0.5875664553</v>
      </c>
    </row>
    <row r="1184">
      <c r="A1184" s="3" t="s">
        <v>99</v>
      </c>
      <c r="B1184" s="3">
        <v>18.0</v>
      </c>
      <c r="C1184" s="3">
        <v>2.61</v>
      </c>
      <c r="D1184" s="3">
        <v>145.0</v>
      </c>
      <c r="E1184" s="3">
        <v>5.5</v>
      </c>
      <c r="F1184" s="3">
        <v>14.22</v>
      </c>
      <c r="G1184" s="3">
        <v>184.96</v>
      </c>
      <c r="H1184" s="3">
        <v>0.0</v>
      </c>
      <c r="I1184" s="3">
        <v>538.79</v>
      </c>
      <c r="J1184" s="3">
        <v>0.0</v>
      </c>
      <c r="K1184" s="4">
        <f t="shared" si="1"/>
        <v>34412.41</v>
      </c>
      <c r="L1184" s="4">
        <f t="shared" si="2"/>
        <v>0.610971449</v>
      </c>
    </row>
    <row r="1185">
      <c r="A1185" s="3" t="s">
        <v>99</v>
      </c>
      <c r="B1185" s="3">
        <v>18.0</v>
      </c>
      <c r="C1185" s="3">
        <v>3.5</v>
      </c>
      <c r="D1185" s="3">
        <v>152.0</v>
      </c>
      <c r="E1185" s="3">
        <v>6.2</v>
      </c>
      <c r="F1185" s="3">
        <v>24.46</v>
      </c>
      <c r="G1185" s="3">
        <v>199.67</v>
      </c>
      <c r="H1185" s="3">
        <v>0.0</v>
      </c>
      <c r="I1185" s="3">
        <v>237.3</v>
      </c>
      <c r="J1185" s="3">
        <v>0.0</v>
      </c>
      <c r="K1185" s="4">
        <f t="shared" si="1"/>
        <v>40466.4005</v>
      </c>
      <c r="L1185" s="4">
        <f t="shared" si="2"/>
        <v>0.5709427998</v>
      </c>
    </row>
    <row r="1186">
      <c r="A1186" s="3" t="s">
        <v>99</v>
      </c>
      <c r="B1186" s="3">
        <v>18.0</v>
      </c>
      <c r="C1186" s="3">
        <v>4.37</v>
      </c>
      <c r="D1186" s="3">
        <v>157.0</v>
      </c>
      <c r="E1186" s="3">
        <v>6.6</v>
      </c>
      <c r="F1186" s="3">
        <v>32.44</v>
      </c>
      <c r="G1186" s="3">
        <v>188.3</v>
      </c>
      <c r="H1186" s="3">
        <v>0.0</v>
      </c>
      <c r="I1186" s="3">
        <v>108.7</v>
      </c>
      <c r="J1186" s="3">
        <v>0.0</v>
      </c>
      <c r="K1186" s="4">
        <f t="shared" si="1"/>
        <v>36509.2436</v>
      </c>
      <c r="L1186" s="4">
        <f t="shared" si="2"/>
        <v>0.6751440887</v>
      </c>
    </row>
    <row r="1187">
      <c r="A1187" s="3" t="s">
        <v>99</v>
      </c>
      <c r="B1187" s="3">
        <v>18.0</v>
      </c>
      <c r="C1187" s="3">
        <v>5.24</v>
      </c>
      <c r="D1187" s="3">
        <v>161.0</v>
      </c>
      <c r="E1187" s="3">
        <v>8.8</v>
      </c>
      <c r="F1187" s="3">
        <v>37.39</v>
      </c>
      <c r="G1187" s="3">
        <v>178.75</v>
      </c>
      <c r="H1187" s="3">
        <v>0.0</v>
      </c>
      <c r="I1187" s="3">
        <v>59.44</v>
      </c>
      <c r="J1187" s="3">
        <v>0.0</v>
      </c>
      <c r="K1187" s="4">
        <f t="shared" si="1"/>
        <v>33349.5746</v>
      </c>
      <c r="L1187" s="4">
        <f t="shared" si="2"/>
        <v>0.7772512936</v>
      </c>
    </row>
    <row r="1188">
      <c r="A1188" s="3" t="s">
        <v>99</v>
      </c>
      <c r="B1188" s="3">
        <v>18.0</v>
      </c>
      <c r="C1188" s="3">
        <v>6.11</v>
      </c>
      <c r="D1188" s="3">
        <v>165.0</v>
      </c>
      <c r="E1188" s="3">
        <v>11.2</v>
      </c>
      <c r="F1188" s="3">
        <v>41.38</v>
      </c>
      <c r="G1188" s="3">
        <v>166.45</v>
      </c>
      <c r="H1188" s="3">
        <v>0.0</v>
      </c>
      <c r="I1188" s="3">
        <v>30.08</v>
      </c>
      <c r="J1188" s="3">
        <v>0.0</v>
      </c>
      <c r="K1188" s="4">
        <f t="shared" si="1"/>
        <v>29417.9069</v>
      </c>
      <c r="L1188" s="4">
        <f t="shared" si="2"/>
        <v>0.9254567326</v>
      </c>
    </row>
    <row r="1189">
      <c r="A1189" s="3" t="s">
        <v>99</v>
      </c>
      <c r="B1189" s="3">
        <v>18.0</v>
      </c>
      <c r="C1189" s="3">
        <v>7.07</v>
      </c>
      <c r="D1189" s="3">
        <v>169.0</v>
      </c>
      <c r="E1189" s="3">
        <v>25.5</v>
      </c>
      <c r="F1189" s="3">
        <v>46.55</v>
      </c>
      <c r="G1189" s="3">
        <v>155.24</v>
      </c>
      <c r="H1189" s="3">
        <v>0.0</v>
      </c>
      <c r="I1189" s="3">
        <v>18.9</v>
      </c>
      <c r="J1189" s="3">
        <v>0.0</v>
      </c>
      <c r="K1189" s="4">
        <f t="shared" si="1"/>
        <v>26266.3601</v>
      </c>
      <c r="L1189" s="4">
        <f t="shared" si="2"/>
        <v>1.087360407</v>
      </c>
    </row>
    <row r="1190">
      <c r="A1190" s="3" t="s">
        <v>100</v>
      </c>
      <c r="B1190" s="3">
        <v>18.0</v>
      </c>
      <c r="C1190" s="3">
        <v>3.5</v>
      </c>
      <c r="D1190" s="3">
        <v>181.0</v>
      </c>
      <c r="E1190" s="3">
        <v>7.5</v>
      </c>
      <c r="F1190" s="3">
        <v>0.0</v>
      </c>
      <c r="G1190" s="3">
        <v>204.12</v>
      </c>
      <c r="H1190" s="3">
        <v>0.0</v>
      </c>
      <c r="I1190" s="3">
        <v>498.34</v>
      </c>
      <c r="J1190" s="3">
        <v>0.0</v>
      </c>
      <c r="K1190" s="4">
        <f t="shared" si="1"/>
        <v>41664.9744</v>
      </c>
      <c r="L1190" s="4">
        <f t="shared" si="2"/>
        <v>0.7862959349</v>
      </c>
    </row>
    <row r="1191">
      <c r="A1191" s="3" t="s">
        <v>100</v>
      </c>
      <c r="B1191" s="3">
        <v>18.0</v>
      </c>
      <c r="C1191" s="3">
        <v>5.24</v>
      </c>
      <c r="D1191" s="3">
        <v>203.0</v>
      </c>
      <c r="E1191" s="3">
        <v>6.5</v>
      </c>
      <c r="F1191" s="3">
        <v>0.0</v>
      </c>
      <c r="G1191" s="3">
        <v>218.93</v>
      </c>
      <c r="H1191" s="3">
        <v>0.0</v>
      </c>
      <c r="I1191" s="3">
        <v>347.36</v>
      </c>
      <c r="J1191" s="3">
        <v>0.0</v>
      </c>
      <c r="K1191" s="4">
        <f t="shared" si="1"/>
        <v>47930.3449</v>
      </c>
      <c r="L1191" s="4">
        <f t="shared" si="2"/>
        <v>0.8597684846</v>
      </c>
    </row>
    <row r="1192">
      <c r="A1192" s="3" t="s">
        <v>100</v>
      </c>
      <c r="B1192" s="3">
        <v>18.0</v>
      </c>
      <c r="C1192" s="3">
        <v>6.98</v>
      </c>
      <c r="D1192" s="3">
        <v>216.0</v>
      </c>
      <c r="E1192" s="3">
        <v>5.6</v>
      </c>
      <c r="F1192" s="3">
        <v>0.0</v>
      </c>
      <c r="G1192" s="3">
        <v>229.11</v>
      </c>
      <c r="H1192" s="3">
        <v>0.0</v>
      </c>
      <c r="I1192" s="3">
        <v>268.13</v>
      </c>
      <c r="J1192" s="3">
        <v>0.0</v>
      </c>
      <c r="K1192" s="4">
        <f t="shared" si="1"/>
        <v>52491.3921</v>
      </c>
      <c r="L1192" s="4">
        <f t="shared" si="2"/>
        <v>0.8888314471</v>
      </c>
    </row>
    <row r="1193">
      <c r="A1193" s="3" t="s">
        <v>100</v>
      </c>
      <c r="B1193" s="3">
        <v>18.0</v>
      </c>
      <c r="C1193" s="3">
        <v>8.72</v>
      </c>
      <c r="D1193" s="3">
        <v>223.0</v>
      </c>
      <c r="E1193" s="3">
        <v>6.1</v>
      </c>
      <c r="F1193" s="3">
        <v>9.06</v>
      </c>
      <c r="G1193" s="3">
        <v>244.28</v>
      </c>
      <c r="H1193" s="3">
        <v>0.0</v>
      </c>
      <c r="I1193" s="3">
        <v>182.72</v>
      </c>
      <c r="J1193" s="3">
        <v>0.0</v>
      </c>
      <c r="K1193" s="4">
        <f t="shared" si="1"/>
        <v>59754.802</v>
      </c>
      <c r="L1193" s="4">
        <f t="shared" si="2"/>
        <v>0.832217635</v>
      </c>
    </row>
    <row r="1194">
      <c r="A1194" s="3" t="s">
        <v>100</v>
      </c>
      <c r="B1194" s="3">
        <v>18.0</v>
      </c>
      <c r="C1194" s="3">
        <v>10.47</v>
      </c>
      <c r="D1194" s="3">
        <v>224.0</v>
      </c>
      <c r="E1194" s="3">
        <v>5.6</v>
      </c>
      <c r="F1194" s="3">
        <v>19.18</v>
      </c>
      <c r="G1194" s="3">
        <v>247.46</v>
      </c>
      <c r="H1194" s="3">
        <v>0.0</v>
      </c>
      <c r="I1194" s="3">
        <v>118.64</v>
      </c>
      <c r="J1194" s="3">
        <v>0.0</v>
      </c>
      <c r="K1194" s="4">
        <f t="shared" si="1"/>
        <v>61604.324</v>
      </c>
      <c r="L1194" s="4">
        <f t="shared" si="2"/>
        <v>0.8144882817</v>
      </c>
    </row>
    <row r="1195">
      <c r="A1195" s="3" t="s">
        <v>100</v>
      </c>
      <c r="B1195" s="3">
        <v>18.0</v>
      </c>
      <c r="C1195" s="3">
        <v>12.19</v>
      </c>
      <c r="D1195" s="3">
        <v>223.0</v>
      </c>
      <c r="E1195" s="3">
        <v>6.1</v>
      </c>
      <c r="F1195" s="3">
        <v>28.88</v>
      </c>
      <c r="G1195" s="3">
        <v>242.84</v>
      </c>
      <c r="H1195" s="3">
        <v>0.0</v>
      </c>
      <c r="I1195" s="3">
        <v>62.87</v>
      </c>
      <c r="J1195" s="3">
        <v>0.0</v>
      </c>
      <c r="K1195" s="4">
        <f t="shared" si="1"/>
        <v>59805.32</v>
      </c>
      <c r="L1195" s="4">
        <f t="shared" si="2"/>
        <v>0.8315146545</v>
      </c>
    </row>
    <row r="1196">
      <c r="A1196" s="3" t="s">
        <v>100</v>
      </c>
      <c r="B1196" s="3">
        <v>18.0</v>
      </c>
      <c r="C1196" s="3">
        <v>13.94</v>
      </c>
      <c r="D1196" s="3">
        <v>224.0</v>
      </c>
      <c r="E1196" s="3">
        <v>6.1</v>
      </c>
      <c r="F1196" s="3">
        <v>35.56</v>
      </c>
      <c r="G1196" s="3">
        <v>233.58</v>
      </c>
      <c r="H1196" s="3">
        <v>0.0</v>
      </c>
      <c r="I1196" s="3">
        <v>35.3</v>
      </c>
      <c r="J1196" s="3">
        <v>0.0</v>
      </c>
      <c r="K1196" s="4">
        <f t="shared" si="1"/>
        <v>55824.13</v>
      </c>
      <c r="L1196" s="4">
        <f t="shared" si="2"/>
        <v>0.8988227851</v>
      </c>
    </row>
    <row r="1197">
      <c r="A1197" s="3" t="s">
        <v>100</v>
      </c>
      <c r="B1197" s="3">
        <v>18.0</v>
      </c>
      <c r="C1197" s="3">
        <v>15.68</v>
      </c>
      <c r="D1197" s="3">
        <v>215.0</v>
      </c>
      <c r="E1197" s="3">
        <v>9.7</v>
      </c>
      <c r="F1197" s="3">
        <v>37.5</v>
      </c>
      <c r="G1197" s="3">
        <v>218.76</v>
      </c>
      <c r="H1197" s="3">
        <v>0.0</v>
      </c>
      <c r="I1197" s="3">
        <v>14.86</v>
      </c>
      <c r="J1197" s="3">
        <v>0.0</v>
      </c>
      <c r="K1197" s="4">
        <f t="shared" si="1"/>
        <v>49262.1876</v>
      </c>
      <c r="L1197" s="4">
        <f t="shared" si="2"/>
        <v>0.9383464733</v>
      </c>
    </row>
    <row r="1198">
      <c r="A1198" s="3" t="s">
        <v>101</v>
      </c>
      <c r="B1198" s="3">
        <v>18.0</v>
      </c>
      <c r="C1198" s="3">
        <v>0.87</v>
      </c>
      <c r="D1198" s="3">
        <v>39.6</v>
      </c>
      <c r="E1198" s="3">
        <v>4.9</v>
      </c>
      <c r="F1198" s="3">
        <v>0.0</v>
      </c>
      <c r="G1198" s="3">
        <v>48.19</v>
      </c>
      <c r="H1198" s="3">
        <v>0.0</v>
      </c>
      <c r="I1198" s="3">
        <v>254.81</v>
      </c>
      <c r="J1198" s="3">
        <v>0.0</v>
      </c>
      <c r="K1198" s="4">
        <f t="shared" si="1"/>
        <v>2322.2761</v>
      </c>
      <c r="L1198" s="4">
        <f t="shared" si="2"/>
        <v>0.6752685436</v>
      </c>
    </row>
    <row r="1199">
      <c r="A1199" s="3" t="s">
        <v>101</v>
      </c>
      <c r="B1199" s="3">
        <v>18.0</v>
      </c>
      <c r="C1199" s="3">
        <v>1.74</v>
      </c>
      <c r="D1199" s="3">
        <v>73.0</v>
      </c>
      <c r="E1199" s="3">
        <v>5.2</v>
      </c>
      <c r="F1199" s="3">
        <v>5.93</v>
      </c>
      <c r="G1199" s="3">
        <v>61.19</v>
      </c>
      <c r="H1199" s="3">
        <v>0.0</v>
      </c>
      <c r="I1199" s="3">
        <v>156.18</v>
      </c>
      <c r="J1199" s="3">
        <v>0.0</v>
      </c>
      <c r="K1199" s="4">
        <f t="shared" si="1"/>
        <v>3779.381</v>
      </c>
      <c r="L1199" s="4">
        <f t="shared" si="2"/>
        <v>1.41001926</v>
      </c>
    </row>
    <row r="1200">
      <c r="A1200" s="3" t="s">
        <v>101</v>
      </c>
      <c r="B1200" s="3">
        <v>18.0</v>
      </c>
      <c r="C1200" s="3">
        <v>2.61</v>
      </c>
      <c r="D1200" s="3">
        <v>89.4</v>
      </c>
      <c r="E1200" s="3">
        <v>6.6</v>
      </c>
      <c r="F1200" s="3">
        <v>7.31</v>
      </c>
      <c r="G1200" s="3">
        <v>74.23</v>
      </c>
      <c r="H1200" s="3">
        <v>0.0</v>
      </c>
      <c r="I1200" s="3">
        <v>134.66</v>
      </c>
      <c r="J1200" s="3">
        <v>0.0</v>
      </c>
      <c r="K1200" s="4">
        <f t="shared" si="1"/>
        <v>5563.529</v>
      </c>
      <c r="L1200" s="4">
        <f t="shared" si="2"/>
        <v>1.436563016</v>
      </c>
    </row>
    <row r="1201">
      <c r="A1201" s="3" t="s">
        <v>101</v>
      </c>
      <c r="B1201" s="3">
        <v>18.0</v>
      </c>
      <c r="C1201" s="3">
        <v>3.5</v>
      </c>
      <c r="D1201" s="3">
        <v>102.0</v>
      </c>
      <c r="E1201" s="3">
        <v>5.3</v>
      </c>
      <c r="F1201" s="3">
        <v>13.47</v>
      </c>
      <c r="G1201" s="3">
        <v>83.56</v>
      </c>
      <c r="H1201" s="3">
        <v>0.0</v>
      </c>
      <c r="I1201" s="3">
        <v>89.27</v>
      </c>
      <c r="J1201" s="3">
        <v>0.0</v>
      </c>
      <c r="K1201" s="4">
        <f t="shared" si="1"/>
        <v>7163.7145</v>
      </c>
      <c r="L1201" s="4">
        <f t="shared" si="2"/>
        <v>1.452319184</v>
      </c>
    </row>
    <row r="1202">
      <c r="A1202" s="3" t="s">
        <v>101</v>
      </c>
      <c r="B1202" s="3">
        <v>18.0</v>
      </c>
      <c r="C1202" s="3">
        <v>4.37</v>
      </c>
      <c r="D1202" s="3">
        <v>110.0</v>
      </c>
      <c r="E1202" s="3">
        <v>4.4</v>
      </c>
      <c r="F1202" s="3">
        <v>16.7</v>
      </c>
      <c r="G1202" s="3">
        <v>88.18</v>
      </c>
      <c r="H1202" s="3">
        <v>0.0</v>
      </c>
      <c r="I1202" s="3">
        <v>79.83</v>
      </c>
      <c r="J1202" s="3">
        <v>0.0</v>
      </c>
      <c r="K1202" s="4">
        <f t="shared" si="1"/>
        <v>8054.6024</v>
      </c>
      <c r="L1202" s="4">
        <f t="shared" si="2"/>
        <v>1.502246715</v>
      </c>
    </row>
    <row r="1203">
      <c r="A1203" s="3" t="s">
        <v>101</v>
      </c>
      <c r="B1203" s="3">
        <v>18.0</v>
      </c>
      <c r="C1203" s="3">
        <v>5.24</v>
      </c>
      <c r="D1203" s="3">
        <v>116.0</v>
      </c>
      <c r="E1203" s="3">
        <v>4.4</v>
      </c>
      <c r="F1203" s="3">
        <v>20.91</v>
      </c>
      <c r="G1203" s="3">
        <v>99.34</v>
      </c>
      <c r="H1203" s="3">
        <v>0.0</v>
      </c>
      <c r="I1203" s="3">
        <v>68.87</v>
      </c>
      <c r="J1203" s="3">
        <v>0.0</v>
      </c>
      <c r="K1203" s="4">
        <f t="shared" si="1"/>
        <v>10305.6637</v>
      </c>
      <c r="L1203" s="4">
        <f t="shared" si="2"/>
        <v>1.305689802</v>
      </c>
    </row>
    <row r="1204">
      <c r="A1204" s="3" t="s">
        <v>101</v>
      </c>
      <c r="B1204" s="3">
        <v>18.0</v>
      </c>
      <c r="C1204" s="3">
        <v>6.11</v>
      </c>
      <c r="D1204" s="3">
        <v>123.0</v>
      </c>
      <c r="E1204" s="3">
        <v>4.4</v>
      </c>
      <c r="F1204" s="3">
        <v>24.68</v>
      </c>
      <c r="G1204" s="3">
        <v>106.44</v>
      </c>
      <c r="H1204" s="3">
        <v>0.0</v>
      </c>
      <c r="I1204" s="3">
        <v>37.78</v>
      </c>
      <c r="J1204" s="3">
        <v>0.0</v>
      </c>
      <c r="K1204" s="4">
        <f t="shared" si="1"/>
        <v>11938.576</v>
      </c>
      <c r="L1204" s="4">
        <f t="shared" si="2"/>
        <v>1.267236562</v>
      </c>
    </row>
    <row r="1205">
      <c r="A1205" s="3" t="s">
        <v>101</v>
      </c>
      <c r="B1205" s="3">
        <v>18.0</v>
      </c>
      <c r="C1205" s="3">
        <v>6.98</v>
      </c>
      <c r="D1205" s="3">
        <v>130.0</v>
      </c>
      <c r="E1205" s="3">
        <v>3.9</v>
      </c>
      <c r="F1205" s="3">
        <v>28.34</v>
      </c>
      <c r="G1205" s="3">
        <v>102.6</v>
      </c>
      <c r="H1205" s="3">
        <v>0.0</v>
      </c>
      <c r="I1205" s="3">
        <v>19.69</v>
      </c>
      <c r="J1205" s="3">
        <v>0.0</v>
      </c>
      <c r="K1205" s="4">
        <f t="shared" si="1"/>
        <v>11329.9156</v>
      </c>
      <c r="L1205" s="4">
        <f t="shared" si="2"/>
        <v>1.491626292</v>
      </c>
    </row>
    <row r="1206">
      <c r="A1206" s="3" t="s">
        <v>101</v>
      </c>
      <c r="B1206" s="3">
        <v>18.0</v>
      </c>
      <c r="C1206" s="3">
        <v>7.85</v>
      </c>
      <c r="D1206" s="3">
        <v>134.0</v>
      </c>
      <c r="E1206" s="3">
        <v>6.1</v>
      </c>
      <c r="F1206" s="3">
        <v>30.6</v>
      </c>
      <c r="G1206" s="3">
        <v>97.1</v>
      </c>
      <c r="H1206" s="3">
        <v>0.0</v>
      </c>
      <c r="I1206" s="3">
        <v>11.87</v>
      </c>
      <c r="J1206" s="3">
        <v>0.0</v>
      </c>
      <c r="K1206" s="4">
        <f t="shared" si="1"/>
        <v>10364.77</v>
      </c>
      <c r="L1206" s="4">
        <f t="shared" si="2"/>
        <v>1.73240699</v>
      </c>
    </row>
    <row r="1207">
      <c r="A1207" s="3" t="s">
        <v>101</v>
      </c>
      <c r="B1207" s="3">
        <v>18.0</v>
      </c>
      <c r="C1207" s="3">
        <v>8.72</v>
      </c>
      <c r="D1207" s="3">
        <v>134.0</v>
      </c>
      <c r="E1207" s="3">
        <v>4.9</v>
      </c>
      <c r="F1207" s="3">
        <v>30.07</v>
      </c>
      <c r="G1207" s="3">
        <v>92.41</v>
      </c>
      <c r="H1207" s="3">
        <v>0.0</v>
      </c>
      <c r="I1207" s="3">
        <v>8.09</v>
      </c>
      <c r="J1207" s="3">
        <v>0.0</v>
      </c>
      <c r="K1207" s="4">
        <f t="shared" si="1"/>
        <v>9443.813</v>
      </c>
      <c r="L1207" s="4">
        <f t="shared" si="2"/>
        <v>1.901350651</v>
      </c>
    </row>
    <row r="1208">
      <c r="A1208" s="3" t="s">
        <v>102</v>
      </c>
      <c r="B1208" s="3">
        <v>23.7</v>
      </c>
      <c r="C1208" s="3">
        <v>9.19</v>
      </c>
      <c r="D1208" s="3">
        <v>248.0</v>
      </c>
      <c r="E1208" s="3">
        <v>7.0</v>
      </c>
      <c r="F1208" s="3">
        <v>0.0</v>
      </c>
      <c r="G1208" s="3">
        <v>218.11</v>
      </c>
      <c r="H1208" s="3">
        <v>0.0</v>
      </c>
      <c r="I1208" s="3">
        <v>212.17</v>
      </c>
      <c r="J1208" s="3">
        <v>0.0</v>
      </c>
      <c r="K1208" s="4">
        <f t="shared" si="1"/>
        <v>47571.9721</v>
      </c>
      <c r="L1208" s="4">
        <f t="shared" si="2"/>
        <v>1.292862105</v>
      </c>
    </row>
    <row r="1209">
      <c r="A1209" s="3" t="s">
        <v>102</v>
      </c>
      <c r="B1209" s="3">
        <v>23.7</v>
      </c>
      <c r="C1209" s="3">
        <v>13.79</v>
      </c>
      <c r="D1209" s="3">
        <v>264.0</v>
      </c>
      <c r="E1209" s="3">
        <v>6.6</v>
      </c>
      <c r="F1209" s="3">
        <v>6.57</v>
      </c>
      <c r="G1209" s="3">
        <v>246.64</v>
      </c>
      <c r="H1209" s="3">
        <v>0.0</v>
      </c>
      <c r="I1209" s="3">
        <v>123.44</v>
      </c>
      <c r="J1209" s="3">
        <v>0.0</v>
      </c>
      <c r="K1209" s="4">
        <f t="shared" si="1"/>
        <v>60874.4545</v>
      </c>
      <c r="L1209" s="4">
        <f t="shared" si="2"/>
        <v>1.14491375</v>
      </c>
    </row>
    <row r="1210">
      <c r="A1210" s="3" t="s">
        <v>102</v>
      </c>
      <c r="B1210" s="3">
        <v>23.7</v>
      </c>
      <c r="C1210" s="3">
        <v>18.35</v>
      </c>
      <c r="D1210" s="3">
        <v>272.0</v>
      </c>
      <c r="E1210" s="3">
        <v>5.7</v>
      </c>
      <c r="F1210" s="3">
        <v>31.53</v>
      </c>
      <c r="G1210" s="3">
        <v>243.17</v>
      </c>
      <c r="H1210" s="3">
        <v>0.0</v>
      </c>
      <c r="I1210" s="3">
        <v>50.16</v>
      </c>
      <c r="J1210" s="3">
        <v>0.0</v>
      </c>
      <c r="K1210" s="4">
        <f t="shared" si="1"/>
        <v>60125.7898</v>
      </c>
      <c r="L1210" s="4">
        <f t="shared" si="2"/>
        <v>1.230486955</v>
      </c>
    </row>
    <row r="1211">
      <c r="A1211" s="3" t="s">
        <v>102</v>
      </c>
      <c r="B1211" s="3">
        <v>23.7</v>
      </c>
      <c r="C1211" s="3">
        <v>22.94</v>
      </c>
      <c r="D1211" s="3">
        <v>271.0</v>
      </c>
      <c r="E1211" s="3">
        <v>5.7</v>
      </c>
      <c r="F1211" s="3">
        <v>46.25</v>
      </c>
      <c r="G1211" s="3">
        <v>231.91</v>
      </c>
      <c r="H1211" s="3">
        <v>0.0</v>
      </c>
      <c r="I1211" s="3">
        <v>20.58</v>
      </c>
      <c r="J1211" s="3">
        <v>0.0</v>
      </c>
      <c r="K1211" s="4">
        <f t="shared" si="1"/>
        <v>55921.3106</v>
      </c>
      <c r="L1211" s="4">
        <f t="shared" si="2"/>
        <v>1.313291824</v>
      </c>
    </row>
    <row r="1212">
      <c r="A1212" s="3" t="s">
        <v>102</v>
      </c>
      <c r="B1212" s="3">
        <v>23.7</v>
      </c>
      <c r="C1212" s="3">
        <v>27.52</v>
      </c>
      <c r="D1212" s="3">
        <v>264.0</v>
      </c>
      <c r="E1212" s="3">
        <v>5.3</v>
      </c>
      <c r="F1212" s="3">
        <v>52.31</v>
      </c>
      <c r="G1212" s="3">
        <v>206.95</v>
      </c>
      <c r="H1212" s="3">
        <v>0.0</v>
      </c>
      <c r="I1212" s="3">
        <v>5.11</v>
      </c>
      <c r="J1212" s="3">
        <v>0.0</v>
      </c>
      <c r="K1212" s="4">
        <f t="shared" si="1"/>
        <v>45564.6386</v>
      </c>
      <c r="L1212" s="4">
        <f t="shared" si="2"/>
        <v>1.529607216</v>
      </c>
    </row>
    <row r="1213">
      <c r="A1213" s="3" t="s">
        <v>102</v>
      </c>
      <c r="B1213" s="3">
        <v>23.7</v>
      </c>
      <c r="C1213" s="3">
        <v>32.11</v>
      </c>
      <c r="D1213" s="3">
        <v>242.0</v>
      </c>
      <c r="E1213" s="3">
        <v>7.4</v>
      </c>
      <c r="F1213" s="3">
        <v>49.34</v>
      </c>
      <c r="G1213" s="3">
        <v>187.25</v>
      </c>
      <c r="H1213" s="3">
        <v>0.0</v>
      </c>
      <c r="I1213" s="3">
        <v>2.48</v>
      </c>
      <c r="J1213" s="3">
        <v>0.0</v>
      </c>
      <c r="K1213" s="4">
        <f t="shared" si="1"/>
        <v>37496.9981</v>
      </c>
      <c r="L1213" s="4">
        <f t="shared" si="2"/>
        <v>1.561831692</v>
      </c>
    </row>
    <row r="1214">
      <c r="A1214" s="3" t="s">
        <v>102</v>
      </c>
      <c r="B1214" s="3">
        <v>23.7</v>
      </c>
      <c r="C1214" s="3">
        <v>36.7</v>
      </c>
      <c r="D1214" s="3">
        <v>244.0</v>
      </c>
      <c r="E1214" s="3">
        <v>5.3</v>
      </c>
      <c r="F1214" s="3">
        <v>46.74</v>
      </c>
      <c r="G1214" s="3">
        <v>173.25</v>
      </c>
      <c r="H1214" s="3">
        <v>0.0</v>
      </c>
      <c r="I1214" s="3">
        <v>1.13</v>
      </c>
      <c r="J1214" s="3">
        <v>0.0</v>
      </c>
      <c r="K1214" s="4">
        <f t="shared" si="1"/>
        <v>32200.1901</v>
      </c>
      <c r="L1214" s="4">
        <f t="shared" si="2"/>
        <v>1.848933184</v>
      </c>
    </row>
    <row r="1215">
      <c r="A1215" s="3" t="s">
        <v>102</v>
      </c>
      <c r="B1215" s="3">
        <v>23.7</v>
      </c>
      <c r="C1215" s="3">
        <v>41.44</v>
      </c>
      <c r="D1215" s="3">
        <v>241.0</v>
      </c>
      <c r="E1215" s="3">
        <v>6.2</v>
      </c>
      <c r="F1215" s="3">
        <v>45.26</v>
      </c>
      <c r="G1215" s="3">
        <v>161.14</v>
      </c>
      <c r="H1215" s="3">
        <v>0.0</v>
      </c>
      <c r="I1215" s="3">
        <v>0.43</v>
      </c>
      <c r="J1215" s="3">
        <v>0.0</v>
      </c>
      <c r="K1215" s="4">
        <f t="shared" si="1"/>
        <v>28014.5672</v>
      </c>
      <c r="L1215" s="4">
        <f t="shared" si="2"/>
        <v>2.073242809</v>
      </c>
    </row>
    <row r="1216">
      <c r="A1216" s="3" t="s">
        <v>102</v>
      </c>
      <c r="B1216" s="3">
        <v>23.7</v>
      </c>
      <c r="C1216" s="3">
        <v>46.02</v>
      </c>
      <c r="D1216" s="3">
        <v>237.0</v>
      </c>
      <c r="E1216" s="3">
        <v>8.6</v>
      </c>
      <c r="F1216" s="3">
        <v>44.89</v>
      </c>
      <c r="G1216" s="3">
        <v>151.17</v>
      </c>
      <c r="H1216" s="3">
        <v>0.0</v>
      </c>
      <c r="I1216" s="3">
        <v>0.0</v>
      </c>
      <c r="J1216" s="3">
        <v>0.0</v>
      </c>
      <c r="K1216" s="4">
        <f t="shared" si="1"/>
        <v>24867.481</v>
      </c>
      <c r="L1216" s="4">
        <f t="shared" si="2"/>
        <v>2.258733002</v>
      </c>
    </row>
    <row r="1217">
      <c r="A1217" s="3" t="s">
        <v>103</v>
      </c>
      <c r="B1217" s="3">
        <v>18.0</v>
      </c>
      <c r="C1217" s="3">
        <v>0.87</v>
      </c>
      <c r="D1217" s="3">
        <v>39.3</v>
      </c>
      <c r="E1217" s="3">
        <v>6.6</v>
      </c>
      <c r="F1217" s="3">
        <v>0.0</v>
      </c>
      <c r="G1217" s="3">
        <v>32.75</v>
      </c>
      <c r="H1217" s="3">
        <v>0.0</v>
      </c>
      <c r="I1217" s="3">
        <v>255.76</v>
      </c>
      <c r="J1217" s="3">
        <v>0.0</v>
      </c>
      <c r="K1217" s="4">
        <f t="shared" si="1"/>
        <v>1072.5625</v>
      </c>
      <c r="L1217" s="4">
        <f t="shared" si="2"/>
        <v>1.44</v>
      </c>
    </row>
    <row r="1218">
      <c r="A1218" s="3" t="s">
        <v>103</v>
      </c>
      <c r="B1218" s="3">
        <v>18.0</v>
      </c>
      <c r="C1218" s="3">
        <v>1.74</v>
      </c>
      <c r="D1218" s="3">
        <v>54.6</v>
      </c>
      <c r="E1218" s="3">
        <v>5.6</v>
      </c>
      <c r="F1218" s="3">
        <v>11.53</v>
      </c>
      <c r="G1218" s="3">
        <v>62.91</v>
      </c>
      <c r="H1218" s="3">
        <v>0.0</v>
      </c>
      <c r="I1218" s="3">
        <v>223.85</v>
      </c>
      <c r="J1218" s="3">
        <v>0.0</v>
      </c>
      <c r="K1218" s="4">
        <f t="shared" si="1"/>
        <v>4090.609</v>
      </c>
      <c r="L1218" s="4">
        <f t="shared" si="2"/>
        <v>0.7287814602</v>
      </c>
    </row>
    <row r="1219">
      <c r="A1219" s="3" t="s">
        <v>103</v>
      </c>
      <c r="B1219" s="3">
        <v>18.0</v>
      </c>
      <c r="C1219" s="3">
        <v>2.61</v>
      </c>
      <c r="D1219" s="3">
        <v>65.5</v>
      </c>
      <c r="E1219" s="3">
        <v>6.7</v>
      </c>
      <c r="F1219" s="3">
        <v>13.36</v>
      </c>
      <c r="G1219" s="3">
        <v>83.12</v>
      </c>
      <c r="H1219" s="3">
        <v>0.0</v>
      </c>
      <c r="I1219" s="3">
        <v>159.05</v>
      </c>
      <c r="J1219" s="3">
        <v>0.0</v>
      </c>
      <c r="K1219" s="4">
        <f t="shared" si="1"/>
        <v>7087.424</v>
      </c>
      <c r="L1219" s="4">
        <f t="shared" si="2"/>
        <v>0.6053327697</v>
      </c>
    </row>
    <row r="1220">
      <c r="A1220" s="3" t="s">
        <v>103</v>
      </c>
      <c r="B1220" s="3">
        <v>18.0</v>
      </c>
      <c r="C1220" s="3">
        <v>3.5</v>
      </c>
      <c r="D1220" s="3">
        <v>83.9</v>
      </c>
      <c r="E1220" s="3">
        <v>5.2</v>
      </c>
      <c r="F1220" s="3">
        <v>15.73</v>
      </c>
      <c r="G1220" s="3">
        <v>93.77</v>
      </c>
      <c r="H1220" s="3">
        <v>0.0</v>
      </c>
      <c r="I1220" s="3">
        <v>100.83</v>
      </c>
      <c r="J1220" s="3">
        <v>0.0</v>
      </c>
      <c r="K1220" s="4">
        <f t="shared" si="1"/>
        <v>9040.2458</v>
      </c>
      <c r="L1220" s="4">
        <f t="shared" si="2"/>
        <v>0.7786525008</v>
      </c>
    </row>
    <row r="1221">
      <c r="A1221" s="3" t="s">
        <v>103</v>
      </c>
      <c r="B1221" s="3">
        <v>18.0</v>
      </c>
      <c r="C1221" s="3">
        <v>4.37</v>
      </c>
      <c r="D1221" s="3">
        <v>94.3</v>
      </c>
      <c r="E1221" s="3">
        <v>6.3</v>
      </c>
      <c r="F1221" s="3">
        <v>19.72</v>
      </c>
      <c r="G1221" s="3">
        <v>97.55</v>
      </c>
      <c r="H1221" s="3">
        <v>0.0</v>
      </c>
      <c r="I1221" s="3">
        <v>71.56</v>
      </c>
      <c r="J1221" s="3">
        <v>0.0</v>
      </c>
      <c r="K1221" s="4">
        <f t="shared" si="1"/>
        <v>9904.8809</v>
      </c>
      <c r="L1221" s="4">
        <f t="shared" si="2"/>
        <v>0.8977886852</v>
      </c>
    </row>
    <row r="1222">
      <c r="A1222" s="3" t="s">
        <v>103</v>
      </c>
      <c r="B1222" s="3">
        <v>18.0</v>
      </c>
      <c r="C1222" s="3">
        <v>5.24</v>
      </c>
      <c r="D1222" s="3">
        <v>104.0</v>
      </c>
      <c r="E1222" s="3">
        <v>5.7</v>
      </c>
      <c r="F1222" s="3">
        <v>22.31</v>
      </c>
      <c r="G1222" s="3">
        <v>98.14</v>
      </c>
      <c r="H1222" s="3">
        <v>0.0</v>
      </c>
      <c r="I1222" s="3">
        <v>51.09</v>
      </c>
      <c r="J1222" s="3">
        <v>0.0</v>
      </c>
      <c r="K1222" s="4">
        <f t="shared" si="1"/>
        <v>10129.1957</v>
      </c>
      <c r="L1222" s="4">
        <f t="shared" si="2"/>
        <v>1.067804426</v>
      </c>
    </row>
    <row r="1223">
      <c r="A1223" s="3" t="s">
        <v>103</v>
      </c>
      <c r="B1223" s="3">
        <v>18.0</v>
      </c>
      <c r="C1223" s="3">
        <v>6.11</v>
      </c>
      <c r="D1223" s="3">
        <v>115.0</v>
      </c>
      <c r="E1223" s="3">
        <v>5.1</v>
      </c>
      <c r="F1223" s="3">
        <v>25.86</v>
      </c>
      <c r="G1223" s="3">
        <v>98.57</v>
      </c>
      <c r="H1223" s="3">
        <v>0.0</v>
      </c>
      <c r="I1223" s="3">
        <v>39.41</v>
      </c>
      <c r="J1223" s="3">
        <v>0.0</v>
      </c>
      <c r="K1223" s="4">
        <f t="shared" si="1"/>
        <v>10384.7845</v>
      </c>
      <c r="L1223" s="4">
        <f t="shared" si="2"/>
        <v>1.273497779</v>
      </c>
    </row>
    <row r="1224">
      <c r="A1224" s="3" t="s">
        <v>103</v>
      </c>
      <c r="B1224" s="3">
        <v>18.0</v>
      </c>
      <c r="C1224" s="3">
        <v>6.98</v>
      </c>
      <c r="D1224" s="3">
        <v>127.0</v>
      </c>
      <c r="E1224" s="3">
        <v>5.1</v>
      </c>
      <c r="F1224" s="3">
        <v>29.63</v>
      </c>
      <c r="G1224" s="3">
        <v>99.07</v>
      </c>
      <c r="H1224" s="3">
        <v>0.0</v>
      </c>
      <c r="I1224" s="3">
        <v>31.0</v>
      </c>
      <c r="J1224" s="3">
        <v>0.0</v>
      </c>
      <c r="K1224" s="4">
        <f t="shared" si="1"/>
        <v>10692.8018</v>
      </c>
      <c r="L1224" s="4">
        <f t="shared" si="2"/>
        <v>1.508397921</v>
      </c>
    </row>
    <row r="1225">
      <c r="A1225" s="3" t="s">
        <v>103</v>
      </c>
      <c r="B1225" s="3">
        <v>18.0</v>
      </c>
      <c r="C1225" s="3">
        <v>7.85</v>
      </c>
      <c r="D1225" s="3">
        <v>129.0</v>
      </c>
      <c r="E1225" s="3">
        <v>5.1</v>
      </c>
      <c r="F1225" s="3">
        <v>33.19</v>
      </c>
      <c r="G1225" s="3">
        <v>99.28</v>
      </c>
      <c r="H1225" s="3">
        <v>0.0</v>
      </c>
      <c r="I1225" s="3">
        <v>20.82</v>
      </c>
      <c r="J1225" s="3">
        <v>0.0</v>
      </c>
      <c r="K1225" s="4">
        <f t="shared" si="1"/>
        <v>10958.0945</v>
      </c>
      <c r="L1225" s="4">
        <f t="shared" si="2"/>
        <v>1.51860344</v>
      </c>
    </row>
    <row r="1226">
      <c r="A1226" s="3" t="s">
        <v>103</v>
      </c>
      <c r="B1226" s="3">
        <v>18.0</v>
      </c>
      <c r="C1226" s="3">
        <v>8.72</v>
      </c>
      <c r="D1226" s="3">
        <v>127.0</v>
      </c>
      <c r="E1226" s="3">
        <v>5.1</v>
      </c>
      <c r="F1226" s="3">
        <v>36.53</v>
      </c>
      <c r="G1226" s="3">
        <v>96.65</v>
      </c>
      <c r="H1226" s="3">
        <v>0.0</v>
      </c>
      <c r="I1226" s="3">
        <v>13.73</v>
      </c>
      <c r="J1226" s="3">
        <v>0.0</v>
      </c>
      <c r="K1226" s="4">
        <f t="shared" si="1"/>
        <v>10675.6634</v>
      </c>
      <c r="L1226" s="4">
        <f t="shared" si="2"/>
        <v>1.510819459</v>
      </c>
    </row>
    <row r="1227">
      <c r="A1227" s="3" t="s">
        <v>103</v>
      </c>
      <c r="B1227" s="3">
        <v>18.0</v>
      </c>
      <c r="C1227" s="3">
        <v>9.6</v>
      </c>
      <c r="D1227" s="3">
        <v>124.0</v>
      </c>
      <c r="E1227" s="3">
        <v>5.1</v>
      </c>
      <c r="F1227" s="3">
        <v>35.56</v>
      </c>
      <c r="G1227" s="3">
        <v>93.39</v>
      </c>
      <c r="H1227" s="3">
        <v>0.0</v>
      </c>
      <c r="I1227" s="3">
        <v>9.74</v>
      </c>
      <c r="J1227" s="3">
        <v>0.0</v>
      </c>
      <c r="K1227" s="4">
        <f t="shared" si="1"/>
        <v>9986.2057</v>
      </c>
      <c r="L1227" s="4">
        <f t="shared" si="2"/>
        <v>1.539723941</v>
      </c>
    </row>
    <row r="1228">
      <c r="A1228" s="3" t="s">
        <v>103</v>
      </c>
      <c r="B1228" s="3">
        <v>18.0</v>
      </c>
      <c r="C1228" s="3">
        <v>10.47</v>
      </c>
      <c r="D1228" s="3">
        <v>122.0</v>
      </c>
      <c r="E1228" s="3">
        <v>3.9</v>
      </c>
      <c r="F1228" s="3">
        <v>33.73</v>
      </c>
      <c r="G1228" s="3">
        <v>90.22</v>
      </c>
      <c r="H1228" s="3">
        <v>0.0</v>
      </c>
      <c r="I1228" s="3">
        <v>6.87</v>
      </c>
      <c r="J1228" s="3">
        <v>0.0</v>
      </c>
      <c r="K1228" s="4">
        <f t="shared" si="1"/>
        <v>9277.3613</v>
      </c>
      <c r="L1228" s="4">
        <f t="shared" si="2"/>
        <v>1.604335491</v>
      </c>
    </row>
    <row r="1229">
      <c r="A1229" s="3" t="s">
        <v>104</v>
      </c>
      <c r="B1229" s="3">
        <v>18.0</v>
      </c>
      <c r="C1229" s="3">
        <v>5.49</v>
      </c>
      <c r="D1229" s="3">
        <v>198.0</v>
      </c>
      <c r="E1229" s="3">
        <v>10.0</v>
      </c>
      <c r="F1229" s="3">
        <v>0.0</v>
      </c>
      <c r="G1229" s="3">
        <v>186.83</v>
      </c>
      <c r="H1229" s="3">
        <v>108.11</v>
      </c>
      <c r="I1229" s="3">
        <v>258.72</v>
      </c>
      <c r="J1229" s="3">
        <v>6.53</v>
      </c>
      <c r="K1229" s="4">
        <f t="shared" si="1"/>
        <v>34905.4489</v>
      </c>
      <c r="L1229" s="4">
        <f t="shared" si="2"/>
        <v>1.123148426</v>
      </c>
    </row>
    <row r="1230">
      <c r="A1230" s="3" t="s">
        <v>104</v>
      </c>
      <c r="B1230" s="3">
        <v>18.0</v>
      </c>
      <c r="C1230" s="3">
        <v>6.17</v>
      </c>
      <c r="D1230" s="3">
        <v>195.0</v>
      </c>
      <c r="E1230" s="3">
        <v>5.0</v>
      </c>
      <c r="F1230" s="3">
        <v>10.14</v>
      </c>
      <c r="G1230" s="3">
        <v>197.4</v>
      </c>
      <c r="H1230" s="3">
        <v>102.7</v>
      </c>
      <c r="I1230" s="3">
        <v>211.17</v>
      </c>
      <c r="J1230" s="3">
        <v>3.26</v>
      </c>
      <c r="K1230" s="4">
        <f t="shared" si="1"/>
        <v>39069.5796</v>
      </c>
      <c r="L1230" s="4">
        <f t="shared" si="2"/>
        <v>0.9732636079</v>
      </c>
    </row>
    <row r="1231">
      <c r="A1231" s="3" t="s">
        <v>104</v>
      </c>
      <c r="B1231" s="3">
        <v>18.0</v>
      </c>
      <c r="C1231" s="3">
        <v>6.92</v>
      </c>
      <c r="D1231" s="3">
        <v>194.0</v>
      </c>
      <c r="E1231" s="3">
        <v>4.0</v>
      </c>
      <c r="F1231" s="3">
        <v>19.07</v>
      </c>
      <c r="G1231" s="3">
        <v>203.18</v>
      </c>
      <c r="H1231" s="3">
        <v>97.43</v>
      </c>
      <c r="I1231" s="3">
        <v>152.63</v>
      </c>
      <c r="J1231" s="3">
        <v>1.51</v>
      </c>
      <c r="K1231" s="4">
        <f t="shared" si="1"/>
        <v>41645.7773</v>
      </c>
      <c r="L1231" s="4">
        <f t="shared" si="2"/>
        <v>0.9037170739</v>
      </c>
    </row>
    <row r="1232">
      <c r="A1232" s="3" t="s">
        <v>104</v>
      </c>
      <c r="B1232" s="3">
        <v>18.0</v>
      </c>
      <c r="C1232" s="3">
        <v>7.69</v>
      </c>
      <c r="D1232" s="3">
        <v>195.0</v>
      </c>
      <c r="E1232" s="3">
        <v>3.0</v>
      </c>
      <c r="F1232" s="3">
        <v>24.03</v>
      </c>
      <c r="G1232" s="3">
        <v>205.95</v>
      </c>
      <c r="H1232" s="3">
        <v>92.74</v>
      </c>
      <c r="I1232" s="3">
        <v>114.26</v>
      </c>
      <c r="J1232" s="3">
        <v>0.69</v>
      </c>
      <c r="K1232" s="4">
        <f t="shared" si="1"/>
        <v>42992.8434</v>
      </c>
      <c r="L1232" s="4">
        <f t="shared" si="2"/>
        <v>0.8844495268</v>
      </c>
    </row>
    <row r="1233">
      <c r="A1233" s="3" t="s">
        <v>104</v>
      </c>
      <c r="B1233" s="3">
        <v>18.0</v>
      </c>
      <c r="C1233" s="3">
        <v>8.36</v>
      </c>
      <c r="D1233" s="3">
        <v>195.0</v>
      </c>
      <c r="E1233" s="3">
        <v>3.0</v>
      </c>
      <c r="F1233" s="3">
        <v>26.62</v>
      </c>
      <c r="G1233" s="3">
        <v>205.73</v>
      </c>
      <c r="H1233" s="3">
        <v>88.92</v>
      </c>
      <c r="I1233" s="3">
        <v>79.51</v>
      </c>
      <c r="J1233" s="3">
        <v>0.35</v>
      </c>
      <c r="K1233" s="4">
        <f t="shared" si="1"/>
        <v>43033.4573</v>
      </c>
      <c r="L1233" s="4">
        <f t="shared" si="2"/>
        <v>0.8836148055</v>
      </c>
    </row>
    <row r="1234">
      <c r="A1234" s="3" t="s">
        <v>104</v>
      </c>
      <c r="B1234" s="3">
        <v>18.0</v>
      </c>
      <c r="C1234" s="3">
        <v>9.12</v>
      </c>
      <c r="D1234" s="3">
        <v>195.0</v>
      </c>
      <c r="E1234" s="3">
        <v>3.0</v>
      </c>
      <c r="F1234" s="3">
        <v>28.67</v>
      </c>
      <c r="G1234" s="3">
        <v>202.75</v>
      </c>
      <c r="H1234" s="3">
        <v>85.21</v>
      </c>
      <c r="I1234" s="3">
        <v>49.71</v>
      </c>
      <c r="J1234" s="3">
        <v>0.16</v>
      </c>
      <c r="K1234" s="4">
        <f t="shared" si="1"/>
        <v>41929.5314</v>
      </c>
      <c r="L1234" s="4">
        <f t="shared" si="2"/>
        <v>0.9068787256</v>
      </c>
    </row>
    <row r="1235">
      <c r="A1235" s="3" t="s">
        <v>104</v>
      </c>
      <c r="B1235" s="3">
        <v>18.0</v>
      </c>
      <c r="C1235" s="3">
        <v>9.88</v>
      </c>
      <c r="D1235" s="3">
        <v>192.0</v>
      </c>
      <c r="E1235" s="3">
        <v>7.0</v>
      </c>
      <c r="F1235" s="3">
        <v>29.74</v>
      </c>
      <c r="G1235" s="3">
        <v>195.44</v>
      </c>
      <c r="H1235" s="3">
        <v>81.9</v>
      </c>
      <c r="I1235" s="3">
        <v>20.91</v>
      </c>
      <c r="J1235" s="3">
        <v>0.07</v>
      </c>
      <c r="K1235" s="4">
        <f t="shared" si="1"/>
        <v>39081.2612</v>
      </c>
      <c r="L1235" s="4">
        <f t="shared" si="2"/>
        <v>0.9432653622</v>
      </c>
    </row>
    <row r="1236">
      <c r="A1236" s="3" t="s">
        <v>104</v>
      </c>
      <c r="B1236" s="3">
        <v>18.0</v>
      </c>
      <c r="C1236" s="3">
        <v>10.56</v>
      </c>
      <c r="D1236" s="3">
        <v>188.0</v>
      </c>
      <c r="E1236" s="3">
        <v>8.0</v>
      </c>
      <c r="F1236" s="3">
        <v>29.63</v>
      </c>
      <c r="G1236" s="3">
        <v>185.44</v>
      </c>
      <c r="H1236" s="3">
        <v>79.23</v>
      </c>
      <c r="I1236" s="3">
        <v>9.67</v>
      </c>
      <c r="J1236" s="3">
        <v>0.04</v>
      </c>
      <c r="K1236" s="4">
        <f t="shared" si="1"/>
        <v>35265.9305</v>
      </c>
      <c r="L1236" s="4">
        <f t="shared" si="2"/>
        <v>1.002213737</v>
      </c>
    </row>
    <row r="1237">
      <c r="A1237" s="3" t="s">
        <v>104</v>
      </c>
      <c r="B1237" s="3">
        <v>18.0</v>
      </c>
      <c r="C1237" s="3">
        <v>11.31</v>
      </c>
      <c r="D1237" s="3">
        <v>186.0</v>
      </c>
      <c r="E1237" s="3">
        <v>7.0</v>
      </c>
      <c r="F1237" s="3">
        <v>29.42</v>
      </c>
      <c r="G1237" s="3">
        <v>175.66</v>
      </c>
      <c r="H1237" s="3">
        <v>76.58</v>
      </c>
      <c r="I1237" s="3">
        <v>4.66</v>
      </c>
      <c r="J1237" s="3">
        <v>0.02</v>
      </c>
      <c r="K1237" s="4">
        <f t="shared" si="1"/>
        <v>31721.972</v>
      </c>
      <c r="L1237" s="4">
        <f t="shared" si="2"/>
        <v>1.090600547</v>
      </c>
    </row>
    <row r="1238">
      <c r="A1238" s="3" t="s">
        <v>104</v>
      </c>
      <c r="B1238" s="3">
        <v>18.0</v>
      </c>
      <c r="C1238" s="3">
        <v>12.08</v>
      </c>
      <c r="D1238" s="3">
        <v>186.0</v>
      </c>
      <c r="E1238" s="3">
        <v>6.0</v>
      </c>
      <c r="F1238" s="3">
        <v>29.85</v>
      </c>
      <c r="G1238" s="3">
        <v>166.96</v>
      </c>
      <c r="H1238" s="3">
        <v>74.1</v>
      </c>
      <c r="I1238" s="3">
        <v>2.88</v>
      </c>
      <c r="J1238" s="3">
        <v>0.01</v>
      </c>
      <c r="K1238" s="4">
        <f t="shared" si="1"/>
        <v>28766.6641</v>
      </c>
      <c r="L1238" s="4">
        <f t="shared" si="2"/>
        <v>1.202642054</v>
      </c>
    </row>
    <row r="1239">
      <c r="A1239" s="3" t="s">
        <v>104</v>
      </c>
      <c r="B1239" s="3">
        <v>18.0</v>
      </c>
      <c r="C1239" s="3">
        <v>12.77</v>
      </c>
      <c r="D1239" s="3">
        <v>186.0</v>
      </c>
      <c r="E1239" s="3">
        <v>5.0</v>
      </c>
      <c r="F1239" s="3">
        <v>30.5</v>
      </c>
      <c r="G1239" s="3">
        <v>160.29</v>
      </c>
      <c r="H1239" s="3">
        <v>72.07</v>
      </c>
      <c r="I1239" s="3">
        <v>1.8</v>
      </c>
      <c r="J1239" s="3">
        <v>0.0</v>
      </c>
      <c r="K1239" s="4">
        <f t="shared" si="1"/>
        <v>26623.1341</v>
      </c>
      <c r="L1239" s="4">
        <f t="shared" si="2"/>
        <v>1.29947135</v>
      </c>
    </row>
    <row r="1240">
      <c r="A1240" s="3" t="s">
        <v>104</v>
      </c>
      <c r="B1240" s="3">
        <v>18.0</v>
      </c>
      <c r="C1240" s="3">
        <v>13.47</v>
      </c>
      <c r="D1240" s="3">
        <v>185.0</v>
      </c>
      <c r="E1240" s="3">
        <v>6.0</v>
      </c>
      <c r="F1240" s="3">
        <v>31.57</v>
      </c>
      <c r="G1240" s="3">
        <v>154.56</v>
      </c>
      <c r="H1240" s="3">
        <v>70.18</v>
      </c>
      <c r="I1240" s="3">
        <v>1.31</v>
      </c>
      <c r="J1240" s="3">
        <v>0.0</v>
      </c>
      <c r="K1240" s="4">
        <f t="shared" si="1"/>
        <v>24885.4585</v>
      </c>
      <c r="L1240" s="4">
        <f t="shared" si="2"/>
        <v>1.375301162</v>
      </c>
    </row>
    <row r="1241">
      <c r="A1241" s="3" t="s">
        <v>104</v>
      </c>
      <c r="B1241" s="3">
        <v>18.0</v>
      </c>
      <c r="C1241" s="3">
        <v>14.17</v>
      </c>
      <c r="D1241" s="3">
        <v>180.0</v>
      </c>
      <c r="E1241" s="3">
        <v>10.0</v>
      </c>
      <c r="F1241" s="3">
        <v>32.44</v>
      </c>
      <c r="G1241" s="3">
        <v>149.44</v>
      </c>
      <c r="H1241" s="3">
        <v>68.41</v>
      </c>
      <c r="I1241" s="3">
        <v>0.82</v>
      </c>
      <c r="J1241" s="3">
        <v>0.0</v>
      </c>
      <c r="K1241" s="4">
        <f t="shared" si="1"/>
        <v>23384.6672</v>
      </c>
      <c r="L1241" s="4">
        <f t="shared" si="2"/>
        <v>1.385523246</v>
      </c>
    </row>
    <row r="1242">
      <c r="A1242" s="3" t="s">
        <v>104</v>
      </c>
      <c r="B1242" s="3">
        <v>18.0</v>
      </c>
      <c r="C1242" s="3">
        <v>14.98</v>
      </c>
      <c r="D1242" s="3">
        <v>163.0</v>
      </c>
      <c r="E1242" s="3">
        <v>8.0</v>
      </c>
      <c r="F1242" s="3">
        <v>32.98</v>
      </c>
      <c r="G1242" s="3">
        <v>144.15</v>
      </c>
      <c r="H1242" s="3">
        <v>66.54</v>
      </c>
      <c r="I1242" s="3">
        <v>0.43</v>
      </c>
      <c r="J1242" s="3">
        <v>0.0</v>
      </c>
      <c r="K1242" s="4">
        <f t="shared" si="1"/>
        <v>21866.9029</v>
      </c>
      <c r="L1242" s="4">
        <f t="shared" si="2"/>
        <v>1.215032605</v>
      </c>
    </row>
    <row r="1243">
      <c r="A1243" s="3" t="s">
        <v>104</v>
      </c>
      <c r="B1243" s="3">
        <v>18.0</v>
      </c>
      <c r="C1243" s="3">
        <v>15.68</v>
      </c>
      <c r="D1243" s="3">
        <v>162.0</v>
      </c>
      <c r="E1243" s="3">
        <v>6.0</v>
      </c>
      <c r="F1243" s="3">
        <v>32.44</v>
      </c>
      <c r="G1243" s="3">
        <v>140.03</v>
      </c>
      <c r="H1243" s="3">
        <v>65.04</v>
      </c>
      <c r="I1243" s="3">
        <v>0.22</v>
      </c>
      <c r="J1243" s="3">
        <v>0.0</v>
      </c>
      <c r="K1243" s="4">
        <f t="shared" si="1"/>
        <v>20660.7545</v>
      </c>
      <c r="L1243" s="4">
        <f t="shared" si="2"/>
        <v>1.270234347</v>
      </c>
    </row>
    <row r="1244">
      <c r="A1244" s="3" t="s">
        <v>104</v>
      </c>
      <c r="B1244" s="3">
        <v>18.0</v>
      </c>
      <c r="C1244" s="3">
        <v>16.37</v>
      </c>
      <c r="D1244" s="3">
        <v>164.0</v>
      </c>
      <c r="E1244" s="3">
        <v>5.0</v>
      </c>
      <c r="F1244" s="3">
        <v>31.79</v>
      </c>
      <c r="G1244" s="3">
        <v>136.17</v>
      </c>
      <c r="H1244" s="3">
        <v>63.66</v>
      </c>
      <c r="I1244" s="3">
        <v>0.0</v>
      </c>
      <c r="J1244" s="3">
        <v>0.0</v>
      </c>
      <c r="K1244" s="4">
        <f t="shared" si="1"/>
        <v>19552.873</v>
      </c>
      <c r="L1244" s="4">
        <f t="shared" si="2"/>
        <v>1.375552329</v>
      </c>
    </row>
    <row r="1245">
      <c r="A1245" s="3" t="s">
        <v>104</v>
      </c>
      <c r="B1245" s="3">
        <v>18.0</v>
      </c>
      <c r="C1245" s="3">
        <v>17.19</v>
      </c>
      <c r="D1245" s="3">
        <v>166.0</v>
      </c>
      <c r="E1245" s="3">
        <v>5.0</v>
      </c>
      <c r="F1245" s="3">
        <v>30.82</v>
      </c>
      <c r="G1245" s="3">
        <v>132.07</v>
      </c>
      <c r="H1245" s="3">
        <v>62.12</v>
      </c>
      <c r="I1245" s="3">
        <v>0.0</v>
      </c>
      <c r="J1245" s="3">
        <v>0.0</v>
      </c>
      <c r="K1245" s="4">
        <f t="shared" si="1"/>
        <v>18392.3573</v>
      </c>
      <c r="L1245" s="4">
        <f t="shared" si="2"/>
        <v>1.498231007</v>
      </c>
    </row>
    <row r="1246">
      <c r="A1246" s="3" t="s">
        <v>104</v>
      </c>
      <c r="B1246" s="3">
        <v>18.0</v>
      </c>
      <c r="C1246" s="3">
        <v>17.88</v>
      </c>
      <c r="D1246" s="3">
        <v>166.0</v>
      </c>
      <c r="E1246" s="3">
        <v>5.0</v>
      </c>
      <c r="F1246" s="3">
        <v>29.63</v>
      </c>
      <c r="G1246" s="3">
        <v>128.95</v>
      </c>
      <c r="H1246" s="3">
        <v>60.91</v>
      </c>
      <c r="I1246" s="3">
        <v>0.0</v>
      </c>
      <c r="J1246" s="3">
        <v>0.0</v>
      </c>
      <c r="K1246" s="4">
        <f t="shared" si="1"/>
        <v>17506.0394</v>
      </c>
      <c r="L1246" s="4">
        <f t="shared" si="2"/>
        <v>1.574085341</v>
      </c>
    </row>
    <row r="1247">
      <c r="A1247" s="3" t="s">
        <v>104</v>
      </c>
      <c r="B1247" s="3">
        <v>18.0</v>
      </c>
      <c r="C1247" s="3">
        <v>18.58</v>
      </c>
      <c r="D1247" s="3">
        <v>166.0</v>
      </c>
      <c r="E1247" s="3">
        <v>5.0</v>
      </c>
      <c r="F1247" s="3">
        <v>28.56</v>
      </c>
      <c r="G1247" s="3">
        <v>126.05</v>
      </c>
      <c r="H1247" s="3">
        <v>59.75</v>
      </c>
      <c r="I1247" s="3">
        <v>0.0</v>
      </c>
      <c r="J1247" s="3">
        <v>0.0</v>
      </c>
      <c r="K1247" s="4">
        <f t="shared" si="1"/>
        <v>16704.2761</v>
      </c>
      <c r="L1247" s="4">
        <f t="shared" si="2"/>
        <v>1.649637484</v>
      </c>
    </row>
    <row r="1248">
      <c r="A1248" s="3" t="s">
        <v>104</v>
      </c>
      <c r="B1248" s="3">
        <v>18.0</v>
      </c>
      <c r="C1248" s="3">
        <v>19.39</v>
      </c>
      <c r="D1248" s="3">
        <v>166.0</v>
      </c>
      <c r="E1248" s="3">
        <v>5.0</v>
      </c>
      <c r="F1248" s="3">
        <v>27.91</v>
      </c>
      <c r="G1248" s="3">
        <v>122.95</v>
      </c>
      <c r="H1248" s="3">
        <v>58.49</v>
      </c>
      <c r="I1248" s="3">
        <v>0.0</v>
      </c>
      <c r="J1248" s="3">
        <v>0.0</v>
      </c>
      <c r="K1248" s="4">
        <f t="shared" si="1"/>
        <v>15895.6706</v>
      </c>
      <c r="L1248" s="4">
        <f t="shared" si="2"/>
        <v>1.733553789</v>
      </c>
    </row>
    <row r="1249">
      <c r="A1249" s="3" t="s">
        <v>104</v>
      </c>
      <c r="B1249" s="3">
        <v>18.0</v>
      </c>
      <c r="C1249" s="3">
        <v>20.09</v>
      </c>
      <c r="D1249" s="3">
        <v>168.0</v>
      </c>
      <c r="E1249" s="3">
        <v>5.0</v>
      </c>
      <c r="F1249" s="3">
        <v>27.26</v>
      </c>
      <c r="G1249" s="3">
        <v>120.47</v>
      </c>
      <c r="H1249" s="3">
        <v>57.46</v>
      </c>
      <c r="I1249" s="3">
        <v>0.0</v>
      </c>
      <c r="J1249" s="3">
        <v>0.0</v>
      </c>
      <c r="K1249" s="4">
        <f t="shared" si="1"/>
        <v>15256.1285</v>
      </c>
      <c r="L1249" s="4">
        <f t="shared" si="2"/>
        <v>1.850010637</v>
      </c>
    </row>
    <row r="1250">
      <c r="A1250" s="3" t="s">
        <v>104</v>
      </c>
      <c r="B1250" s="3">
        <v>18.0</v>
      </c>
      <c r="C1250" s="3">
        <v>20.79</v>
      </c>
      <c r="D1250" s="3">
        <v>172.0</v>
      </c>
      <c r="E1250" s="3">
        <v>5.0</v>
      </c>
      <c r="F1250" s="3">
        <v>26.4</v>
      </c>
      <c r="G1250" s="3">
        <v>118.15</v>
      </c>
      <c r="H1250" s="3">
        <v>56.49</v>
      </c>
      <c r="I1250" s="3">
        <v>0.0</v>
      </c>
      <c r="J1250" s="3">
        <v>0.0</v>
      </c>
      <c r="K1250" s="4">
        <f t="shared" si="1"/>
        <v>14656.3825</v>
      </c>
      <c r="L1250" s="4">
        <f t="shared" si="2"/>
        <v>2.018506272</v>
      </c>
    </row>
    <row r="1251">
      <c r="A1251" s="3" t="s">
        <v>104</v>
      </c>
      <c r="B1251" s="3">
        <v>18.0</v>
      </c>
      <c r="C1251" s="3">
        <v>21.48</v>
      </c>
      <c r="D1251" s="3">
        <v>173.0</v>
      </c>
      <c r="E1251" s="3">
        <v>5.0</v>
      </c>
      <c r="F1251" s="3">
        <v>25.97</v>
      </c>
      <c r="G1251" s="3">
        <v>116.0</v>
      </c>
      <c r="H1251" s="3">
        <v>55.57</v>
      </c>
      <c r="I1251" s="3">
        <v>0.0</v>
      </c>
      <c r="J1251" s="3">
        <v>0.0</v>
      </c>
      <c r="K1251" s="4">
        <f t="shared" si="1"/>
        <v>14130.4409</v>
      </c>
      <c r="L1251" s="4">
        <f t="shared" si="2"/>
        <v>2.118051391</v>
      </c>
    </row>
    <row r="1252">
      <c r="A1252" s="3" t="s">
        <v>104</v>
      </c>
      <c r="B1252" s="3">
        <v>18.0</v>
      </c>
      <c r="C1252" s="3">
        <v>22.3</v>
      </c>
      <c r="D1252" s="3">
        <v>171.0</v>
      </c>
      <c r="E1252" s="3">
        <v>5.0</v>
      </c>
      <c r="F1252" s="3">
        <v>26.08</v>
      </c>
      <c r="G1252" s="3">
        <v>113.61</v>
      </c>
      <c r="H1252" s="3">
        <v>54.54</v>
      </c>
      <c r="I1252" s="3">
        <v>0.0</v>
      </c>
      <c r="J1252" s="3">
        <v>0.0</v>
      </c>
      <c r="K1252" s="4">
        <f t="shared" si="1"/>
        <v>13587.3985</v>
      </c>
      <c r="L1252" s="4">
        <f t="shared" si="2"/>
        <v>2.152067594</v>
      </c>
    </row>
    <row r="1253">
      <c r="A1253" s="3" t="s">
        <v>104</v>
      </c>
      <c r="B1253" s="3">
        <v>18.0</v>
      </c>
      <c r="C1253" s="3">
        <v>22.99</v>
      </c>
      <c r="D1253" s="3">
        <v>170.0</v>
      </c>
      <c r="E1253" s="3">
        <v>5.0</v>
      </c>
      <c r="F1253" s="3">
        <v>26.4</v>
      </c>
      <c r="G1253" s="3">
        <v>111.72</v>
      </c>
      <c r="H1253" s="3">
        <v>53.72</v>
      </c>
      <c r="I1253" s="3">
        <v>0.0</v>
      </c>
      <c r="J1253" s="3">
        <v>0.0</v>
      </c>
      <c r="K1253" s="4">
        <f t="shared" si="1"/>
        <v>13178.3184</v>
      </c>
      <c r="L1253" s="4">
        <f t="shared" si="2"/>
        <v>2.192996035</v>
      </c>
    </row>
    <row r="1254">
      <c r="A1254" s="3" t="s">
        <v>104</v>
      </c>
      <c r="B1254" s="3">
        <v>18.0</v>
      </c>
      <c r="C1254" s="3">
        <v>23.69</v>
      </c>
      <c r="D1254" s="3">
        <v>172.0</v>
      </c>
      <c r="E1254" s="3">
        <v>5.0</v>
      </c>
      <c r="F1254" s="3">
        <v>27.16</v>
      </c>
      <c r="G1254" s="3">
        <v>109.89</v>
      </c>
      <c r="H1254" s="3">
        <v>52.92</v>
      </c>
      <c r="I1254" s="3">
        <v>0.0</v>
      </c>
      <c r="J1254" s="3">
        <v>0.0</v>
      </c>
      <c r="K1254" s="4">
        <f t="shared" si="1"/>
        <v>12813.4777</v>
      </c>
      <c r="L1254" s="4">
        <f t="shared" si="2"/>
        <v>2.30881894</v>
      </c>
    </row>
    <row r="1255">
      <c r="A1255" s="3" t="s">
        <v>104</v>
      </c>
      <c r="B1255" s="3">
        <v>18.0</v>
      </c>
      <c r="C1255" s="3">
        <v>24.39</v>
      </c>
      <c r="D1255" s="3">
        <v>173.0</v>
      </c>
      <c r="E1255" s="3">
        <v>5.0</v>
      </c>
      <c r="F1255" s="3">
        <v>28.88</v>
      </c>
      <c r="G1255" s="3">
        <v>108.16</v>
      </c>
      <c r="H1255" s="3">
        <v>52.15</v>
      </c>
      <c r="I1255" s="3">
        <v>0.0</v>
      </c>
      <c r="J1255" s="3">
        <v>0.0</v>
      </c>
      <c r="K1255" s="4">
        <f t="shared" si="1"/>
        <v>12532.64</v>
      </c>
      <c r="L1255" s="4">
        <f t="shared" si="2"/>
        <v>2.388084234</v>
      </c>
    </row>
    <row r="1256">
      <c r="A1256" s="3" t="s">
        <v>104</v>
      </c>
      <c r="B1256" s="3">
        <v>18.0</v>
      </c>
      <c r="C1256" s="3">
        <v>25.2</v>
      </c>
      <c r="D1256" s="3">
        <v>176.0</v>
      </c>
      <c r="E1256" s="3">
        <v>5.0</v>
      </c>
      <c r="F1256" s="3">
        <v>30.17</v>
      </c>
      <c r="G1256" s="3">
        <v>106.26</v>
      </c>
      <c r="H1256" s="3">
        <v>51.31</v>
      </c>
      <c r="I1256" s="3">
        <v>0.0</v>
      </c>
      <c r="J1256" s="3">
        <v>0.0</v>
      </c>
      <c r="K1256" s="4">
        <f t="shared" si="1"/>
        <v>12201.4165</v>
      </c>
      <c r="L1256" s="4">
        <f t="shared" si="2"/>
        <v>2.538721631</v>
      </c>
    </row>
    <row r="1257">
      <c r="A1257" s="3" t="s">
        <v>104</v>
      </c>
      <c r="B1257" s="3">
        <v>18.0</v>
      </c>
      <c r="C1257" s="3">
        <v>25.9</v>
      </c>
      <c r="D1257" s="3">
        <v>178.0</v>
      </c>
      <c r="E1257" s="3">
        <v>5.0</v>
      </c>
      <c r="F1257" s="3">
        <v>29.96</v>
      </c>
      <c r="G1257" s="3">
        <v>104.71</v>
      </c>
      <c r="H1257" s="3">
        <v>50.61</v>
      </c>
      <c r="I1257" s="3">
        <v>0.0</v>
      </c>
      <c r="J1257" s="3">
        <v>0.0</v>
      </c>
      <c r="K1257" s="4">
        <f t="shared" si="1"/>
        <v>11861.7857</v>
      </c>
      <c r="L1257" s="4">
        <f t="shared" si="2"/>
        <v>2.671098669</v>
      </c>
    </row>
    <row r="1258">
      <c r="A1258" s="3" t="s">
        <v>104</v>
      </c>
      <c r="B1258" s="3">
        <v>18.0</v>
      </c>
      <c r="C1258" s="3">
        <v>26.59</v>
      </c>
      <c r="D1258" s="3">
        <v>180.0</v>
      </c>
      <c r="E1258" s="3">
        <v>6.0</v>
      </c>
      <c r="F1258" s="3">
        <v>29.63</v>
      </c>
      <c r="G1258" s="3">
        <v>103.24</v>
      </c>
      <c r="H1258" s="3">
        <v>49.95</v>
      </c>
      <c r="I1258" s="3">
        <v>0.0</v>
      </c>
      <c r="J1258" s="3">
        <v>0.0</v>
      </c>
      <c r="K1258" s="4">
        <f t="shared" si="1"/>
        <v>11536.4345</v>
      </c>
      <c r="L1258" s="4">
        <f t="shared" si="2"/>
        <v>2.808493387</v>
      </c>
    </row>
    <row r="1259">
      <c r="A1259" s="3" t="s">
        <v>104</v>
      </c>
      <c r="B1259" s="3">
        <v>18.0</v>
      </c>
      <c r="C1259" s="3">
        <v>27.41</v>
      </c>
      <c r="D1259" s="3">
        <v>180.0</v>
      </c>
      <c r="E1259" s="3">
        <v>8.0</v>
      </c>
      <c r="F1259" s="3">
        <v>29.1</v>
      </c>
      <c r="G1259" s="3">
        <v>101.58</v>
      </c>
      <c r="H1259" s="3">
        <v>49.19</v>
      </c>
      <c r="I1259" s="3">
        <v>0.0</v>
      </c>
      <c r="J1259" s="3">
        <v>0.0</v>
      </c>
      <c r="K1259" s="4">
        <f t="shared" si="1"/>
        <v>11165.3064</v>
      </c>
      <c r="L1259" s="4">
        <f t="shared" si="2"/>
        <v>2.901846025</v>
      </c>
    </row>
    <row r="1260">
      <c r="A1260" s="3" t="s">
        <v>104</v>
      </c>
      <c r="B1260" s="3">
        <v>18.0</v>
      </c>
      <c r="C1260" s="3">
        <v>28.1</v>
      </c>
      <c r="D1260" s="3">
        <v>180.0</v>
      </c>
      <c r="E1260" s="3">
        <v>5.0</v>
      </c>
      <c r="F1260" s="3">
        <v>28.45</v>
      </c>
      <c r="G1260" s="3">
        <v>100.24</v>
      </c>
      <c r="H1260" s="3">
        <v>48.59</v>
      </c>
      <c r="I1260" s="3">
        <v>0.0</v>
      </c>
      <c r="J1260" s="3">
        <v>0.0</v>
      </c>
      <c r="K1260" s="4">
        <f t="shared" si="1"/>
        <v>10857.4601</v>
      </c>
      <c r="L1260" s="4">
        <f t="shared" si="2"/>
        <v>2.984123331</v>
      </c>
    </row>
    <row r="1261">
      <c r="A1261" s="3" t="s">
        <v>104</v>
      </c>
      <c r="B1261" s="3">
        <v>18.0</v>
      </c>
      <c r="C1261" s="3">
        <v>28.8</v>
      </c>
      <c r="D1261" s="3">
        <v>180.0</v>
      </c>
      <c r="E1261" s="3">
        <v>5.0</v>
      </c>
      <c r="F1261" s="3">
        <v>28.02</v>
      </c>
      <c r="G1261" s="3">
        <v>98.94</v>
      </c>
      <c r="H1261" s="3">
        <v>47.99</v>
      </c>
      <c r="I1261" s="3">
        <v>0.0</v>
      </c>
      <c r="J1261" s="3">
        <v>0.0</v>
      </c>
      <c r="K1261" s="4">
        <f t="shared" si="1"/>
        <v>10574.244</v>
      </c>
      <c r="L1261" s="4">
        <f t="shared" si="2"/>
        <v>3.064048834</v>
      </c>
    </row>
    <row r="1262">
      <c r="A1262" s="3" t="s">
        <v>104</v>
      </c>
      <c r="B1262" s="3">
        <v>18.0</v>
      </c>
      <c r="C1262" s="3">
        <v>29.61</v>
      </c>
      <c r="D1262" s="3">
        <v>178.0</v>
      </c>
      <c r="E1262" s="3">
        <v>5.0</v>
      </c>
      <c r="F1262" s="3">
        <v>27.59</v>
      </c>
      <c r="G1262" s="3">
        <v>97.5</v>
      </c>
      <c r="H1262" s="3">
        <v>47.33</v>
      </c>
      <c r="I1262" s="3">
        <v>0.0</v>
      </c>
      <c r="J1262" s="3">
        <v>0.0</v>
      </c>
      <c r="K1262" s="4">
        <f t="shared" si="1"/>
        <v>10267.4581</v>
      </c>
      <c r="L1262" s="4">
        <f t="shared" si="2"/>
        <v>3.085866014</v>
      </c>
    </row>
    <row r="1263">
      <c r="A1263" s="3" t="s">
        <v>104</v>
      </c>
      <c r="B1263" s="3">
        <v>18.0</v>
      </c>
      <c r="C1263" s="3">
        <v>30.31</v>
      </c>
      <c r="D1263" s="3">
        <v>174.0</v>
      </c>
      <c r="E1263" s="3">
        <v>5.0</v>
      </c>
      <c r="F1263" s="3">
        <v>27.59</v>
      </c>
      <c r="G1263" s="3">
        <v>96.31</v>
      </c>
      <c r="H1263" s="3">
        <v>46.78</v>
      </c>
      <c r="I1263" s="3">
        <v>0.0</v>
      </c>
      <c r="J1263" s="3">
        <v>0.0</v>
      </c>
      <c r="K1263" s="4">
        <f t="shared" si="1"/>
        <v>10036.8242</v>
      </c>
      <c r="L1263" s="4">
        <f t="shared" si="2"/>
        <v>3.016492009</v>
      </c>
    </row>
    <row r="1264">
      <c r="A1264" s="3" t="s">
        <v>104</v>
      </c>
      <c r="B1264" s="3">
        <v>18.0</v>
      </c>
      <c r="C1264" s="3">
        <v>31.01</v>
      </c>
      <c r="D1264" s="3">
        <v>170.0</v>
      </c>
      <c r="E1264" s="3">
        <v>10.0</v>
      </c>
      <c r="F1264" s="3">
        <v>26.19</v>
      </c>
      <c r="G1264" s="3">
        <v>95.16</v>
      </c>
      <c r="H1264" s="3">
        <v>46.25</v>
      </c>
      <c r="I1264" s="3">
        <v>0.0</v>
      </c>
      <c r="J1264" s="3">
        <v>0.0</v>
      </c>
      <c r="K1264" s="4">
        <f t="shared" si="1"/>
        <v>9741.3417</v>
      </c>
      <c r="L1264" s="4">
        <f t="shared" si="2"/>
        <v>2.966737118</v>
      </c>
    </row>
    <row r="1265">
      <c r="A1265" s="3" t="s">
        <v>105</v>
      </c>
      <c r="B1265" s="3">
        <v>18.0</v>
      </c>
      <c r="C1265" s="3">
        <v>1.74</v>
      </c>
      <c r="D1265" s="3">
        <v>121.0</v>
      </c>
      <c r="E1265" s="3">
        <v>14.8</v>
      </c>
      <c r="F1265" s="3">
        <v>0.0</v>
      </c>
      <c r="G1265" s="3">
        <v>169.0</v>
      </c>
      <c r="H1265" s="3">
        <v>0.0</v>
      </c>
      <c r="I1265" s="3">
        <v>395.16</v>
      </c>
      <c r="J1265" s="3">
        <v>0.0</v>
      </c>
      <c r="K1265" s="4">
        <f t="shared" si="1"/>
        <v>28561</v>
      </c>
      <c r="L1265" s="4">
        <f t="shared" si="2"/>
        <v>0.5126221071</v>
      </c>
    </row>
    <row r="1266">
      <c r="A1266" s="3" t="s">
        <v>105</v>
      </c>
      <c r="B1266" s="3">
        <v>18.0</v>
      </c>
      <c r="C1266" s="3">
        <v>3.5</v>
      </c>
      <c r="D1266" s="3">
        <v>116.0</v>
      </c>
      <c r="E1266" s="3">
        <v>7.8</v>
      </c>
      <c r="F1266" s="3">
        <v>0.0</v>
      </c>
      <c r="G1266" s="3">
        <v>138.74</v>
      </c>
      <c r="H1266" s="3">
        <v>0.0</v>
      </c>
      <c r="I1266" s="3">
        <v>255.5</v>
      </c>
      <c r="J1266" s="3">
        <v>0.0</v>
      </c>
      <c r="K1266" s="4">
        <f t="shared" si="1"/>
        <v>19248.7876</v>
      </c>
      <c r="L1266" s="4">
        <f t="shared" si="2"/>
        <v>0.6990570149</v>
      </c>
    </row>
    <row r="1267">
      <c r="A1267" s="3" t="s">
        <v>105</v>
      </c>
      <c r="B1267" s="3">
        <v>18.0</v>
      </c>
      <c r="C1267" s="3">
        <v>5.24</v>
      </c>
      <c r="D1267" s="3">
        <v>140.0</v>
      </c>
      <c r="E1267" s="3">
        <v>7.0</v>
      </c>
      <c r="F1267" s="3">
        <v>9.08</v>
      </c>
      <c r="G1267" s="3">
        <v>151.11</v>
      </c>
      <c r="H1267" s="3">
        <v>0.0</v>
      </c>
      <c r="I1267" s="3">
        <v>263.4</v>
      </c>
      <c r="J1267" s="3">
        <v>0.0</v>
      </c>
      <c r="K1267" s="4">
        <f t="shared" si="1"/>
        <v>22916.6785</v>
      </c>
      <c r="L1267" s="4">
        <f t="shared" si="2"/>
        <v>0.8552722856</v>
      </c>
    </row>
    <row r="1268">
      <c r="A1268" s="3" t="s">
        <v>105</v>
      </c>
      <c r="B1268" s="3">
        <v>18.0</v>
      </c>
      <c r="C1268" s="3">
        <v>6.98</v>
      </c>
      <c r="D1268" s="3">
        <v>160.0</v>
      </c>
      <c r="E1268" s="3">
        <v>6.6</v>
      </c>
      <c r="F1268" s="3">
        <v>18.43</v>
      </c>
      <c r="G1268" s="3">
        <v>181.17</v>
      </c>
      <c r="H1268" s="3">
        <v>0.0</v>
      </c>
      <c r="I1268" s="3">
        <v>178.76</v>
      </c>
      <c r="J1268" s="3">
        <v>0.0</v>
      </c>
      <c r="K1268" s="4">
        <f t="shared" si="1"/>
        <v>33162.2338</v>
      </c>
      <c r="L1268" s="4">
        <f t="shared" si="2"/>
        <v>0.7719624726</v>
      </c>
    </row>
    <row r="1269">
      <c r="A1269" s="3" t="s">
        <v>105</v>
      </c>
      <c r="B1269" s="3">
        <v>18.0</v>
      </c>
      <c r="C1269" s="3">
        <v>8.72</v>
      </c>
      <c r="D1269" s="3">
        <v>161.0</v>
      </c>
      <c r="E1269" s="3">
        <v>5.2</v>
      </c>
      <c r="F1269" s="3">
        <v>29.1</v>
      </c>
      <c r="G1269" s="3">
        <v>195.63</v>
      </c>
      <c r="H1269" s="3">
        <v>0.0</v>
      </c>
      <c r="I1269" s="3">
        <v>87.69</v>
      </c>
      <c r="J1269" s="3">
        <v>0.0</v>
      </c>
      <c r="K1269" s="4">
        <f t="shared" si="1"/>
        <v>39117.9069</v>
      </c>
      <c r="L1269" s="4">
        <f t="shared" si="2"/>
        <v>0.6626377037</v>
      </c>
    </row>
    <row r="1270">
      <c r="A1270" s="3" t="s">
        <v>105</v>
      </c>
      <c r="B1270" s="3">
        <v>18.0</v>
      </c>
      <c r="C1270" s="3">
        <v>10.47</v>
      </c>
      <c r="D1270" s="3">
        <v>154.0</v>
      </c>
      <c r="E1270" s="3">
        <v>7.4</v>
      </c>
      <c r="F1270" s="3">
        <v>34.92</v>
      </c>
      <c r="G1270" s="3">
        <v>181.53</v>
      </c>
      <c r="H1270" s="3">
        <v>0.0</v>
      </c>
      <c r="I1270" s="3">
        <v>46.6</v>
      </c>
      <c r="J1270" s="3">
        <v>0.0</v>
      </c>
      <c r="K1270" s="4">
        <f t="shared" si="1"/>
        <v>34172.5473</v>
      </c>
      <c r="L1270" s="4">
        <f t="shared" si="2"/>
        <v>0.6940073794</v>
      </c>
    </row>
    <row r="1271">
      <c r="A1271" s="3" t="s">
        <v>105</v>
      </c>
      <c r="B1271" s="3">
        <v>18.0</v>
      </c>
      <c r="C1271" s="3">
        <v>12.19</v>
      </c>
      <c r="D1271" s="3">
        <v>153.0</v>
      </c>
      <c r="E1271" s="3">
        <v>9.8</v>
      </c>
      <c r="F1271" s="3">
        <v>38.79</v>
      </c>
      <c r="G1271" s="3">
        <v>169.17</v>
      </c>
      <c r="H1271" s="3">
        <v>0.0</v>
      </c>
      <c r="I1271" s="3">
        <v>35.22</v>
      </c>
      <c r="J1271" s="3">
        <v>0.0</v>
      </c>
      <c r="K1271" s="4">
        <f t="shared" si="1"/>
        <v>30123.153</v>
      </c>
      <c r="L1271" s="4">
        <f t="shared" si="2"/>
        <v>0.7771098862</v>
      </c>
    </row>
    <row r="1272">
      <c r="A1272" s="3" t="s">
        <v>19</v>
      </c>
      <c r="B1272" s="3">
        <v>4.37</v>
      </c>
      <c r="C1272" s="3">
        <v>0.21</v>
      </c>
      <c r="D1272" s="3">
        <v>4.68</v>
      </c>
      <c r="E1272" s="3">
        <v>3.65</v>
      </c>
      <c r="F1272" s="3">
        <v>0.92</v>
      </c>
      <c r="G1272" s="3">
        <v>6.84</v>
      </c>
      <c r="H1272" s="3">
        <v>0.0</v>
      </c>
      <c r="I1272" s="3">
        <v>43.41</v>
      </c>
      <c r="J1272" s="3">
        <v>0.0</v>
      </c>
      <c r="K1272" s="4">
        <f t="shared" si="1"/>
        <v>47.632</v>
      </c>
      <c r="L1272" s="4">
        <f t="shared" si="2"/>
        <v>0.4598253275</v>
      </c>
    </row>
    <row r="1273">
      <c r="A1273" s="3" t="s">
        <v>19</v>
      </c>
      <c r="B1273" s="3">
        <v>4.37</v>
      </c>
      <c r="C1273" s="3">
        <v>0.64</v>
      </c>
      <c r="D1273" s="3">
        <v>13.1</v>
      </c>
      <c r="E1273" s="3">
        <v>3.44</v>
      </c>
      <c r="F1273" s="3">
        <v>4.01</v>
      </c>
      <c r="G1273" s="3">
        <v>16.7</v>
      </c>
      <c r="H1273" s="3">
        <v>0.0</v>
      </c>
      <c r="I1273" s="3">
        <v>35.39</v>
      </c>
      <c r="J1273" s="3">
        <v>0.0</v>
      </c>
      <c r="K1273" s="4">
        <f t="shared" si="1"/>
        <v>294.9701</v>
      </c>
      <c r="L1273" s="4">
        <f t="shared" si="2"/>
        <v>0.5817877812</v>
      </c>
    </row>
    <row r="1274">
      <c r="A1274" s="3" t="s">
        <v>19</v>
      </c>
      <c r="B1274" s="3">
        <v>4.37</v>
      </c>
      <c r="C1274" s="3">
        <v>1.06</v>
      </c>
      <c r="D1274" s="3">
        <v>22.5</v>
      </c>
      <c r="E1274" s="3">
        <v>2.45</v>
      </c>
      <c r="F1274" s="3">
        <v>7.7</v>
      </c>
      <c r="G1274" s="3">
        <v>21.47</v>
      </c>
      <c r="H1274" s="3">
        <v>0.0</v>
      </c>
      <c r="I1274" s="3">
        <v>19.75</v>
      </c>
      <c r="J1274" s="3">
        <v>0.0</v>
      </c>
      <c r="K1274" s="4">
        <f t="shared" si="1"/>
        <v>520.2509</v>
      </c>
      <c r="L1274" s="4">
        <f t="shared" si="2"/>
        <v>0.9730881773</v>
      </c>
    </row>
    <row r="1275">
      <c r="A1275" s="3" t="s">
        <v>19</v>
      </c>
      <c r="B1275" s="3">
        <v>4.37</v>
      </c>
      <c r="C1275" s="3">
        <v>1.48</v>
      </c>
      <c r="D1275" s="3">
        <v>30.4</v>
      </c>
      <c r="E1275" s="3">
        <v>1.71</v>
      </c>
      <c r="F1275" s="3">
        <v>12.5</v>
      </c>
      <c r="G1275" s="3">
        <v>23.36</v>
      </c>
      <c r="H1275" s="3">
        <v>0.0</v>
      </c>
      <c r="I1275" s="3">
        <v>11.73</v>
      </c>
      <c r="J1275" s="3">
        <v>0.0</v>
      </c>
      <c r="K1275" s="4">
        <f t="shared" si="1"/>
        <v>701.9396</v>
      </c>
      <c r="L1275" s="4">
        <f t="shared" si="2"/>
        <v>1.316580515</v>
      </c>
    </row>
    <row r="1276">
      <c r="A1276" s="3" t="s">
        <v>19</v>
      </c>
      <c r="B1276" s="3">
        <v>4.37</v>
      </c>
      <c r="C1276" s="3">
        <v>1.91</v>
      </c>
      <c r="D1276" s="3">
        <v>36.0</v>
      </c>
      <c r="E1276" s="3">
        <v>1.7</v>
      </c>
      <c r="F1276" s="3">
        <v>17.24</v>
      </c>
      <c r="G1276" s="3">
        <v>23.95</v>
      </c>
      <c r="H1276" s="3">
        <v>0.0</v>
      </c>
      <c r="I1276" s="3">
        <v>5.17</v>
      </c>
      <c r="J1276" s="3">
        <v>0.0</v>
      </c>
      <c r="K1276" s="4">
        <f t="shared" si="1"/>
        <v>870.8201</v>
      </c>
      <c r="L1276" s="4">
        <f t="shared" si="2"/>
        <v>1.488252281</v>
      </c>
    </row>
    <row r="1277">
      <c r="A1277" s="3" t="s">
        <v>19</v>
      </c>
      <c r="B1277" s="3">
        <v>4.37</v>
      </c>
      <c r="C1277" s="3">
        <v>2.33</v>
      </c>
      <c r="D1277" s="3">
        <v>41.9</v>
      </c>
      <c r="E1277" s="3">
        <v>4.97</v>
      </c>
      <c r="F1277" s="3">
        <v>19.86</v>
      </c>
      <c r="G1277" s="3">
        <v>22.61</v>
      </c>
      <c r="H1277" s="3">
        <v>0.0</v>
      </c>
      <c r="I1277" s="3">
        <v>2.22</v>
      </c>
      <c r="J1277" s="3">
        <v>0.0</v>
      </c>
      <c r="K1277" s="4">
        <f t="shared" si="1"/>
        <v>905.6317</v>
      </c>
      <c r="L1277" s="4">
        <f t="shared" si="2"/>
        <v>1.938547425</v>
      </c>
    </row>
    <row r="1278">
      <c r="A1278" s="3" t="s">
        <v>106</v>
      </c>
      <c r="B1278" s="3">
        <v>18.0</v>
      </c>
      <c r="C1278" s="3">
        <v>0.87</v>
      </c>
      <c r="D1278" s="3">
        <v>42.2</v>
      </c>
      <c r="E1278" s="3">
        <v>7.3</v>
      </c>
      <c r="F1278" s="3">
        <v>0.0</v>
      </c>
      <c r="G1278" s="3">
        <v>94.8</v>
      </c>
      <c r="H1278" s="3">
        <v>0.0</v>
      </c>
      <c r="I1278" s="3">
        <v>888.2</v>
      </c>
      <c r="J1278" s="3">
        <v>0.0</v>
      </c>
      <c r="K1278" s="4">
        <f t="shared" si="1"/>
        <v>8987.04</v>
      </c>
      <c r="L1278" s="4">
        <f t="shared" si="2"/>
        <v>0.1981564564</v>
      </c>
    </row>
    <row r="1279">
      <c r="A1279" s="3" t="s">
        <v>106</v>
      </c>
      <c r="B1279" s="3">
        <v>18.0</v>
      </c>
      <c r="C1279" s="3">
        <v>1.74</v>
      </c>
      <c r="D1279" s="3">
        <v>79.9</v>
      </c>
      <c r="E1279" s="3">
        <v>5.9</v>
      </c>
      <c r="F1279" s="3">
        <v>11.42</v>
      </c>
      <c r="G1279" s="3">
        <v>129.33</v>
      </c>
      <c r="H1279" s="3">
        <v>0.0</v>
      </c>
      <c r="I1279" s="3">
        <v>459.63</v>
      </c>
      <c r="J1279" s="3">
        <v>0.0</v>
      </c>
      <c r="K1279" s="4">
        <f t="shared" si="1"/>
        <v>16856.6653</v>
      </c>
      <c r="L1279" s="4">
        <f t="shared" si="2"/>
        <v>0.3787231867</v>
      </c>
    </row>
    <row r="1280">
      <c r="A1280" s="3" t="s">
        <v>106</v>
      </c>
      <c r="B1280" s="3">
        <v>18.0</v>
      </c>
      <c r="C1280" s="3">
        <v>2.71</v>
      </c>
      <c r="D1280" s="3">
        <v>112.0</v>
      </c>
      <c r="E1280" s="3">
        <v>6.2</v>
      </c>
      <c r="F1280" s="3">
        <v>11.32</v>
      </c>
      <c r="G1280" s="3">
        <v>142.76</v>
      </c>
      <c r="H1280" s="3">
        <v>0.0</v>
      </c>
      <c r="I1280" s="3">
        <v>257.04</v>
      </c>
      <c r="J1280" s="3">
        <v>0.0</v>
      </c>
      <c r="K1280" s="4">
        <f t="shared" si="1"/>
        <v>20508.56</v>
      </c>
      <c r="L1280" s="4">
        <f t="shared" si="2"/>
        <v>0.6116470391</v>
      </c>
    </row>
    <row r="1281">
      <c r="A1281" s="3" t="s">
        <v>106</v>
      </c>
      <c r="B1281" s="3">
        <v>18.0</v>
      </c>
      <c r="C1281" s="3">
        <v>3.58</v>
      </c>
      <c r="D1281" s="3">
        <v>127.0</v>
      </c>
      <c r="E1281" s="3">
        <v>4.9</v>
      </c>
      <c r="F1281" s="3">
        <v>18.54</v>
      </c>
      <c r="G1281" s="3">
        <v>148.78</v>
      </c>
      <c r="H1281" s="3">
        <v>0.0</v>
      </c>
      <c r="I1281" s="3">
        <v>177.75</v>
      </c>
      <c r="J1281" s="3">
        <v>0.0</v>
      </c>
      <c r="K1281" s="4">
        <f t="shared" si="1"/>
        <v>22479.22</v>
      </c>
      <c r="L1281" s="4">
        <f t="shared" si="2"/>
        <v>0.7175071021</v>
      </c>
    </row>
    <row r="1282">
      <c r="A1282" s="3" t="s">
        <v>106</v>
      </c>
      <c r="B1282" s="3">
        <v>18.0</v>
      </c>
      <c r="C1282" s="3">
        <v>4.45</v>
      </c>
      <c r="D1282" s="3">
        <v>130.0</v>
      </c>
      <c r="E1282" s="3">
        <v>4.9</v>
      </c>
      <c r="F1282" s="3">
        <v>23.17</v>
      </c>
      <c r="G1282" s="3">
        <v>155.31</v>
      </c>
      <c r="H1282" s="3">
        <v>0.0</v>
      </c>
      <c r="I1282" s="3">
        <v>98.21</v>
      </c>
      <c r="J1282" s="3">
        <v>0.0</v>
      </c>
      <c r="K1282" s="4">
        <f t="shared" si="1"/>
        <v>24658.045</v>
      </c>
      <c r="L1282" s="4">
        <f t="shared" si="2"/>
        <v>0.6853746921</v>
      </c>
    </row>
    <row r="1283">
      <c r="A1283" s="3" t="s">
        <v>106</v>
      </c>
      <c r="B1283" s="3">
        <v>18.0</v>
      </c>
      <c r="C1283" s="3">
        <v>5.32</v>
      </c>
      <c r="D1283" s="3">
        <v>133.0</v>
      </c>
      <c r="E1283" s="3">
        <v>4.5</v>
      </c>
      <c r="F1283" s="3">
        <v>25.76</v>
      </c>
      <c r="G1283" s="3">
        <v>149.59</v>
      </c>
      <c r="H1283" s="3">
        <v>0.0</v>
      </c>
      <c r="I1283" s="3">
        <v>42.75</v>
      </c>
      <c r="J1283" s="3">
        <v>0.0</v>
      </c>
      <c r="K1283" s="4">
        <f t="shared" si="1"/>
        <v>23040.7457</v>
      </c>
      <c r="L1283" s="4">
        <f t="shared" si="2"/>
        <v>0.7677268883</v>
      </c>
    </row>
    <row r="1284">
      <c r="A1284" s="3" t="s">
        <v>106</v>
      </c>
      <c r="B1284" s="3">
        <v>18.0</v>
      </c>
      <c r="C1284" s="3">
        <v>6.2</v>
      </c>
      <c r="D1284" s="3">
        <v>136.0</v>
      </c>
      <c r="E1284" s="3">
        <v>7.4</v>
      </c>
      <c r="F1284" s="3">
        <v>25.0</v>
      </c>
      <c r="G1284" s="3">
        <v>139.16</v>
      </c>
      <c r="H1284" s="3">
        <v>0.0</v>
      </c>
      <c r="I1284" s="3">
        <v>13.28</v>
      </c>
      <c r="J1284" s="3">
        <v>0.0</v>
      </c>
      <c r="K1284" s="4">
        <f t="shared" si="1"/>
        <v>19990.5056</v>
      </c>
      <c r="L1284" s="4">
        <f t="shared" si="2"/>
        <v>0.9252392296</v>
      </c>
    </row>
    <row r="1285">
      <c r="A1285" s="3" t="s">
        <v>107</v>
      </c>
      <c r="B1285" s="3">
        <v>18.0</v>
      </c>
      <c r="C1285" s="3">
        <v>1.74</v>
      </c>
      <c r="D1285" s="3">
        <v>84.9</v>
      </c>
      <c r="E1285" s="3">
        <v>11.3</v>
      </c>
      <c r="F1285" s="3">
        <v>0.0</v>
      </c>
      <c r="G1285" s="3">
        <v>137.12</v>
      </c>
      <c r="H1285" s="3">
        <v>0.0</v>
      </c>
      <c r="I1285" s="3">
        <v>790.04</v>
      </c>
      <c r="J1285" s="3">
        <v>0.0</v>
      </c>
      <c r="K1285" s="4">
        <f t="shared" si="1"/>
        <v>18801.8944</v>
      </c>
      <c r="L1285" s="4">
        <f t="shared" si="2"/>
        <v>0.383366157</v>
      </c>
    </row>
    <row r="1286">
      <c r="A1286" s="3" t="s">
        <v>107</v>
      </c>
      <c r="B1286" s="3">
        <v>18.0</v>
      </c>
      <c r="C1286" s="3">
        <v>3.5</v>
      </c>
      <c r="D1286" s="3">
        <v>136.0</v>
      </c>
      <c r="E1286" s="3">
        <v>9.9</v>
      </c>
      <c r="F1286" s="3">
        <v>0.0</v>
      </c>
      <c r="G1286" s="3">
        <v>180.27</v>
      </c>
      <c r="H1286" s="3">
        <v>0.0</v>
      </c>
      <c r="I1286" s="3">
        <v>652.93</v>
      </c>
      <c r="J1286" s="3">
        <v>0.0</v>
      </c>
      <c r="K1286" s="4">
        <f t="shared" si="1"/>
        <v>32497.2729</v>
      </c>
      <c r="L1286" s="4">
        <f t="shared" si="2"/>
        <v>0.5691554506</v>
      </c>
    </row>
    <row r="1287">
      <c r="A1287" s="3" t="s">
        <v>107</v>
      </c>
      <c r="B1287" s="3">
        <v>18.0</v>
      </c>
      <c r="C1287" s="3">
        <v>5.24</v>
      </c>
      <c r="D1287" s="3">
        <v>162.0</v>
      </c>
      <c r="E1287" s="3">
        <v>8.0</v>
      </c>
      <c r="F1287" s="3">
        <v>16.92</v>
      </c>
      <c r="G1287" s="3">
        <v>240.94</v>
      </c>
      <c r="H1287" s="3">
        <v>0.0</v>
      </c>
      <c r="I1287" s="3">
        <v>469.12</v>
      </c>
      <c r="J1287" s="3">
        <v>0.0</v>
      </c>
      <c r="K1287" s="4">
        <f t="shared" si="1"/>
        <v>58338.37</v>
      </c>
      <c r="L1287" s="4">
        <f t="shared" si="2"/>
        <v>0.4498583008</v>
      </c>
    </row>
    <row r="1288">
      <c r="A1288" s="3" t="s">
        <v>107</v>
      </c>
      <c r="B1288" s="3">
        <v>18.0</v>
      </c>
      <c r="C1288" s="3">
        <v>6.98</v>
      </c>
      <c r="D1288" s="3">
        <v>179.0</v>
      </c>
      <c r="E1288" s="3">
        <v>6.5</v>
      </c>
      <c r="F1288" s="3">
        <v>31.57</v>
      </c>
      <c r="G1288" s="3">
        <v>264.14</v>
      </c>
      <c r="H1288" s="3">
        <v>0.0</v>
      </c>
      <c r="I1288" s="3">
        <v>205.9</v>
      </c>
      <c r="J1288" s="3">
        <v>0.0</v>
      </c>
      <c r="K1288" s="4">
        <f t="shared" si="1"/>
        <v>70766.6045</v>
      </c>
      <c r="L1288" s="4">
        <f t="shared" si="2"/>
        <v>0.4527700633</v>
      </c>
    </row>
    <row r="1289">
      <c r="A1289" s="3" t="s">
        <v>107</v>
      </c>
      <c r="B1289" s="3">
        <v>18.0</v>
      </c>
      <c r="C1289" s="3">
        <v>8.72</v>
      </c>
      <c r="D1289" s="3">
        <v>182.0</v>
      </c>
      <c r="E1289" s="3">
        <v>6.1</v>
      </c>
      <c r="F1289" s="3">
        <v>42.24</v>
      </c>
      <c r="G1289" s="3">
        <v>243.55</v>
      </c>
      <c r="H1289" s="3">
        <v>0.0</v>
      </c>
      <c r="I1289" s="3">
        <v>95.39</v>
      </c>
      <c r="J1289" s="3">
        <v>0.0</v>
      </c>
      <c r="K1289" s="4">
        <f t="shared" si="1"/>
        <v>61100.8201</v>
      </c>
      <c r="L1289" s="4">
        <f t="shared" si="2"/>
        <v>0.5421203831</v>
      </c>
    </row>
    <row r="1290">
      <c r="A1290" s="3" t="s">
        <v>107</v>
      </c>
      <c r="B1290" s="3">
        <v>18.0</v>
      </c>
      <c r="C1290" s="3">
        <v>10.47</v>
      </c>
      <c r="D1290" s="3">
        <v>179.0</v>
      </c>
      <c r="E1290" s="3">
        <v>7.0</v>
      </c>
      <c r="F1290" s="3">
        <v>48.71</v>
      </c>
      <c r="G1290" s="3">
        <v>230.28</v>
      </c>
      <c r="H1290" s="3">
        <v>0.0</v>
      </c>
      <c r="I1290" s="3">
        <v>52.19</v>
      </c>
      <c r="J1290" s="3">
        <v>0.0</v>
      </c>
      <c r="K1290" s="4">
        <f t="shared" si="1"/>
        <v>55401.5425</v>
      </c>
      <c r="L1290" s="4">
        <f t="shared" si="2"/>
        <v>0.578341298</v>
      </c>
    </row>
    <row r="1291">
      <c r="A1291" s="3" t="s">
        <v>107</v>
      </c>
      <c r="B1291" s="3">
        <v>18.0</v>
      </c>
      <c r="C1291" s="3">
        <v>12.19</v>
      </c>
      <c r="D1291" s="3">
        <v>174.0</v>
      </c>
      <c r="E1291" s="3">
        <v>6.2</v>
      </c>
      <c r="F1291" s="3">
        <v>53.67</v>
      </c>
      <c r="G1291" s="3">
        <v>219.07</v>
      </c>
      <c r="H1291" s="3">
        <v>0.0</v>
      </c>
      <c r="I1291" s="3">
        <v>21.94</v>
      </c>
      <c r="J1291" s="3">
        <v>0.0</v>
      </c>
      <c r="K1291" s="4">
        <f t="shared" si="1"/>
        <v>50872.1338</v>
      </c>
      <c r="L1291" s="4">
        <f t="shared" si="2"/>
        <v>0.5951391801</v>
      </c>
    </row>
    <row r="1292">
      <c r="A1292" s="3" t="s">
        <v>107</v>
      </c>
      <c r="B1292" s="3">
        <v>18.0</v>
      </c>
      <c r="C1292" s="3">
        <v>13.94</v>
      </c>
      <c r="D1292" s="3">
        <v>171.0</v>
      </c>
      <c r="E1292" s="3">
        <v>7.2</v>
      </c>
      <c r="F1292" s="3">
        <v>54.74</v>
      </c>
      <c r="G1292" s="3">
        <v>199.15</v>
      </c>
      <c r="H1292" s="3">
        <v>0.0</v>
      </c>
      <c r="I1292" s="3">
        <v>5.09</v>
      </c>
      <c r="J1292" s="3">
        <v>0.0</v>
      </c>
      <c r="K1292" s="4">
        <f t="shared" si="1"/>
        <v>42657.1901</v>
      </c>
      <c r="L1292" s="4">
        <f t="shared" si="2"/>
        <v>0.6854881892</v>
      </c>
    </row>
    <row r="1293">
      <c r="A1293" s="3" t="s">
        <v>107</v>
      </c>
      <c r="B1293" s="3">
        <v>18.0</v>
      </c>
      <c r="C1293" s="3">
        <v>15.68</v>
      </c>
      <c r="D1293" s="3">
        <v>168.0</v>
      </c>
      <c r="E1293" s="3">
        <v>6.1</v>
      </c>
      <c r="F1293" s="3">
        <v>54.64</v>
      </c>
      <c r="G1293" s="3">
        <v>184.18</v>
      </c>
      <c r="H1293" s="3">
        <v>0.0</v>
      </c>
      <c r="I1293" s="3">
        <v>3.51</v>
      </c>
      <c r="J1293" s="3">
        <v>0.0</v>
      </c>
      <c r="K1293" s="4">
        <f t="shared" si="1"/>
        <v>36907.802</v>
      </c>
      <c r="L1293" s="4">
        <f t="shared" si="2"/>
        <v>0.76471636</v>
      </c>
    </row>
    <row r="1294">
      <c r="A1294" s="3" t="s">
        <v>107</v>
      </c>
      <c r="B1294" s="3">
        <v>18.0</v>
      </c>
      <c r="C1294" s="3">
        <v>17.42</v>
      </c>
      <c r="D1294" s="3">
        <v>165.0</v>
      </c>
      <c r="E1294" s="3">
        <v>5.6</v>
      </c>
      <c r="F1294" s="3">
        <v>53.77</v>
      </c>
      <c r="G1294" s="3">
        <v>172.93</v>
      </c>
      <c r="H1294" s="3">
        <v>0.0</v>
      </c>
      <c r="I1294" s="3">
        <v>1.72</v>
      </c>
      <c r="J1294" s="3">
        <v>0.0</v>
      </c>
      <c r="K1294" s="4">
        <f t="shared" si="1"/>
        <v>32795.9978</v>
      </c>
      <c r="L1294" s="4">
        <f t="shared" si="2"/>
        <v>0.8301317791</v>
      </c>
    </row>
    <row r="1295">
      <c r="A1295" s="3" t="s">
        <v>107</v>
      </c>
      <c r="B1295" s="3">
        <v>18.0</v>
      </c>
      <c r="C1295" s="3">
        <v>19.28</v>
      </c>
      <c r="D1295" s="3">
        <v>171.0</v>
      </c>
      <c r="E1295" s="3">
        <v>8.6</v>
      </c>
      <c r="F1295" s="3">
        <v>52.37</v>
      </c>
      <c r="G1295" s="3">
        <v>162.7</v>
      </c>
      <c r="H1295" s="3">
        <v>0.0</v>
      </c>
      <c r="I1295" s="3">
        <v>0.85</v>
      </c>
      <c r="J1295" s="3">
        <v>0.0</v>
      </c>
      <c r="K1295" s="4">
        <f t="shared" si="1"/>
        <v>29213.9069</v>
      </c>
      <c r="L1295" s="4">
        <f t="shared" si="2"/>
        <v>1.000927404</v>
      </c>
    </row>
    <row r="1296">
      <c r="A1296" s="3" t="s">
        <v>107</v>
      </c>
      <c r="B1296" s="3">
        <v>18.0</v>
      </c>
      <c r="C1296" s="3">
        <v>21.48</v>
      </c>
      <c r="D1296" s="3">
        <v>174.0</v>
      </c>
      <c r="E1296" s="3">
        <v>7.6</v>
      </c>
      <c r="F1296" s="3">
        <v>50.22</v>
      </c>
      <c r="G1296" s="3">
        <v>152.44</v>
      </c>
      <c r="H1296" s="3">
        <v>0.0</v>
      </c>
      <c r="I1296" s="3">
        <v>0.0</v>
      </c>
      <c r="J1296" s="3">
        <v>0.0</v>
      </c>
      <c r="K1296" s="4">
        <f t="shared" si="1"/>
        <v>25760.002</v>
      </c>
      <c r="L1296" s="4">
        <f t="shared" si="2"/>
        <v>1.175310468</v>
      </c>
    </row>
    <row r="1297">
      <c r="A1297" s="3" t="s">
        <v>108</v>
      </c>
      <c r="B1297" s="3">
        <v>18.0</v>
      </c>
      <c r="C1297" s="3">
        <v>2.61</v>
      </c>
      <c r="D1297" s="3">
        <v>120.0</v>
      </c>
      <c r="E1297" s="3">
        <v>10.5</v>
      </c>
      <c r="F1297" s="3">
        <v>5.71</v>
      </c>
      <c r="G1297" s="3">
        <v>126.18</v>
      </c>
      <c r="H1297" s="3">
        <v>0.0</v>
      </c>
      <c r="I1297" s="3">
        <v>351.27</v>
      </c>
      <c r="J1297" s="3">
        <v>0.0</v>
      </c>
      <c r="K1297" s="4">
        <f t="shared" si="1"/>
        <v>15953.9965</v>
      </c>
      <c r="L1297" s="4">
        <f t="shared" si="2"/>
        <v>0.9025951585</v>
      </c>
    </row>
    <row r="1298">
      <c r="A1298" s="3" t="s">
        <v>108</v>
      </c>
      <c r="B1298" s="3">
        <v>18.0</v>
      </c>
      <c r="C1298" s="3">
        <v>3.5</v>
      </c>
      <c r="D1298" s="3">
        <v>148.0</v>
      </c>
      <c r="E1298" s="3">
        <v>7.5</v>
      </c>
      <c r="F1298" s="3">
        <v>9.28</v>
      </c>
      <c r="G1298" s="3">
        <v>135.14</v>
      </c>
      <c r="H1298" s="3">
        <v>0.0</v>
      </c>
      <c r="I1298" s="3">
        <v>336.69</v>
      </c>
      <c r="J1298" s="3">
        <v>0.0</v>
      </c>
      <c r="K1298" s="4">
        <f t="shared" si="1"/>
        <v>18348.938</v>
      </c>
      <c r="L1298" s="4">
        <f t="shared" si="2"/>
        <v>1.193747562</v>
      </c>
    </row>
    <row r="1299">
      <c r="A1299" s="3" t="s">
        <v>108</v>
      </c>
      <c r="B1299" s="3">
        <v>18.0</v>
      </c>
      <c r="C1299" s="3">
        <v>4.37</v>
      </c>
      <c r="D1299" s="3">
        <v>168.0</v>
      </c>
      <c r="E1299" s="3">
        <v>6.2</v>
      </c>
      <c r="F1299" s="3">
        <v>13.15</v>
      </c>
      <c r="G1299" s="3">
        <v>152.52</v>
      </c>
      <c r="H1299" s="3">
        <v>0.0</v>
      </c>
      <c r="I1299" s="3">
        <v>312.74</v>
      </c>
      <c r="J1299" s="3">
        <v>0.0</v>
      </c>
      <c r="K1299" s="4">
        <f t="shared" si="1"/>
        <v>23435.2729</v>
      </c>
      <c r="L1299" s="4">
        <f t="shared" si="2"/>
        <v>1.20433844</v>
      </c>
    </row>
    <row r="1300">
      <c r="A1300" s="3" t="s">
        <v>108</v>
      </c>
      <c r="B1300" s="3">
        <v>18.0</v>
      </c>
      <c r="C1300" s="3">
        <v>5.24</v>
      </c>
      <c r="D1300" s="3">
        <v>182.0</v>
      </c>
      <c r="E1300" s="3">
        <v>6.1</v>
      </c>
      <c r="F1300" s="3">
        <v>16.38</v>
      </c>
      <c r="G1300" s="3">
        <v>177.98</v>
      </c>
      <c r="H1300" s="3">
        <v>0.0</v>
      </c>
      <c r="I1300" s="3">
        <v>278.01</v>
      </c>
      <c r="J1300" s="3">
        <v>0.0</v>
      </c>
      <c r="K1300" s="4">
        <f t="shared" si="1"/>
        <v>31945.1848</v>
      </c>
      <c r="L1300" s="4">
        <f t="shared" si="2"/>
        <v>1.036901186</v>
      </c>
    </row>
    <row r="1301">
      <c r="A1301" s="3" t="s">
        <v>108</v>
      </c>
      <c r="B1301" s="3">
        <v>18.0</v>
      </c>
      <c r="C1301" s="3">
        <v>6.11</v>
      </c>
      <c r="D1301" s="3">
        <v>190.0</v>
      </c>
      <c r="E1301" s="3">
        <v>5.2</v>
      </c>
      <c r="F1301" s="3">
        <v>19.18</v>
      </c>
      <c r="G1301" s="3">
        <v>196.88</v>
      </c>
      <c r="H1301" s="3">
        <v>0.0</v>
      </c>
      <c r="I1301" s="3">
        <v>213.01</v>
      </c>
      <c r="J1301" s="3">
        <v>0.0</v>
      </c>
      <c r="K1301" s="4">
        <f t="shared" si="1"/>
        <v>39129.6068</v>
      </c>
      <c r="L1301" s="4">
        <f t="shared" si="2"/>
        <v>0.9225750768</v>
      </c>
    </row>
    <row r="1302">
      <c r="A1302" s="3" t="s">
        <v>108</v>
      </c>
      <c r="B1302" s="3">
        <v>18.0</v>
      </c>
      <c r="C1302" s="3">
        <v>6.98</v>
      </c>
      <c r="D1302" s="3">
        <v>194.0</v>
      </c>
      <c r="E1302" s="3">
        <v>5.7</v>
      </c>
      <c r="F1302" s="3">
        <v>21.66</v>
      </c>
      <c r="G1302" s="3">
        <v>207.03</v>
      </c>
      <c r="H1302" s="3">
        <v>0.0</v>
      </c>
      <c r="I1302" s="3">
        <v>123.77</v>
      </c>
      <c r="J1302" s="3">
        <v>0.0</v>
      </c>
      <c r="K1302" s="4">
        <f t="shared" si="1"/>
        <v>43330.5765</v>
      </c>
      <c r="L1302" s="4">
        <f t="shared" si="2"/>
        <v>0.8685783352</v>
      </c>
    </row>
    <row r="1303">
      <c r="A1303" s="3" t="s">
        <v>108</v>
      </c>
      <c r="B1303" s="3">
        <v>18.0</v>
      </c>
      <c r="C1303" s="3">
        <v>7.85</v>
      </c>
      <c r="D1303" s="3">
        <v>195.0</v>
      </c>
      <c r="E1303" s="3">
        <v>6.1</v>
      </c>
      <c r="F1303" s="3">
        <v>23.38</v>
      </c>
      <c r="G1303" s="3">
        <v>198.89</v>
      </c>
      <c r="H1303" s="3">
        <v>0.0</v>
      </c>
      <c r="I1303" s="3">
        <v>64.81</v>
      </c>
      <c r="J1303" s="3">
        <v>0.0</v>
      </c>
      <c r="K1303" s="4">
        <f t="shared" si="1"/>
        <v>40103.8565</v>
      </c>
      <c r="L1303" s="4">
        <f t="shared" si="2"/>
        <v>0.9481631773</v>
      </c>
    </row>
    <row r="1304">
      <c r="A1304" s="3" t="s">
        <v>108</v>
      </c>
      <c r="B1304" s="3">
        <v>18.0</v>
      </c>
      <c r="C1304" s="3">
        <v>8.72</v>
      </c>
      <c r="D1304" s="3">
        <v>193.0</v>
      </c>
      <c r="E1304" s="3">
        <v>4.8</v>
      </c>
      <c r="F1304" s="3">
        <v>24.46</v>
      </c>
      <c r="G1304" s="3">
        <v>191.25</v>
      </c>
      <c r="H1304" s="3">
        <v>0.0</v>
      </c>
      <c r="I1304" s="3">
        <v>40.14</v>
      </c>
      <c r="J1304" s="3">
        <v>0.0</v>
      </c>
      <c r="K1304" s="4">
        <f t="shared" si="1"/>
        <v>37174.8541</v>
      </c>
      <c r="L1304" s="4">
        <f t="shared" si="2"/>
        <v>1.001994518</v>
      </c>
    </row>
    <row r="1305">
      <c r="A1305" s="3" t="s">
        <v>108</v>
      </c>
      <c r="B1305" s="3">
        <v>18.0</v>
      </c>
      <c r="C1305" s="3">
        <v>9.6</v>
      </c>
      <c r="D1305" s="3">
        <v>192.0</v>
      </c>
      <c r="E1305" s="3">
        <v>3.9</v>
      </c>
      <c r="F1305" s="3">
        <v>25.0</v>
      </c>
      <c r="G1305" s="3">
        <v>180.26</v>
      </c>
      <c r="H1305" s="3">
        <v>0.0</v>
      </c>
      <c r="I1305" s="3">
        <v>21.59</v>
      </c>
      <c r="J1305" s="3">
        <v>0.0</v>
      </c>
      <c r="K1305" s="4">
        <f t="shared" si="1"/>
        <v>33118.6676</v>
      </c>
      <c r="L1305" s="4">
        <f t="shared" si="2"/>
        <v>1.113088257</v>
      </c>
    </row>
    <row r="1306">
      <c r="A1306" s="3" t="s">
        <v>108</v>
      </c>
      <c r="B1306" s="3">
        <v>18.0</v>
      </c>
      <c r="C1306" s="3">
        <v>10.47</v>
      </c>
      <c r="D1306" s="3">
        <v>192.0</v>
      </c>
      <c r="E1306" s="3">
        <v>3.5</v>
      </c>
      <c r="F1306" s="3">
        <v>25.65</v>
      </c>
      <c r="G1306" s="3">
        <v>169.65</v>
      </c>
      <c r="H1306" s="3">
        <v>0.0</v>
      </c>
      <c r="I1306" s="3">
        <v>15.04</v>
      </c>
      <c r="J1306" s="3">
        <v>0.0</v>
      </c>
      <c r="K1306" s="4">
        <f t="shared" si="1"/>
        <v>29439.045</v>
      </c>
      <c r="L1306" s="4">
        <f t="shared" si="2"/>
        <v>1.252214533</v>
      </c>
    </row>
    <row r="1307">
      <c r="A1307" s="3" t="s">
        <v>108</v>
      </c>
      <c r="B1307" s="3">
        <v>18.0</v>
      </c>
      <c r="C1307" s="3">
        <v>11.35</v>
      </c>
      <c r="D1307" s="3">
        <v>191.0</v>
      </c>
      <c r="E1307" s="3">
        <v>4.4</v>
      </c>
      <c r="F1307" s="3">
        <v>26.73</v>
      </c>
      <c r="G1307" s="3">
        <v>162.03</v>
      </c>
      <c r="H1307" s="3">
        <v>0.0</v>
      </c>
      <c r="I1307" s="3">
        <v>13.24</v>
      </c>
      <c r="J1307" s="3">
        <v>0.0</v>
      </c>
      <c r="K1307" s="4">
        <f t="shared" si="1"/>
        <v>26968.2138</v>
      </c>
      <c r="L1307" s="4">
        <f t="shared" si="2"/>
        <v>1.352740685</v>
      </c>
    </row>
    <row r="1308">
      <c r="A1308" s="3" t="s">
        <v>108</v>
      </c>
      <c r="B1308" s="3">
        <v>18.0</v>
      </c>
      <c r="C1308" s="3">
        <v>12.19</v>
      </c>
      <c r="D1308" s="3">
        <v>189.0</v>
      </c>
      <c r="E1308" s="3">
        <v>4.8</v>
      </c>
      <c r="F1308" s="3">
        <v>28.34</v>
      </c>
      <c r="G1308" s="3">
        <v>157.28</v>
      </c>
      <c r="H1308" s="3">
        <v>0.0</v>
      </c>
      <c r="I1308" s="3">
        <v>11.29</v>
      </c>
      <c r="J1308" s="3">
        <v>0.0</v>
      </c>
      <c r="K1308" s="4">
        <f t="shared" si="1"/>
        <v>25540.154</v>
      </c>
      <c r="L1308" s="4">
        <f t="shared" si="2"/>
        <v>1.398621167</v>
      </c>
    </row>
    <row r="1309">
      <c r="A1309" s="3" t="s">
        <v>108</v>
      </c>
      <c r="B1309" s="3">
        <v>18.0</v>
      </c>
      <c r="C1309" s="3">
        <v>13.12</v>
      </c>
      <c r="D1309" s="3">
        <v>185.0</v>
      </c>
      <c r="E1309" s="3">
        <v>5.3</v>
      </c>
      <c r="F1309" s="3">
        <v>30.6</v>
      </c>
      <c r="G1309" s="3">
        <v>152.13</v>
      </c>
      <c r="H1309" s="3">
        <v>0.0</v>
      </c>
      <c r="I1309" s="3">
        <v>6.56</v>
      </c>
      <c r="J1309" s="3">
        <v>0.0</v>
      </c>
      <c r="K1309" s="4">
        <f t="shared" si="1"/>
        <v>24079.8969</v>
      </c>
      <c r="L1309" s="4">
        <f t="shared" si="2"/>
        <v>1.421310072</v>
      </c>
    </row>
    <row r="1310">
      <c r="A1310" s="3" t="s">
        <v>108</v>
      </c>
      <c r="B1310" s="3">
        <v>18.0</v>
      </c>
      <c r="C1310" s="3">
        <v>13.94</v>
      </c>
      <c r="D1310" s="3">
        <v>182.0</v>
      </c>
      <c r="E1310" s="3">
        <v>4.5</v>
      </c>
      <c r="F1310" s="3">
        <v>32.54</v>
      </c>
      <c r="G1310" s="3">
        <v>146.63</v>
      </c>
      <c r="H1310" s="3">
        <v>0.0</v>
      </c>
      <c r="I1310" s="3">
        <v>4.29</v>
      </c>
      <c r="J1310" s="3">
        <v>0.0</v>
      </c>
      <c r="K1310" s="4">
        <f t="shared" si="1"/>
        <v>22559.2085</v>
      </c>
      <c r="L1310" s="4">
        <f t="shared" si="2"/>
        <v>1.468313926</v>
      </c>
    </row>
    <row r="1311">
      <c r="A1311" s="3" t="s">
        <v>108</v>
      </c>
      <c r="B1311" s="3">
        <v>18.0</v>
      </c>
      <c r="C1311" s="3">
        <v>14.86</v>
      </c>
      <c r="D1311" s="3">
        <v>179.0</v>
      </c>
      <c r="E1311" s="3">
        <v>6.6</v>
      </c>
      <c r="F1311" s="3">
        <v>34.38</v>
      </c>
      <c r="G1311" s="3">
        <v>141.01</v>
      </c>
      <c r="H1311" s="3">
        <v>0.0</v>
      </c>
      <c r="I1311" s="3">
        <v>2.82</v>
      </c>
      <c r="J1311" s="3">
        <v>0.0</v>
      </c>
      <c r="K1311" s="4">
        <f t="shared" si="1"/>
        <v>21065.8045</v>
      </c>
      <c r="L1311" s="4">
        <f t="shared" si="2"/>
        <v>1.520995792</v>
      </c>
    </row>
    <row r="1312">
      <c r="A1312" s="3" t="s">
        <v>108</v>
      </c>
      <c r="B1312" s="3">
        <v>18.0</v>
      </c>
      <c r="C1312" s="3">
        <v>15.68</v>
      </c>
      <c r="D1312" s="3">
        <v>176.0</v>
      </c>
      <c r="E1312" s="3">
        <v>6.2</v>
      </c>
      <c r="F1312" s="3">
        <v>36.42</v>
      </c>
      <c r="G1312" s="3">
        <v>136.34</v>
      </c>
      <c r="H1312" s="3">
        <v>0.0</v>
      </c>
      <c r="I1312" s="3">
        <v>2.06</v>
      </c>
      <c r="J1312" s="3">
        <v>0.0</v>
      </c>
      <c r="K1312" s="4">
        <f t="shared" si="1"/>
        <v>19915.012</v>
      </c>
      <c r="L1312" s="4">
        <f t="shared" si="2"/>
        <v>1.555409557</v>
      </c>
    </row>
    <row r="1313">
      <c r="A1313" s="3" t="s">
        <v>108</v>
      </c>
      <c r="B1313" s="3">
        <v>18.0</v>
      </c>
      <c r="C1313" s="3">
        <v>16.61</v>
      </c>
      <c r="D1313" s="3">
        <v>174.0</v>
      </c>
      <c r="E1313" s="3">
        <v>6.6</v>
      </c>
      <c r="F1313" s="3">
        <v>38.36</v>
      </c>
      <c r="G1313" s="3">
        <v>131.69</v>
      </c>
      <c r="H1313" s="3">
        <v>0.0</v>
      </c>
      <c r="I1313" s="3">
        <v>1.52</v>
      </c>
      <c r="J1313" s="3">
        <v>0.0</v>
      </c>
      <c r="K1313" s="4">
        <f t="shared" si="1"/>
        <v>18813.7457</v>
      </c>
      <c r="L1313" s="4">
        <f t="shared" si="2"/>
        <v>1.609248923</v>
      </c>
    </row>
    <row r="1314">
      <c r="A1314" s="3" t="s">
        <v>108</v>
      </c>
      <c r="B1314" s="3">
        <v>18.0</v>
      </c>
      <c r="C1314" s="3">
        <v>17.42</v>
      </c>
      <c r="D1314" s="3">
        <v>178.0</v>
      </c>
      <c r="E1314" s="3">
        <v>8.7</v>
      </c>
      <c r="F1314" s="3">
        <v>38.9</v>
      </c>
      <c r="G1314" s="3">
        <v>128.17</v>
      </c>
      <c r="H1314" s="3">
        <v>0.0</v>
      </c>
      <c r="I1314" s="3">
        <v>1.33</v>
      </c>
      <c r="J1314" s="3">
        <v>0.0</v>
      </c>
      <c r="K1314" s="4">
        <f t="shared" si="1"/>
        <v>17940.7589</v>
      </c>
      <c r="L1314" s="4">
        <f t="shared" si="2"/>
        <v>1.766034546</v>
      </c>
    </row>
    <row r="1315">
      <c r="A1315" s="3" t="s">
        <v>108</v>
      </c>
      <c r="B1315" s="3">
        <v>18.0</v>
      </c>
      <c r="C1315" s="3">
        <v>18.35</v>
      </c>
      <c r="D1315" s="3">
        <v>177.0</v>
      </c>
      <c r="E1315" s="3">
        <v>6.2</v>
      </c>
      <c r="F1315" s="3">
        <v>37.93</v>
      </c>
      <c r="G1315" s="3">
        <v>124.63</v>
      </c>
      <c r="H1315" s="3">
        <v>0.0</v>
      </c>
      <c r="I1315" s="3">
        <v>0.81</v>
      </c>
      <c r="J1315" s="3">
        <v>0.0</v>
      </c>
      <c r="K1315" s="4">
        <f t="shared" si="1"/>
        <v>16971.3218</v>
      </c>
      <c r="L1315" s="4">
        <f t="shared" si="2"/>
        <v>1.845996462</v>
      </c>
    </row>
    <row r="1316">
      <c r="A1316" s="3" t="s">
        <v>108</v>
      </c>
      <c r="B1316" s="3">
        <v>18.0</v>
      </c>
      <c r="C1316" s="3">
        <v>19.16</v>
      </c>
      <c r="D1316" s="3">
        <v>169.0</v>
      </c>
      <c r="E1316" s="3">
        <v>5.9</v>
      </c>
      <c r="F1316" s="3">
        <v>36.96</v>
      </c>
      <c r="G1316" s="3">
        <v>121.38</v>
      </c>
      <c r="H1316" s="3">
        <v>0.0</v>
      </c>
      <c r="I1316" s="3">
        <v>0.36</v>
      </c>
      <c r="J1316" s="3">
        <v>0.0</v>
      </c>
      <c r="K1316" s="4">
        <f t="shared" si="1"/>
        <v>16099.146</v>
      </c>
      <c r="L1316" s="4">
        <f t="shared" si="2"/>
        <v>1.774069258</v>
      </c>
    </row>
    <row r="1317">
      <c r="A1317" s="3" t="s">
        <v>108</v>
      </c>
      <c r="B1317" s="3">
        <v>18.0</v>
      </c>
      <c r="C1317" s="3">
        <v>20.09</v>
      </c>
      <c r="D1317" s="3">
        <v>158.0</v>
      </c>
      <c r="E1317" s="3">
        <v>6.3</v>
      </c>
      <c r="F1317" s="3">
        <v>36.1</v>
      </c>
      <c r="G1317" s="3">
        <v>117.8</v>
      </c>
      <c r="H1317" s="3">
        <v>0.0</v>
      </c>
      <c r="I1317" s="3">
        <v>0.2</v>
      </c>
      <c r="J1317" s="3">
        <v>0.0</v>
      </c>
      <c r="K1317" s="4">
        <f t="shared" si="1"/>
        <v>15180.05</v>
      </c>
      <c r="L1317" s="4">
        <f t="shared" si="2"/>
        <v>1.644526863</v>
      </c>
    </row>
    <row r="1318">
      <c r="A1318" s="3" t="s">
        <v>108</v>
      </c>
      <c r="B1318" s="3">
        <v>18.0</v>
      </c>
      <c r="C1318" s="3">
        <v>21.02</v>
      </c>
      <c r="D1318" s="3">
        <v>158.0</v>
      </c>
      <c r="E1318" s="3">
        <v>7.6</v>
      </c>
      <c r="F1318" s="3">
        <v>34.92</v>
      </c>
      <c r="G1318" s="3">
        <v>114.69</v>
      </c>
      <c r="H1318" s="3">
        <v>0.0</v>
      </c>
      <c r="I1318" s="3">
        <v>0.16</v>
      </c>
      <c r="J1318" s="3">
        <v>0.0</v>
      </c>
      <c r="K1318" s="4">
        <f t="shared" si="1"/>
        <v>14373.2025</v>
      </c>
      <c r="L1318" s="4">
        <f t="shared" si="2"/>
        <v>1.736843268</v>
      </c>
    </row>
    <row r="1319">
      <c r="A1319" s="3" t="s">
        <v>108</v>
      </c>
      <c r="B1319" s="3">
        <v>18.0</v>
      </c>
      <c r="C1319" s="3">
        <v>21.95</v>
      </c>
      <c r="D1319" s="3">
        <v>158.0</v>
      </c>
      <c r="E1319" s="3">
        <v>8.9</v>
      </c>
      <c r="F1319" s="3">
        <v>33.73</v>
      </c>
      <c r="G1319" s="3">
        <v>111.9</v>
      </c>
      <c r="H1319" s="3">
        <v>0.0</v>
      </c>
      <c r="I1319" s="3">
        <v>0.11</v>
      </c>
      <c r="J1319" s="3">
        <v>0.0</v>
      </c>
      <c r="K1319" s="4">
        <f t="shared" si="1"/>
        <v>13659.3229</v>
      </c>
      <c r="L1319" s="4">
        <f t="shared" si="2"/>
        <v>1.827616214</v>
      </c>
    </row>
    <row r="1320">
      <c r="A1320" s="3" t="s">
        <v>108</v>
      </c>
      <c r="B1320" s="3">
        <v>18.0</v>
      </c>
      <c r="C1320" s="3">
        <v>22.76</v>
      </c>
      <c r="D1320" s="3">
        <v>159.0</v>
      </c>
      <c r="E1320" s="3">
        <v>9.0</v>
      </c>
      <c r="F1320" s="3">
        <v>32.65</v>
      </c>
      <c r="G1320" s="3">
        <v>109.45</v>
      </c>
      <c r="H1320" s="3">
        <v>0.0</v>
      </c>
      <c r="I1320" s="3">
        <v>0.0</v>
      </c>
      <c r="J1320" s="3">
        <v>0.0</v>
      </c>
      <c r="K1320" s="4">
        <f t="shared" si="1"/>
        <v>13045.325</v>
      </c>
      <c r="L1320" s="4">
        <f t="shared" si="2"/>
        <v>1.937935621</v>
      </c>
    </row>
    <row r="1321">
      <c r="A1321" s="3" t="s">
        <v>109</v>
      </c>
      <c r="B1321" s="3">
        <v>18.0</v>
      </c>
      <c r="C1321" s="3">
        <v>2.61</v>
      </c>
      <c r="D1321" s="3">
        <v>179.0</v>
      </c>
      <c r="E1321" s="3">
        <v>14.7</v>
      </c>
      <c r="F1321" s="3">
        <v>8.52</v>
      </c>
      <c r="G1321" s="3">
        <v>197.55</v>
      </c>
      <c r="H1321" s="3">
        <v>118.24</v>
      </c>
      <c r="I1321" s="3">
        <v>455.38</v>
      </c>
      <c r="J1321" s="3">
        <v>0.0</v>
      </c>
      <c r="K1321" s="4">
        <f t="shared" si="1"/>
        <v>39098.5929</v>
      </c>
      <c r="L1321" s="4">
        <f t="shared" si="2"/>
        <v>0.8194924068</v>
      </c>
    </row>
    <row r="1322">
      <c r="A1322" s="3" t="s">
        <v>109</v>
      </c>
      <c r="B1322" s="3">
        <v>18.0</v>
      </c>
      <c r="C1322" s="3">
        <v>5.24</v>
      </c>
      <c r="D1322" s="3">
        <v>195.0</v>
      </c>
      <c r="E1322" s="3">
        <v>6.8</v>
      </c>
      <c r="F1322" s="3">
        <v>19.72</v>
      </c>
      <c r="G1322" s="3">
        <v>177.52</v>
      </c>
      <c r="H1322" s="3">
        <v>83.47</v>
      </c>
      <c r="I1322" s="3">
        <v>58.82</v>
      </c>
      <c r="J1322" s="3">
        <v>0.0</v>
      </c>
      <c r="K1322" s="4">
        <f t="shared" si="1"/>
        <v>31902.2288</v>
      </c>
      <c r="L1322" s="4">
        <f t="shared" si="2"/>
        <v>1.191922992</v>
      </c>
    </row>
    <row r="1323">
      <c r="A1323" s="3" t="s">
        <v>109</v>
      </c>
      <c r="B1323" s="3">
        <v>18.0</v>
      </c>
      <c r="C1323" s="3">
        <v>7.85</v>
      </c>
      <c r="D1323" s="3">
        <v>181.0</v>
      </c>
      <c r="E1323" s="3">
        <v>9.8</v>
      </c>
      <c r="F1323" s="3">
        <v>23.38</v>
      </c>
      <c r="G1323" s="3">
        <v>148.4</v>
      </c>
      <c r="H1323" s="3">
        <v>68.2</v>
      </c>
      <c r="I1323" s="3">
        <v>14.08</v>
      </c>
      <c r="J1323" s="3">
        <v>0.0</v>
      </c>
      <c r="K1323" s="4">
        <f t="shared" si="1"/>
        <v>22569.1844</v>
      </c>
      <c r="L1323" s="4">
        <f t="shared" si="2"/>
        <v>1.451581033</v>
      </c>
    </row>
    <row r="1324">
      <c r="A1324" s="3" t="s">
        <v>109</v>
      </c>
      <c r="B1324" s="3">
        <v>18.0</v>
      </c>
      <c r="C1324" s="3">
        <v>10.65</v>
      </c>
      <c r="D1324" s="3">
        <v>162.0</v>
      </c>
      <c r="E1324" s="3">
        <v>20.4</v>
      </c>
      <c r="F1324" s="3">
        <v>20.04</v>
      </c>
      <c r="G1324" s="3">
        <v>126.45</v>
      </c>
      <c r="H1324" s="3">
        <v>58.55</v>
      </c>
      <c r="I1324" s="3">
        <v>2.75</v>
      </c>
      <c r="J1324" s="3">
        <v>0.0</v>
      </c>
      <c r="K1324" s="4">
        <f t="shared" si="1"/>
        <v>16391.2041</v>
      </c>
      <c r="L1324" s="4">
        <f t="shared" si="2"/>
        <v>1.60110263</v>
      </c>
    </row>
    <row r="1325">
      <c r="A1325" s="3" t="s">
        <v>109</v>
      </c>
      <c r="B1325" s="3">
        <v>18.0</v>
      </c>
      <c r="C1325" s="3">
        <v>13.47</v>
      </c>
      <c r="D1325" s="3">
        <v>145.0</v>
      </c>
      <c r="E1325" s="3">
        <v>9.6</v>
      </c>
      <c r="F1325" s="3">
        <v>20.8</v>
      </c>
      <c r="G1325" s="3">
        <v>110.59</v>
      </c>
      <c r="H1325" s="3">
        <v>52.06</v>
      </c>
      <c r="I1325" s="3">
        <v>0.23</v>
      </c>
      <c r="J1325" s="3">
        <v>0.0</v>
      </c>
      <c r="K1325" s="4">
        <f t="shared" si="1"/>
        <v>12662.7881</v>
      </c>
      <c r="L1325" s="4">
        <f t="shared" si="2"/>
        <v>1.660376833</v>
      </c>
    </row>
    <row r="1326">
      <c r="A1326" s="3" t="s">
        <v>109</v>
      </c>
      <c r="B1326" s="3">
        <v>18.0</v>
      </c>
      <c r="C1326" s="3">
        <v>16.03</v>
      </c>
      <c r="D1326" s="3">
        <v>147.0</v>
      </c>
      <c r="E1326" s="3">
        <v>17.9</v>
      </c>
      <c r="F1326" s="3">
        <v>22.85</v>
      </c>
      <c r="G1326" s="3">
        <v>100.09</v>
      </c>
      <c r="H1326" s="3">
        <v>47.73</v>
      </c>
      <c r="I1326" s="3">
        <v>0.06</v>
      </c>
      <c r="J1326" s="3">
        <v>0.0</v>
      </c>
      <c r="K1326" s="4">
        <f t="shared" si="1"/>
        <v>10540.1306</v>
      </c>
      <c r="L1326" s="4">
        <f t="shared" si="2"/>
        <v>2.05016435</v>
      </c>
    </row>
    <row r="1327">
      <c r="A1327" s="3" t="s">
        <v>109</v>
      </c>
      <c r="B1327" s="3">
        <v>18.0</v>
      </c>
      <c r="C1327" s="3">
        <v>18.58</v>
      </c>
      <c r="D1327" s="3">
        <v>150.0</v>
      </c>
      <c r="E1327" s="3">
        <v>21.0</v>
      </c>
      <c r="F1327" s="3">
        <v>23.38</v>
      </c>
      <c r="G1327" s="3">
        <v>92.33</v>
      </c>
      <c r="H1327" s="3">
        <v>44.33</v>
      </c>
      <c r="I1327" s="3">
        <v>0.0</v>
      </c>
      <c r="J1327" s="3">
        <v>0.0</v>
      </c>
      <c r="K1327" s="4">
        <f t="shared" si="1"/>
        <v>9071.4533</v>
      </c>
      <c r="L1327" s="4">
        <f t="shared" si="2"/>
        <v>2.480308199</v>
      </c>
    </row>
    <row r="1328">
      <c r="A1328" s="3" t="s">
        <v>110</v>
      </c>
      <c r="B1328" s="3">
        <v>18.0</v>
      </c>
      <c r="C1328" s="3">
        <v>1.74</v>
      </c>
      <c r="D1328" s="3">
        <v>96.4</v>
      </c>
      <c r="E1328" s="3">
        <v>12.1</v>
      </c>
      <c r="F1328" s="3">
        <v>5.73</v>
      </c>
      <c r="G1328" s="3">
        <v>129.95</v>
      </c>
      <c r="H1328" s="3">
        <v>70.64</v>
      </c>
      <c r="I1328" s="3">
        <v>1123.87</v>
      </c>
      <c r="J1328" s="3">
        <v>0.01</v>
      </c>
      <c r="K1328" s="4">
        <f t="shared" si="1"/>
        <v>16919.8354</v>
      </c>
      <c r="L1328" s="4">
        <f t="shared" si="2"/>
        <v>0.5492346574</v>
      </c>
    </row>
    <row r="1329">
      <c r="A1329" s="3" t="s">
        <v>110</v>
      </c>
      <c r="B1329" s="3">
        <v>18.0</v>
      </c>
      <c r="C1329" s="3">
        <v>3.5</v>
      </c>
      <c r="D1329" s="3">
        <v>157.0</v>
      </c>
      <c r="E1329" s="3">
        <v>10.5</v>
      </c>
      <c r="F1329" s="3">
        <v>16.49</v>
      </c>
      <c r="G1329" s="3">
        <v>217.21</v>
      </c>
      <c r="H1329" s="3">
        <v>49.8</v>
      </c>
      <c r="I1329" s="3">
        <v>658.27</v>
      </c>
      <c r="J1329" s="3">
        <v>0.0</v>
      </c>
      <c r="K1329" s="4">
        <f t="shared" si="1"/>
        <v>47452.1042</v>
      </c>
      <c r="L1329" s="4">
        <f t="shared" si="2"/>
        <v>0.5194500943</v>
      </c>
    </row>
    <row r="1330">
      <c r="A1330" s="3" t="s">
        <v>110</v>
      </c>
      <c r="B1330" s="3">
        <v>18.0</v>
      </c>
      <c r="C1330" s="3">
        <v>5.24</v>
      </c>
      <c r="D1330" s="3">
        <v>192.0</v>
      </c>
      <c r="E1330" s="3">
        <v>8.4</v>
      </c>
      <c r="F1330" s="3">
        <v>21.44</v>
      </c>
      <c r="G1330" s="3">
        <v>237.63</v>
      </c>
      <c r="H1330" s="3">
        <v>40.7</v>
      </c>
      <c r="I1330" s="3">
        <v>352.95</v>
      </c>
      <c r="J1330" s="3">
        <v>0.0</v>
      </c>
      <c r="K1330" s="4">
        <f t="shared" si="1"/>
        <v>56927.6905</v>
      </c>
      <c r="L1330" s="4">
        <f t="shared" si="2"/>
        <v>0.6475583266</v>
      </c>
    </row>
    <row r="1331">
      <c r="A1331" s="3" t="s">
        <v>110</v>
      </c>
      <c r="B1331" s="3">
        <v>18.0</v>
      </c>
      <c r="C1331" s="3">
        <v>6.98</v>
      </c>
      <c r="D1331" s="3">
        <v>201.0</v>
      </c>
      <c r="E1331" s="3">
        <v>6.9</v>
      </c>
      <c r="F1331" s="3">
        <v>24.35</v>
      </c>
      <c r="G1331" s="3">
        <v>246.25</v>
      </c>
      <c r="H1331" s="3">
        <v>35.27</v>
      </c>
      <c r="I1331" s="3">
        <v>198.18</v>
      </c>
      <c r="J1331" s="3">
        <v>0.0</v>
      </c>
      <c r="K1331" s="4">
        <f t="shared" si="1"/>
        <v>61231.985</v>
      </c>
      <c r="L1331" s="4">
        <f t="shared" si="2"/>
        <v>0.6598022259</v>
      </c>
    </row>
    <row r="1332">
      <c r="A1332" s="3" t="s">
        <v>110</v>
      </c>
      <c r="B1332" s="3">
        <v>18.0</v>
      </c>
      <c r="C1332" s="3">
        <v>8.72</v>
      </c>
      <c r="D1332" s="3">
        <v>201.0</v>
      </c>
      <c r="E1332" s="3">
        <v>7.3</v>
      </c>
      <c r="F1332" s="3">
        <v>30.5</v>
      </c>
      <c r="G1332" s="3">
        <v>251.02</v>
      </c>
      <c r="H1332" s="3">
        <v>31.55</v>
      </c>
      <c r="I1332" s="3">
        <v>108.77</v>
      </c>
      <c r="J1332" s="3">
        <v>0.0</v>
      </c>
      <c r="K1332" s="4">
        <f t="shared" si="1"/>
        <v>63941.2904</v>
      </c>
      <c r="L1332" s="4">
        <f t="shared" si="2"/>
        <v>0.6318452403</v>
      </c>
    </row>
    <row r="1333">
      <c r="A1333" s="3" t="s">
        <v>110</v>
      </c>
      <c r="B1333" s="3">
        <v>18.0</v>
      </c>
      <c r="C1333" s="3">
        <v>10.47</v>
      </c>
      <c r="D1333" s="3">
        <v>194.0</v>
      </c>
      <c r="E1333" s="3">
        <v>6.4</v>
      </c>
      <c r="F1333" s="3">
        <v>41.92</v>
      </c>
      <c r="G1333" s="3">
        <v>230.73</v>
      </c>
      <c r="H1333" s="3">
        <v>28.8</v>
      </c>
      <c r="I1333" s="3">
        <v>29.25</v>
      </c>
      <c r="J1333" s="3">
        <v>0.0</v>
      </c>
      <c r="K1333" s="4">
        <f t="shared" si="1"/>
        <v>54993.6193</v>
      </c>
      <c r="L1333" s="4">
        <f t="shared" si="2"/>
        <v>0.6843703048</v>
      </c>
    </row>
    <row r="1334">
      <c r="A1334" s="3" t="s">
        <v>110</v>
      </c>
      <c r="B1334" s="3">
        <v>18.0</v>
      </c>
      <c r="C1334" s="3">
        <v>12.19</v>
      </c>
      <c r="D1334" s="3">
        <v>190.0</v>
      </c>
      <c r="E1334" s="3">
        <v>6.0</v>
      </c>
      <c r="F1334" s="3">
        <v>51.62</v>
      </c>
      <c r="G1334" s="3">
        <v>208.57</v>
      </c>
      <c r="H1334" s="3">
        <v>26.69</v>
      </c>
      <c r="I1334" s="3">
        <v>13.48</v>
      </c>
      <c r="J1334" s="3">
        <v>0.0</v>
      </c>
      <c r="K1334" s="4">
        <f t="shared" si="1"/>
        <v>46166.0693</v>
      </c>
      <c r="L1334" s="4">
        <f t="shared" si="2"/>
        <v>0.7819595765</v>
      </c>
    </row>
    <row r="1335">
      <c r="A1335" s="3" t="s">
        <v>110</v>
      </c>
      <c r="B1335" s="3">
        <v>18.0</v>
      </c>
      <c r="C1335" s="3">
        <v>13.94</v>
      </c>
      <c r="D1335" s="3">
        <v>186.0</v>
      </c>
      <c r="E1335" s="3">
        <v>6.4</v>
      </c>
      <c r="F1335" s="3">
        <v>50.11</v>
      </c>
      <c r="G1335" s="3">
        <v>192.8</v>
      </c>
      <c r="H1335" s="3">
        <v>24.96</v>
      </c>
      <c r="I1335" s="3">
        <v>7.5</v>
      </c>
      <c r="J1335" s="3">
        <v>0.0</v>
      </c>
      <c r="K1335" s="4">
        <f t="shared" si="1"/>
        <v>39682.8521</v>
      </c>
      <c r="L1335" s="4">
        <f t="shared" si="2"/>
        <v>0.8718123363</v>
      </c>
    </row>
    <row r="1336">
      <c r="A1336" s="3" t="s">
        <v>110</v>
      </c>
      <c r="B1336" s="3">
        <v>18.0</v>
      </c>
      <c r="C1336" s="3">
        <v>15.68</v>
      </c>
      <c r="D1336" s="3">
        <v>184.0</v>
      </c>
      <c r="E1336" s="3">
        <v>6.4</v>
      </c>
      <c r="F1336" s="3">
        <v>48.39</v>
      </c>
      <c r="G1336" s="3">
        <v>179.28</v>
      </c>
      <c r="H1336" s="3">
        <v>23.53</v>
      </c>
      <c r="I1336" s="3">
        <v>4.2</v>
      </c>
      <c r="J1336" s="3">
        <v>0.0</v>
      </c>
      <c r="K1336" s="4">
        <f t="shared" si="1"/>
        <v>34482.9105</v>
      </c>
      <c r="L1336" s="4">
        <f t="shared" si="2"/>
        <v>0.9818196756</v>
      </c>
    </row>
    <row r="1337">
      <c r="A1337" s="3" t="s">
        <v>110</v>
      </c>
      <c r="B1337" s="3">
        <v>18.0</v>
      </c>
      <c r="C1337" s="3">
        <v>17.42</v>
      </c>
      <c r="D1337" s="3">
        <v>182.0</v>
      </c>
      <c r="E1337" s="3">
        <v>7.3</v>
      </c>
      <c r="F1337" s="3">
        <v>52.05</v>
      </c>
      <c r="G1337" s="3">
        <v>169.24</v>
      </c>
      <c r="H1337" s="3">
        <v>22.32</v>
      </c>
      <c r="I1337" s="3">
        <v>2.43</v>
      </c>
      <c r="J1337" s="3">
        <v>0.0</v>
      </c>
      <c r="K1337" s="4">
        <f t="shared" si="1"/>
        <v>31351.3801</v>
      </c>
      <c r="L1337" s="4">
        <f t="shared" si="2"/>
        <v>1.05654041</v>
      </c>
    </row>
    <row r="1338">
      <c r="A1338" s="3" t="s">
        <v>110</v>
      </c>
      <c r="B1338" s="3">
        <v>18.0</v>
      </c>
      <c r="C1338" s="3">
        <v>19.16</v>
      </c>
      <c r="D1338" s="3">
        <v>181.0</v>
      </c>
      <c r="E1338" s="3">
        <v>6.6</v>
      </c>
      <c r="F1338" s="3">
        <v>50.54</v>
      </c>
      <c r="G1338" s="3">
        <v>160.07</v>
      </c>
      <c r="H1338" s="3">
        <v>21.29</v>
      </c>
      <c r="I1338" s="3">
        <v>0.66</v>
      </c>
      <c r="J1338" s="3">
        <v>0.0</v>
      </c>
      <c r="K1338" s="4">
        <f t="shared" si="1"/>
        <v>28176.6965</v>
      </c>
      <c r="L1338" s="4">
        <f t="shared" si="2"/>
        <v>1.162698402</v>
      </c>
    </row>
    <row r="1339">
      <c r="A1339" s="3" t="s">
        <v>110</v>
      </c>
      <c r="B1339" s="3">
        <v>18.0</v>
      </c>
      <c r="C1339" s="3">
        <v>20.9</v>
      </c>
      <c r="D1339" s="3">
        <v>183.0</v>
      </c>
      <c r="E1339" s="3">
        <v>6.5</v>
      </c>
      <c r="F1339" s="3">
        <v>48.06</v>
      </c>
      <c r="G1339" s="3">
        <v>151.49</v>
      </c>
      <c r="H1339" s="3">
        <v>20.38</v>
      </c>
      <c r="I1339" s="3">
        <v>0.54</v>
      </c>
      <c r="J1339" s="3">
        <v>0.0</v>
      </c>
      <c r="K1339" s="4">
        <f t="shared" si="1"/>
        <v>25258.9837</v>
      </c>
      <c r="L1339" s="4">
        <f t="shared" si="2"/>
        <v>1.325825314</v>
      </c>
    </row>
    <row r="1340">
      <c r="A1340" s="3" t="s">
        <v>110</v>
      </c>
      <c r="B1340" s="3">
        <v>18.0</v>
      </c>
      <c r="C1340" s="3">
        <v>22.65</v>
      </c>
      <c r="D1340" s="3">
        <v>185.0</v>
      </c>
      <c r="E1340" s="3">
        <v>6.5</v>
      </c>
      <c r="F1340" s="3">
        <v>52.27</v>
      </c>
      <c r="G1340" s="3">
        <v>145.0</v>
      </c>
      <c r="H1340" s="3">
        <v>19.58</v>
      </c>
      <c r="I1340" s="3">
        <v>0.28</v>
      </c>
      <c r="J1340" s="3">
        <v>0.0</v>
      </c>
      <c r="K1340" s="4">
        <f t="shared" si="1"/>
        <v>23757.1529</v>
      </c>
      <c r="L1340" s="4">
        <f t="shared" si="2"/>
        <v>1.440618754</v>
      </c>
    </row>
    <row r="1341">
      <c r="A1341" s="3" t="s">
        <v>110</v>
      </c>
      <c r="B1341" s="3">
        <v>18.0</v>
      </c>
      <c r="C1341" s="3">
        <v>24.39</v>
      </c>
      <c r="D1341" s="3">
        <v>186.0</v>
      </c>
      <c r="E1341" s="3">
        <v>9.1</v>
      </c>
      <c r="F1341" s="3">
        <v>50.33</v>
      </c>
      <c r="G1341" s="3">
        <v>138.91</v>
      </c>
      <c r="H1341" s="3">
        <v>18.87</v>
      </c>
      <c r="I1341" s="3">
        <v>0.07</v>
      </c>
      <c r="J1341" s="3">
        <v>0.0</v>
      </c>
      <c r="K1341" s="4">
        <f t="shared" si="1"/>
        <v>21829.097</v>
      </c>
      <c r="L1341" s="4">
        <f t="shared" si="2"/>
        <v>1.584857129</v>
      </c>
    </row>
    <row r="1342">
      <c r="A1342" s="3" t="s">
        <v>110</v>
      </c>
      <c r="B1342" s="3">
        <v>18.0</v>
      </c>
      <c r="C1342" s="3">
        <v>26.13</v>
      </c>
      <c r="D1342" s="3">
        <v>186.0</v>
      </c>
      <c r="E1342" s="3">
        <v>11.4</v>
      </c>
      <c r="F1342" s="3">
        <v>47.42</v>
      </c>
      <c r="G1342" s="3">
        <v>133.62</v>
      </c>
      <c r="H1342" s="3">
        <v>18.23</v>
      </c>
      <c r="I1342" s="3">
        <v>0.04</v>
      </c>
      <c r="J1342" s="3">
        <v>0.0</v>
      </c>
      <c r="K1342" s="4">
        <f t="shared" si="1"/>
        <v>20102.9608</v>
      </c>
      <c r="L1342" s="4">
        <f t="shared" si="2"/>
        <v>1.720940529</v>
      </c>
    </row>
    <row r="1343">
      <c r="A1343" s="3" t="s">
        <v>110</v>
      </c>
      <c r="B1343" s="3">
        <v>18.0</v>
      </c>
      <c r="C1343" s="3">
        <v>27.87</v>
      </c>
      <c r="D1343" s="3">
        <v>184.0</v>
      </c>
      <c r="E1343" s="3">
        <v>13.6</v>
      </c>
      <c r="F1343" s="3">
        <v>44.83</v>
      </c>
      <c r="G1343" s="3">
        <v>128.95</v>
      </c>
      <c r="H1343" s="3">
        <v>17.65</v>
      </c>
      <c r="I1343" s="3">
        <v>0.02</v>
      </c>
      <c r="J1343" s="3">
        <v>0.0</v>
      </c>
      <c r="K1343" s="4">
        <f t="shared" si="1"/>
        <v>18637.8314</v>
      </c>
      <c r="L1343" s="4">
        <f t="shared" si="2"/>
        <v>1.816520349</v>
      </c>
    </row>
    <row r="1344">
      <c r="A1344" s="3" t="s">
        <v>110</v>
      </c>
      <c r="B1344" s="3">
        <v>18.0</v>
      </c>
      <c r="C1344" s="3">
        <v>29.61</v>
      </c>
      <c r="D1344" s="3">
        <v>185.0</v>
      </c>
      <c r="E1344" s="3">
        <v>13.6</v>
      </c>
      <c r="F1344" s="3">
        <v>43.0</v>
      </c>
      <c r="G1344" s="3">
        <v>124.77</v>
      </c>
      <c r="H1344" s="3">
        <v>17.12</v>
      </c>
      <c r="I1344" s="3">
        <v>0.0</v>
      </c>
      <c r="J1344" s="3">
        <v>0.0</v>
      </c>
      <c r="K1344" s="4">
        <f t="shared" si="1"/>
        <v>17416.5529</v>
      </c>
      <c r="L1344" s="4">
        <f t="shared" si="2"/>
        <v>1.965084606</v>
      </c>
    </row>
    <row r="1345">
      <c r="A1345" s="3" t="s">
        <v>111</v>
      </c>
      <c r="B1345" s="3">
        <v>18.0</v>
      </c>
      <c r="C1345" s="3">
        <v>0.87</v>
      </c>
      <c r="D1345" s="3">
        <v>47.1</v>
      </c>
      <c r="E1345" s="3">
        <v>8.2</v>
      </c>
      <c r="F1345" s="3">
        <v>2.5</v>
      </c>
      <c r="G1345" s="3">
        <v>39.16</v>
      </c>
      <c r="H1345" s="3">
        <v>0.0</v>
      </c>
      <c r="I1345" s="3">
        <v>160.21</v>
      </c>
      <c r="J1345" s="3">
        <v>0.0</v>
      </c>
      <c r="K1345" s="4">
        <f t="shared" si="1"/>
        <v>1539.7556</v>
      </c>
      <c r="L1345" s="4">
        <f t="shared" si="2"/>
        <v>1.440754624</v>
      </c>
    </row>
    <row r="1346">
      <c r="A1346" s="3" t="s">
        <v>111</v>
      </c>
      <c r="B1346" s="3">
        <v>18.0</v>
      </c>
      <c r="C1346" s="3">
        <v>1.74</v>
      </c>
      <c r="D1346" s="3">
        <v>65.9</v>
      </c>
      <c r="E1346" s="3">
        <v>6.6</v>
      </c>
      <c r="F1346" s="3">
        <v>5.78</v>
      </c>
      <c r="G1346" s="3">
        <v>48.78</v>
      </c>
      <c r="H1346" s="3">
        <v>0.0</v>
      </c>
      <c r="I1346" s="3">
        <v>95.41</v>
      </c>
      <c r="J1346" s="3">
        <v>0.0</v>
      </c>
      <c r="K1346" s="4">
        <f t="shared" si="1"/>
        <v>2412.8968</v>
      </c>
      <c r="L1346" s="4">
        <f t="shared" si="2"/>
        <v>1.799832467</v>
      </c>
    </row>
    <row r="1347">
      <c r="A1347" s="3" t="s">
        <v>111</v>
      </c>
      <c r="B1347" s="3">
        <v>18.0</v>
      </c>
      <c r="C1347" s="3">
        <v>2.61</v>
      </c>
      <c r="D1347" s="3">
        <v>76.1</v>
      </c>
      <c r="E1347" s="3">
        <v>5.6</v>
      </c>
      <c r="F1347" s="3">
        <v>11.64</v>
      </c>
      <c r="G1347" s="3">
        <v>56.83</v>
      </c>
      <c r="H1347" s="3">
        <v>0.0</v>
      </c>
      <c r="I1347" s="3">
        <v>69.97</v>
      </c>
      <c r="J1347" s="3">
        <v>0.0</v>
      </c>
      <c r="K1347" s="4">
        <f t="shared" si="1"/>
        <v>3365.1385</v>
      </c>
      <c r="L1347" s="4">
        <f t="shared" si="2"/>
        <v>1.720942541</v>
      </c>
    </row>
    <row r="1348">
      <c r="A1348" s="3" t="s">
        <v>111</v>
      </c>
      <c r="B1348" s="3">
        <v>18.0</v>
      </c>
      <c r="C1348" s="3">
        <v>3.5</v>
      </c>
      <c r="D1348" s="3">
        <v>85.7</v>
      </c>
      <c r="E1348" s="3">
        <v>5.6</v>
      </c>
      <c r="F1348" s="3">
        <v>13.9</v>
      </c>
      <c r="G1348" s="3">
        <v>59.49</v>
      </c>
      <c r="H1348" s="3">
        <v>0.0</v>
      </c>
      <c r="I1348" s="3">
        <v>54.44</v>
      </c>
      <c r="J1348" s="3">
        <v>0.0</v>
      </c>
      <c r="K1348" s="4">
        <f t="shared" si="1"/>
        <v>3732.2701</v>
      </c>
      <c r="L1348" s="4">
        <f t="shared" si="2"/>
        <v>1.967834536</v>
      </c>
    </row>
    <row r="1349">
      <c r="A1349" s="3" t="s">
        <v>111</v>
      </c>
      <c r="B1349" s="3">
        <v>18.0</v>
      </c>
      <c r="C1349" s="3">
        <v>4.37</v>
      </c>
      <c r="D1349" s="3">
        <v>96.6</v>
      </c>
      <c r="E1349" s="3">
        <v>5.2</v>
      </c>
      <c r="F1349" s="3">
        <v>17.89</v>
      </c>
      <c r="G1349" s="3">
        <v>65.42</v>
      </c>
      <c r="H1349" s="3">
        <v>0.0</v>
      </c>
      <c r="I1349" s="3">
        <v>44.82</v>
      </c>
      <c r="J1349" s="3">
        <v>0.0</v>
      </c>
      <c r="K1349" s="4">
        <f t="shared" si="1"/>
        <v>4599.8285</v>
      </c>
      <c r="L1349" s="4">
        <f t="shared" si="2"/>
        <v>2.028675634</v>
      </c>
    </row>
    <row r="1350">
      <c r="A1350" s="3" t="s">
        <v>111</v>
      </c>
      <c r="B1350" s="3">
        <v>18.0</v>
      </c>
      <c r="C1350" s="3">
        <v>5.24</v>
      </c>
      <c r="D1350" s="3">
        <v>99.3</v>
      </c>
      <c r="E1350" s="3">
        <v>5.2</v>
      </c>
      <c r="F1350" s="3">
        <v>23.49</v>
      </c>
      <c r="G1350" s="3">
        <v>68.37</v>
      </c>
      <c r="H1350" s="3">
        <v>0.0</v>
      </c>
      <c r="I1350" s="3">
        <v>36.54</v>
      </c>
      <c r="J1350" s="3">
        <v>0.0</v>
      </c>
      <c r="K1350" s="4">
        <f t="shared" si="1"/>
        <v>5226.237</v>
      </c>
      <c r="L1350" s="4">
        <f t="shared" si="2"/>
        <v>1.886728443</v>
      </c>
    </row>
    <row r="1351">
      <c r="A1351" s="3" t="s">
        <v>111</v>
      </c>
      <c r="B1351" s="3">
        <v>18.0</v>
      </c>
      <c r="C1351" s="3">
        <v>6.11</v>
      </c>
      <c r="D1351" s="3">
        <v>103.0</v>
      </c>
      <c r="E1351" s="3">
        <v>5.2</v>
      </c>
      <c r="F1351" s="3">
        <v>25.97</v>
      </c>
      <c r="G1351" s="3">
        <v>71.96</v>
      </c>
      <c r="H1351" s="3">
        <v>0.0</v>
      </c>
      <c r="I1351" s="3">
        <v>32.09</v>
      </c>
      <c r="J1351" s="3">
        <v>0.0</v>
      </c>
      <c r="K1351" s="4">
        <f t="shared" si="1"/>
        <v>5852.6825</v>
      </c>
      <c r="L1351" s="4">
        <f t="shared" si="2"/>
        <v>1.812673078</v>
      </c>
    </row>
    <row r="1352">
      <c r="A1352" s="3" t="s">
        <v>111</v>
      </c>
      <c r="B1352" s="3">
        <v>18.0</v>
      </c>
      <c r="C1352" s="3">
        <v>6.98</v>
      </c>
      <c r="D1352" s="3">
        <v>107.0</v>
      </c>
      <c r="E1352" s="3">
        <v>5.2</v>
      </c>
      <c r="F1352" s="3">
        <v>27.48</v>
      </c>
      <c r="G1352" s="3">
        <v>75.74</v>
      </c>
      <c r="H1352" s="3">
        <v>0.0</v>
      </c>
      <c r="I1352" s="3">
        <v>24.66</v>
      </c>
      <c r="J1352" s="3">
        <v>0.0</v>
      </c>
      <c r="K1352" s="4">
        <f t="shared" si="1"/>
        <v>6491.698</v>
      </c>
      <c r="L1352" s="4">
        <f t="shared" si="2"/>
        <v>1.763637187</v>
      </c>
    </row>
    <row r="1353">
      <c r="A1353" s="3" t="s">
        <v>111</v>
      </c>
      <c r="B1353" s="3">
        <v>18.0</v>
      </c>
      <c r="C1353" s="3">
        <v>7.85</v>
      </c>
      <c r="D1353" s="3">
        <v>111.0</v>
      </c>
      <c r="E1353" s="3">
        <v>5.2</v>
      </c>
      <c r="F1353" s="3">
        <v>31.47</v>
      </c>
      <c r="G1353" s="3">
        <v>78.27</v>
      </c>
      <c r="H1353" s="3">
        <v>0.0</v>
      </c>
      <c r="I1353" s="3">
        <v>19.68</v>
      </c>
      <c r="J1353" s="3">
        <v>0.0</v>
      </c>
      <c r="K1353" s="4">
        <f t="shared" si="1"/>
        <v>7116.5538</v>
      </c>
      <c r="L1353" s="4">
        <f t="shared" si="2"/>
        <v>1.731315514</v>
      </c>
    </row>
    <row r="1354">
      <c r="A1354" s="3" t="s">
        <v>111</v>
      </c>
      <c r="B1354" s="3">
        <v>18.0</v>
      </c>
      <c r="C1354" s="3">
        <v>8.72</v>
      </c>
      <c r="D1354" s="3">
        <v>114.0</v>
      </c>
      <c r="E1354" s="3">
        <v>6.1</v>
      </c>
      <c r="F1354" s="3">
        <v>35.45</v>
      </c>
      <c r="G1354" s="3">
        <v>80.37</v>
      </c>
      <c r="H1354" s="3">
        <v>0.0</v>
      </c>
      <c r="I1354" s="3">
        <v>13.34</v>
      </c>
      <c r="J1354" s="3">
        <v>0.0</v>
      </c>
      <c r="K1354" s="4">
        <f t="shared" si="1"/>
        <v>7716.0394</v>
      </c>
      <c r="L1354" s="4">
        <f t="shared" si="2"/>
        <v>1.684283779</v>
      </c>
    </row>
    <row r="1355">
      <c r="A1355" s="3" t="s">
        <v>111</v>
      </c>
      <c r="B1355" s="3">
        <v>18.0</v>
      </c>
      <c r="C1355" s="3">
        <v>9.6</v>
      </c>
      <c r="D1355" s="3">
        <v>115.0</v>
      </c>
      <c r="E1355" s="3">
        <v>6.1</v>
      </c>
      <c r="F1355" s="3">
        <v>36.42</v>
      </c>
      <c r="G1355" s="3">
        <v>78.73</v>
      </c>
      <c r="H1355" s="3">
        <v>0.0</v>
      </c>
      <c r="I1355" s="3">
        <v>7.13</v>
      </c>
      <c r="J1355" s="3">
        <v>0.0</v>
      </c>
      <c r="K1355" s="4">
        <f t="shared" si="1"/>
        <v>7524.8293</v>
      </c>
      <c r="L1355" s="4">
        <f t="shared" si="2"/>
        <v>1.757514951</v>
      </c>
    </row>
    <row r="1356">
      <c r="A1356" s="3" t="s">
        <v>111</v>
      </c>
      <c r="B1356" s="3">
        <v>18.0</v>
      </c>
      <c r="C1356" s="3">
        <v>10.47</v>
      </c>
      <c r="D1356" s="3">
        <v>111.0</v>
      </c>
      <c r="E1356" s="3">
        <v>5.6</v>
      </c>
      <c r="F1356" s="3">
        <v>37.82</v>
      </c>
      <c r="G1356" s="3">
        <v>74.74</v>
      </c>
      <c r="H1356" s="3">
        <v>0.0</v>
      </c>
      <c r="I1356" s="3">
        <v>3.83</v>
      </c>
      <c r="J1356" s="3">
        <v>0.0</v>
      </c>
      <c r="K1356" s="4">
        <f t="shared" si="1"/>
        <v>7016.42</v>
      </c>
      <c r="L1356" s="4">
        <f t="shared" si="2"/>
        <v>1.756023727</v>
      </c>
    </row>
    <row r="1357">
      <c r="A1357" s="3" t="s">
        <v>111</v>
      </c>
      <c r="B1357" s="3">
        <v>18.0</v>
      </c>
      <c r="C1357" s="3">
        <v>11.35</v>
      </c>
      <c r="D1357" s="3">
        <v>110.0</v>
      </c>
      <c r="E1357" s="3">
        <v>5.6</v>
      </c>
      <c r="F1357" s="3">
        <v>41.81</v>
      </c>
      <c r="G1357" s="3">
        <v>70.87</v>
      </c>
      <c r="H1357" s="3">
        <v>0.0</v>
      </c>
      <c r="I1357" s="3">
        <v>2.47</v>
      </c>
      <c r="J1357" s="3">
        <v>0.0</v>
      </c>
      <c r="K1357" s="4">
        <f t="shared" si="1"/>
        <v>6770.633</v>
      </c>
      <c r="L1357" s="4">
        <f t="shared" si="2"/>
        <v>1.7871298</v>
      </c>
    </row>
    <row r="1358">
      <c r="A1358" s="3" t="s">
        <v>111</v>
      </c>
      <c r="B1358" s="3">
        <v>18.0</v>
      </c>
      <c r="C1358" s="3">
        <v>12.31</v>
      </c>
      <c r="D1358" s="3">
        <v>111.0</v>
      </c>
      <c r="E1358" s="3">
        <v>5.2</v>
      </c>
      <c r="F1358" s="3">
        <v>40.2</v>
      </c>
      <c r="G1358" s="3">
        <v>67.15</v>
      </c>
      <c r="H1358" s="3">
        <v>0.0</v>
      </c>
      <c r="I1358" s="3">
        <v>1.7</v>
      </c>
      <c r="J1358" s="3">
        <v>0.0</v>
      </c>
      <c r="K1358" s="4">
        <f t="shared" si="1"/>
        <v>6125.1625</v>
      </c>
      <c r="L1358" s="4">
        <f t="shared" si="2"/>
        <v>2.011538469</v>
      </c>
    </row>
    <row r="1359">
      <c r="A1359" s="3" t="s">
        <v>111</v>
      </c>
      <c r="B1359" s="3">
        <v>18.0</v>
      </c>
      <c r="C1359" s="3">
        <v>13.12</v>
      </c>
      <c r="D1359" s="3">
        <v>109.0</v>
      </c>
      <c r="E1359" s="3">
        <v>4.8</v>
      </c>
      <c r="F1359" s="3">
        <v>38.58</v>
      </c>
      <c r="G1359" s="3">
        <v>64.51</v>
      </c>
      <c r="H1359" s="3">
        <v>0.0</v>
      </c>
      <c r="I1359" s="3">
        <v>1.38</v>
      </c>
      <c r="J1359" s="3">
        <v>0.0</v>
      </c>
      <c r="K1359" s="4">
        <f t="shared" si="1"/>
        <v>5649.9565</v>
      </c>
      <c r="L1359" s="4">
        <f t="shared" si="2"/>
        <v>2.102848048</v>
      </c>
    </row>
    <row r="1360">
      <c r="A1360" s="3" t="s">
        <v>111</v>
      </c>
      <c r="B1360" s="3">
        <v>18.0</v>
      </c>
      <c r="C1360" s="3">
        <v>14.05</v>
      </c>
      <c r="D1360" s="3">
        <v>108.0</v>
      </c>
      <c r="E1360" s="3">
        <v>4.4</v>
      </c>
      <c r="F1360" s="3">
        <v>38.15</v>
      </c>
      <c r="G1360" s="3">
        <v>61.97</v>
      </c>
      <c r="H1360" s="3">
        <v>0.0</v>
      </c>
      <c r="I1360" s="3">
        <v>1.09</v>
      </c>
      <c r="J1360" s="3">
        <v>0.0</v>
      </c>
      <c r="K1360" s="4">
        <f t="shared" si="1"/>
        <v>5295.7034</v>
      </c>
      <c r="L1360" s="4">
        <f t="shared" si="2"/>
        <v>2.202540271</v>
      </c>
    </row>
    <row r="1361">
      <c r="A1361" s="3" t="s">
        <v>111</v>
      </c>
      <c r="B1361" s="3">
        <v>18.0</v>
      </c>
      <c r="C1361" s="3">
        <v>14.98</v>
      </c>
      <c r="D1361" s="3">
        <v>109.0</v>
      </c>
      <c r="E1361" s="3">
        <v>5.2</v>
      </c>
      <c r="F1361" s="3">
        <v>39.01</v>
      </c>
      <c r="G1361" s="3">
        <v>59.84</v>
      </c>
      <c r="H1361" s="3">
        <v>0.0</v>
      </c>
      <c r="I1361" s="3">
        <v>0.89</v>
      </c>
      <c r="J1361" s="3">
        <v>0.0</v>
      </c>
      <c r="K1361" s="4">
        <f t="shared" si="1"/>
        <v>5102.6057</v>
      </c>
      <c r="L1361" s="4">
        <f t="shared" si="2"/>
        <v>2.328418204</v>
      </c>
    </row>
    <row r="1362">
      <c r="A1362" s="3" t="s">
        <v>111</v>
      </c>
      <c r="B1362" s="3">
        <v>18.0</v>
      </c>
      <c r="C1362" s="3">
        <v>16.03</v>
      </c>
      <c r="D1362" s="3">
        <v>111.0</v>
      </c>
      <c r="E1362" s="3">
        <v>5.3</v>
      </c>
      <c r="F1362" s="3">
        <v>38.26</v>
      </c>
      <c r="G1362" s="3">
        <v>57.82</v>
      </c>
      <c r="H1362" s="3">
        <v>0.0</v>
      </c>
      <c r="I1362" s="3">
        <v>0.71</v>
      </c>
      <c r="J1362" s="3">
        <v>0.0</v>
      </c>
      <c r="K1362" s="4">
        <f t="shared" si="1"/>
        <v>4806.98</v>
      </c>
      <c r="L1362" s="4">
        <f t="shared" si="2"/>
        <v>2.563147756</v>
      </c>
    </row>
    <row r="1363">
      <c r="A1363" s="3" t="s">
        <v>111</v>
      </c>
      <c r="B1363" s="3">
        <v>18.0</v>
      </c>
      <c r="C1363" s="3">
        <v>16.95</v>
      </c>
      <c r="D1363" s="3">
        <v>110.0</v>
      </c>
      <c r="E1363" s="3">
        <v>4.9</v>
      </c>
      <c r="F1363" s="3">
        <v>36.53</v>
      </c>
      <c r="G1363" s="3">
        <v>56.23</v>
      </c>
      <c r="H1363" s="3">
        <v>0.0</v>
      </c>
      <c r="I1363" s="3">
        <v>0.5</v>
      </c>
      <c r="J1363" s="3">
        <v>0.0</v>
      </c>
      <c r="K1363" s="4">
        <f t="shared" si="1"/>
        <v>4496.2538</v>
      </c>
      <c r="L1363" s="4">
        <f t="shared" si="2"/>
        <v>2.691129224</v>
      </c>
    </row>
    <row r="1364">
      <c r="A1364" s="3" t="s">
        <v>111</v>
      </c>
      <c r="B1364" s="3">
        <v>18.0</v>
      </c>
      <c r="C1364" s="3">
        <v>17.88</v>
      </c>
      <c r="D1364" s="3">
        <v>109.0</v>
      </c>
      <c r="E1364" s="3">
        <v>4.9</v>
      </c>
      <c r="F1364" s="3">
        <v>37.39</v>
      </c>
      <c r="G1364" s="3">
        <v>54.53</v>
      </c>
      <c r="H1364" s="3">
        <v>0.0</v>
      </c>
      <c r="I1364" s="3">
        <v>0.34</v>
      </c>
      <c r="J1364" s="3">
        <v>0.0</v>
      </c>
      <c r="K1364" s="4">
        <f t="shared" si="1"/>
        <v>4371.533</v>
      </c>
      <c r="L1364" s="4">
        <f t="shared" si="2"/>
        <v>2.717810892</v>
      </c>
    </row>
    <row r="1365">
      <c r="A1365" s="3" t="s">
        <v>111</v>
      </c>
      <c r="B1365" s="3">
        <v>18.0</v>
      </c>
      <c r="C1365" s="3">
        <v>18.93</v>
      </c>
      <c r="D1365" s="3">
        <v>110.0</v>
      </c>
      <c r="E1365" s="3">
        <v>5.3</v>
      </c>
      <c r="F1365" s="3">
        <v>36.86</v>
      </c>
      <c r="G1365" s="3">
        <v>52.76</v>
      </c>
      <c r="H1365" s="3">
        <v>0.0</v>
      </c>
      <c r="I1365" s="3">
        <v>0.26</v>
      </c>
      <c r="J1365" s="3">
        <v>0.0</v>
      </c>
      <c r="K1365" s="4">
        <f t="shared" si="1"/>
        <v>4142.2772</v>
      </c>
      <c r="L1365" s="4">
        <f t="shared" si="2"/>
        <v>2.921098569</v>
      </c>
    </row>
    <row r="1366">
      <c r="A1366" s="3" t="s">
        <v>111</v>
      </c>
      <c r="B1366" s="3">
        <v>18.0</v>
      </c>
      <c r="C1366" s="3">
        <v>19.97</v>
      </c>
      <c r="D1366" s="3">
        <v>112.0</v>
      </c>
      <c r="E1366" s="3">
        <v>10.2</v>
      </c>
      <c r="F1366" s="3">
        <v>35.67</v>
      </c>
      <c r="G1366" s="3">
        <v>51.32</v>
      </c>
      <c r="H1366" s="3">
        <v>0.0</v>
      </c>
      <c r="I1366" s="3">
        <v>0.18</v>
      </c>
      <c r="J1366" s="3">
        <v>0.0</v>
      </c>
      <c r="K1366" s="4">
        <f t="shared" si="1"/>
        <v>3906.0913</v>
      </c>
      <c r="L1366" s="4">
        <f t="shared" si="2"/>
        <v>3.21139447</v>
      </c>
    </row>
    <row r="1367">
      <c r="A1367" s="3" t="s">
        <v>111</v>
      </c>
      <c r="B1367" s="3">
        <v>18.0</v>
      </c>
      <c r="C1367" s="3">
        <v>21.02</v>
      </c>
      <c r="D1367" s="3">
        <v>113.0</v>
      </c>
      <c r="E1367" s="3">
        <v>11.5</v>
      </c>
      <c r="F1367" s="3">
        <v>35.35</v>
      </c>
      <c r="G1367" s="3">
        <v>49.87</v>
      </c>
      <c r="H1367" s="3">
        <v>0.0</v>
      </c>
      <c r="I1367" s="3">
        <v>0.0</v>
      </c>
      <c r="J1367" s="3">
        <v>0.0</v>
      </c>
      <c r="K1367" s="4">
        <f t="shared" si="1"/>
        <v>3736.6394</v>
      </c>
      <c r="L1367" s="4">
        <f t="shared" si="2"/>
        <v>3.417241707</v>
      </c>
    </row>
    <row r="1368">
      <c r="A1368" s="3" t="s">
        <v>112</v>
      </c>
      <c r="B1368" s="3">
        <v>2.87</v>
      </c>
      <c r="C1368" s="3">
        <v>0.21</v>
      </c>
      <c r="D1368" s="3">
        <v>55.5</v>
      </c>
      <c r="E1368" s="3">
        <v>7.21</v>
      </c>
      <c r="F1368" s="3">
        <v>5.41</v>
      </c>
      <c r="G1368" s="3">
        <v>32.3</v>
      </c>
      <c r="H1368" s="3">
        <v>0.0</v>
      </c>
      <c r="I1368" s="3">
        <v>541.3</v>
      </c>
      <c r="J1368" s="3">
        <v>0.0</v>
      </c>
      <c r="K1368" s="4">
        <f t="shared" si="1"/>
        <v>1072.5581</v>
      </c>
      <c r="L1368" s="4">
        <f t="shared" si="2"/>
        <v>2.871872396</v>
      </c>
    </row>
    <row r="1369">
      <c r="A1369" s="3" t="s">
        <v>112</v>
      </c>
      <c r="B1369" s="3">
        <v>2.87</v>
      </c>
      <c r="C1369" s="3">
        <v>0.63</v>
      </c>
      <c r="D1369" s="3">
        <v>63.2</v>
      </c>
      <c r="E1369" s="3">
        <v>5.22</v>
      </c>
      <c r="F1369" s="3">
        <v>13.09</v>
      </c>
      <c r="G1369" s="3">
        <v>52.43</v>
      </c>
      <c r="H1369" s="3">
        <v>0.0</v>
      </c>
      <c r="I1369" s="3">
        <v>190.53</v>
      </c>
      <c r="J1369" s="3">
        <v>0.0</v>
      </c>
      <c r="K1369" s="4">
        <f t="shared" si="1"/>
        <v>2920.253</v>
      </c>
      <c r="L1369" s="4">
        <f t="shared" si="2"/>
        <v>1.367771902</v>
      </c>
    </row>
    <row r="1370">
      <c r="A1370" s="3" t="s">
        <v>112</v>
      </c>
      <c r="B1370" s="3">
        <v>2.87</v>
      </c>
      <c r="C1370" s="3">
        <v>1.04</v>
      </c>
      <c r="D1370" s="3">
        <v>66.6</v>
      </c>
      <c r="E1370" s="3">
        <v>7.97</v>
      </c>
      <c r="F1370" s="3">
        <v>16.91</v>
      </c>
      <c r="G1370" s="3">
        <v>57.12</v>
      </c>
      <c r="H1370" s="3">
        <v>0.0</v>
      </c>
      <c r="I1370" s="3">
        <v>90.51</v>
      </c>
      <c r="J1370" s="3">
        <v>0.0</v>
      </c>
      <c r="K1370" s="4">
        <f t="shared" si="1"/>
        <v>3548.6425</v>
      </c>
      <c r="L1370" s="4">
        <f t="shared" si="2"/>
        <v>1.249931488</v>
      </c>
    </row>
    <row r="1371">
      <c r="A1371" s="3" t="s">
        <v>112</v>
      </c>
      <c r="B1371" s="3">
        <v>2.87</v>
      </c>
      <c r="C1371" s="3">
        <v>1.46</v>
      </c>
      <c r="D1371" s="3">
        <v>70.5</v>
      </c>
      <c r="E1371" s="3">
        <v>4.62</v>
      </c>
      <c r="F1371" s="3">
        <v>16.91</v>
      </c>
      <c r="G1371" s="3">
        <v>56.92</v>
      </c>
      <c r="H1371" s="3">
        <v>0.0</v>
      </c>
      <c r="I1371" s="3">
        <v>39.5</v>
      </c>
      <c r="J1371" s="3">
        <v>0.0</v>
      </c>
      <c r="K1371" s="4">
        <f t="shared" si="1"/>
        <v>3525.8345</v>
      </c>
      <c r="L1371" s="4">
        <f t="shared" si="2"/>
        <v>1.409666279</v>
      </c>
    </row>
    <row r="1372">
      <c r="A1372" s="3" t="s">
        <v>112</v>
      </c>
      <c r="B1372" s="3">
        <v>2.87</v>
      </c>
      <c r="C1372" s="3">
        <v>1.88</v>
      </c>
      <c r="D1372" s="3">
        <v>76.1</v>
      </c>
      <c r="E1372" s="3">
        <v>4.69</v>
      </c>
      <c r="F1372" s="3">
        <v>16.7</v>
      </c>
      <c r="G1372" s="3">
        <v>53.72</v>
      </c>
      <c r="H1372" s="3">
        <v>0.0</v>
      </c>
      <c r="I1372" s="3">
        <v>15.63</v>
      </c>
      <c r="J1372" s="3">
        <v>0.0</v>
      </c>
      <c r="K1372" s="4">
        <f t="shared" si="1"/>
        <v>3164.7284</v>
      </c>
      <c r="L1372" s="4">
        <f t="shared" si="2"/>
        <v>1.829923225</v>
      </c>
    </row>
    <row r="1373">
      <c r="A1373" s="3" t="s">
        <v>112</v>
      </c>
      <c r="B1373" s="3">
        <v>2.87</v>
      </c>
      <c r="C1373" s="3">
        <v>2.3</v>
      </c>
      <c r="D1373" s="3">
        <v>78.8</v>
      </c>
      <c r="E1373" s="3">
        <v>4.52</v>
      </c>
      <c r="F1373" s="3">
        <v>15.77</v>
      </c>
      <c r="G1373" s="3">
        <v>48.94</v>
      </c>
      <c r="H1373" s="3">
        <v>0.0</v>
      </c>
      <c r="I1373" s="3">
        <v>7.49</v>
      </c>
      <c r="J1373" s="3">
        <v>0.0</v>
      </c>
      <c r="K1373" s="4">
        <f t="shared" si="1"/>
        <v>2643.8165</v>
      </c>
      <c r="L1373" s="4">
        <f t="shared" si="2"/>
        <v>2.348665272</v>
      </c>
    </row>
    <row r="1374">
      <c r="A1374" s="3" t="s">
        <v>112</v>
      </c>
      <c r="B1374" s="3">
        <v>2.87</v>
      </c>
      <c r="C1374" s="3">
        <v>2.71</v>
      </c>
      <c r="D1374" s="3">
        <v>80.1</v>
      </c>
      <c r="E1374" s="3">
        <v>6.65</v>
      </c>
      <c r="F1374" s="3">
        <v>14.85</v>
      </c>
      <c r="G1374" s="3">
        <v>45.52</v>
      </c>
      <c r="H1374" s="3">
        <v>0.0</v>
      </c>
      <c r="I1374" s="3">
        <v>3.28</v>
      </c>
      <c r="J1374" s="3">
        <v>0.0</v>
      </c>
      <c r="K1374" s="4">
        <f t="shared" si="1"/>
        <v>2292.5929</v>
      </c>
      <c r="L1374" s="4">
        <f t="shared" si="2"/>
        <v>2.798582339</v>
      </c>
    </row>
    <row r="1375">
      <c r="A1375" s="3" t="s">
        <v>112</v>
      </c>
      <c r="B1375" s="3">
        <v>2.87</v>
      </c>
      <c r="C1375" s="3">
        <v>3.14</v>
      </c>
      <c r="D1375" s="3">
        <v>80.1</v>
      </c>
      <c r="E1375" s="3">
        <v>6.28</v>
      </c>
      <c r="F1375" s="3">
        <v>13.92</v>
      </c>
      <c r="G1375" s="3">
        <v>42.09</v>
      </c>
      <c r="H1375" s="3">
        <v>0.0</v>
      </c>
      <c r="I1375" s="3">
        <v>1.41</v>
      </c>
      <c r="J1375" s="3">
        <v>0.0</v>
      </c>
      <c r="K1375" s="4">
        <f t="shared" si="1"/>
        <v>1965.3345</v>
      </c>
      <c r="L1375" s="4">
        <f t="shared" si="2"/>
        <v>3.26458931</v>
      </c>
    </row>
    <row r="1376">
      <c r="A1376" s="3" t="s">
        <v>112</v>
      </c>
      <c r="B1376" s="3">
        <v>2.87</v>
      </c>
      <c r="C1376" s="3">
        <v>3.55</v>
      </c>
      <c r="D1376" s="3">
        <v>80.1</v>
      </c>
      <c r="E1376" s="3">
        <v>5.09</v>
      </c>
      <c r="F1376" s="3">
        <v>13.09</v>
      </c>
      <c r="G1376" s="3">
        <v>39.26</v>
      </c>
      <c r="H1376" s="3">
        <v>0.0</v>
      </c>
      <c r="I1376" s="3">
        <v>0.63</v>
      </c>
      <c r="J1376" s="3">
        <v>0.0</v>
      </c>
      <c r="K1376" s="4">
        <f t="shared" si="1"/>
        <v>1712.6957</v>
      </c>
      <c r="L1376" s="4">
        <f t="shared" si="2"/>
        <v>3.746147083</v>
      </c>
    </row>
    <row r="1377">
      <c r="A1377" s="3" t="s">
        <v>112</v>
      </c>
      <c r="B1377" s="3">
        <v>2.87</v>
      </c>
      <c r="C1377" s="3">
        <v>3.96</v>
      </c>
      <c r="D1377" s="3">
        <v>80.4</v>
      </c>
      <c r="E1377" s="3">
        <v>5.4</v>
      </c>
      <c r="F1377" s="3">
        <v>12.99</v>
      </c>
      <c r="G1377" s="3">
        <v>36.87</v>
      </c>
      <c r="H1377" s="3">
        <v>0.0</v>
      </c>
      <c r="I1377" s="3">
        <v>0.28</v>
      </c>
      <c r="J1377" s="3">
        <v>0.0</v>
      </c>
      <c r="K1377" s="4">
        <f t="shared" si="1"/>
        <v>1528.137</v>
      </c>
      <c r="L1377" s="4">
        <f t="shared" si="2"/>
        <v>4.230091935</v>
      </c>
    </row>
    <row r="1378">
      <c r="A1378" s="3" t="s">
        <v>112</v>
      </c>
      <c r="B1378" s="3">
        <v>2.87</v>
      </c>
      <c r="C1378" s="3">
        <v>4.38</v>
      </c>
      <c r="D1378" s="3">
        <v>80.1</v>
      </c>
      <c r="E1378" s="3">
        <v>7.58</v>
      </c>
      <c r="F1378" s="3">
        <v>12.99</v>
      </c>
      <c r="G1378" s="3">
        <v>34.8</v>
      </c>
      <c r="H1378" s="3">
        <v>0.0</v>
      </c>
      <c r="I1378" s="3">
        <v>0.13</v>
      </c>
      <c r="J1378" s="3">
        <v>0.0</v>
      </c>
      <c r="K1378" s="4">
        <f t="shared" si="1"/>
        <v>1379.7801</v>
      </c>
      <c r="L1378" s="4">
        <f t="shared" si="2"/>
        <v>4.65002358</v>
      </c>
    </row>
    <row r="1379">
      <c r="A1379" s="3" t="s">
        <v>112</v>
      </c>
      <c r="B1379" s="3">
        <v>2.87</v>
      </c>
      <c r="C1379" s="3">
        <v>4.8</v>
      </c>
      <c r="D1379" s="3">
        <v>80.4</v>
      </c>
      <c r="E1379" s="3">
        <v>8.9</v>
      </c>
      <c r="F1379" s="3">
        <v>13.09</v>
      </c>
      <c r="G1379" s="3">
        <v>33.03</v>
      </c>
      <c r="H1379" s="3">
        <v>0.0</v>
      </c>
      <c r="I1379" s="3">
        <v>0.05</v>
      </c>
      <c r="J1379" s="3">
        <v>0.0</v>
      </c>
      <c r="K1379" s="4">
        <f t="shared" si="1"/>
        <v>1262.329</v>
      </c>
      <c r="L1379" s="4">
        <f t="shared" si="2"/>
        <v>5.120820325</v>
      </c>
    </row>
    <row r="1380">
      <c r="A1380" s="3" t="s">
        <v>112</v>
      </c>
      <c r="B1380" s="3">
        <v>2.87</v>
      </c>
      <c r="C1380" s="3">
        <v>5.22</v>
      </c>
      <c r="D1380" s="3">
        <v>80.6</v>
      </c>
      <c r="E1380" s="3">
        <v>9.37</v>
      </c>
      <c r="F1380" s="3">
        <v>13.09</v>
      </c>
      <c r="G1380" s="3">
        <v>31.53</v>
      </c>
      <c r="H1380" s="3">
        <v>0.0</v>
      </c>
      <c r="I1380" s="3">
        <v>0.02</v>
      </c>
      <c r="J1380" s="3">
        <v>0.0</v>
      </c>
      <c r="K1380" s="4">
        <f t="shared" si="1"/>
        <v>1165.489</v>
      </c>
      <c r="L1380" s="4">
        <f t="shared" si="2"/>
        <v>5.573935061</v>
      </c>
    </row>
    <row r="1381">
      <c r="A1381" s="3" t="s">
        <v>112</v>
      </c>
      <c r="B1381" s="3">
        <v>2.87</v>
      </c>
      <c r="C1381" s="3">
        <v>5.63</v>
      </c>
      <c r="D1381" s="3">
        <v>80.6</v>
      </c>
      <c r="E1381" s="3">
        <v>9.37</v>
      </c>
      <c r="F1381" s="3">
        <v>13.92</v>
      </c>
      <c r="G1381" s="3">
        <v>30.23</v>
      </c>
      <c r="H1381" s="3">
        <v>0.0</v>
      </c>
      <c r="I1381" s="3">
        <v>0.0</v>
      </c>
      <c r="J1381" s="3">
        <v>0.0</v>
      </c>
      <c r="K1381" s="4">
        <f t="shared" si="1"/>
        <v>1107.6193</v>
      </c>
      <c r="L1381" s="4">
        <f t="shared" si="2"/>
        <v>5.865156015</v>
      </c>
    </row>
    <row r="1382">
      <c r="A1382" s="3" t="s">
        <v>113</v>
      </c>
      <c r="B1382" s="3">
        <v>18.0</v>
      </c>
      <c r="C1382" s="3">
        <v>0.87</v>
      </c>
      <c r="D1382" s="3">
        <v>47.8</v>
      </c>
      <c r="E1382" s="3">
        <v>8.2</v>
      </c>
      <c r="F1382" s="3">
        <v>3.06</v>
      </c>
      <c r="G1382" s="3">
        <v>22.47</v>
      </c>
      <c r="H1382" s="3">
        <v>153.43</v>
      </c>
      <c r="I1382" s="3">
        <v>149.17</v>
      </c>
      <c r="J1382" s="3">
        <v>3961.96</v>
      </c>
      <c r="K1382" s="4">
        <f t="shared" si="1"/>
        <v>514.2645</v>
      </c>
      <c r="L1382" s="4">
        <f t="shared" si="2"/>
        <v>4.442927715</v>
      </c>
    </row>
    <row r="1383">
      <c r="A1383" s="3" t="s">
        <v>113</v>
      </c>
      <c r="B1383" s="3">
        <v>18.0</v>
      </c>
      <c r="C1383" s="3">
        <v>1.74</v>
      </c>
      <c r="D1383" s="3">
        <v>98.9</v>
      </c>
      <c r="E1383" s="3">
        <v>8.2</v>
      </c>
      <c r="F1383" s="3">
        <v>12.07</v>
      </c>
      <c r="G1383" s="3">
        <v>39.91</v>
      </c>
      <c r="H1383" s="3">
        <v>217.64</v>
      </c>
      <c r="I1383" s="3">
        <v>130.84</v>
      </c>
      <c r="J1383" s="3">
        <v>2479.37</v>
      </c>
      <c r="K1383" s="4">
        <f t="shared" si="1"/>
        <v>1738.493</v>
      </c>
      <c r="L1383" s="4">
        <f t="shared" si="2"/>
        <v>5.626257914</v>
      </c>
    </row>
    <row r="1384">
      <c r="A1384" s="3" t="s">
        <v>113</v>
      </c>
      <c r="B1384" s="3">
        <v>18.0</v>
      </c>
      <c r="C1384" s="3">
        <v>2.61</v>
      </c>
      <c r="D1384" s="3">
        <v>146.0</v>
      </c>
      <c r="E1384" s="3">
        <v>7.7</v>
      </c>
      <c r="F1384" s="3">
        <v>14.22</v>
      </c>
      <c r="G1384" s="3">
        <v>54.38</v>
      </c>
      <c r="H1384" s="3">
        <v>259.32</v>
      </c>
      <c r="I1384" s="3">
        <v>114.76</v>
      </c>
      <c r="J1384" s="3">
        <v>1223.98</v>
      </c>
      <c r="K1384" s="4">
        <f t="shared" si="1"/>
        <v>3159.3928</v>
      </c>
      <c r="L1384" s="4">
        <f t="shared" si="2"/>
        <v>6.746866043</v>
      </c>
    </row>
    <row r="1385">
      <c r="A1385" s="3" t="s">
        <v>113</v>
      </c>
      <c r="B1385" s="3">
        <v>18.0</v>
      </c>
      <c r="C1385" s="3">
        <v>3.5</v>
      </c>
      <c r="D1385" s="3">
        <v>164.0</v>
      </c>
      <c r="E1385" s="3">
        <v>6.4</v>
      </c>
      <c r="F1385" s="3">
        <v>13.58</v>
      </c>
      <c r="G1385" s="3">
        <v>67.47</v>
      </c>
      <c r="H1385" s="3">
        <v>273.94</v>
      </c>
      <c r="I1385" s="3">
        <v>99.78</v>
      </c>
      <c r="J1385" s="3">
        <v>265.76</v>
      </c>
      <c r="K1385" s="4">
        <f t="shared" si="1"/>
        <v>4736.6173</v>
      </c>
      <c r="L1385" s="4">
        <f t="shared" si="2"/>
        <v>5.678313931</v>
      </c>
    </row>
    <row r="1386">
      <c r="A1386" s="3" t="s">
        <v>113</v>
      </c>
      <c r="B1386" s="3">
        <v>18.0</v>
      </c>
      <c r="C1386" s="3">
        <v>4.37</v>
      </c>
      <c r="D1386" s="3">
        <v>174.0</v>
      </c>
      <c r="E1386" s="3">
        <v>5.95</v>
      </c>
      <c r="F1386" s="3">
        <v>15.41</v>
      </c>
      <c r="G1386" s="3">
        <v>76.15</v>
      </c>
      <c r="H1386" s="3">
        <v>256.31</v>
      </c>
      <c r="I1386" s="3">
        <v>85.76</v>
      </c>
      <c r="J1386" s="3">
        <v>44.82</v>
      </c>
      <c r="K1386" s="4">
        <f t="shared" si="1"/>
        <v>6036.2906</v>
      </c>
      <c r="L1386" s="4">
        <f t="shared" si="2"/>
        <v>5.015663096</v>
      </c>
    </row>
    <row r="1387">
      <c r="A1387" s="3" t="s">
        <v>113</v>
      </c>
      <c r="B1387" s="3">
        <v>18.0</v>
      </c>
      <c r="C1387" s="3">
        <v>5.24</v>
      </c>
      <c r="D1387" s="3">
        <v>175.0</v>
      </c>
      <c r="E1387" s="3">
        <v>6.0</v>
      </c>
      <c r="F1387" s="3">
        <v>20.15</v>
      </c>
      <c r="G1387" s="3">
        <v>86.2</v>
      </c>
      <c r="H1387" s="3">
        <v>236.55</v>
      </c>
      <c r="I1387" s="3">
        <v>77.15</v>
      </c>
      <c r="J1387" s="3">
        <v>7.58</v>
      </c>
      <c r="K1387" s="4">
        <f t="shared" si="1"/>
        <v>7836.4625</v>
      </c>
      <c r="L1387" s="4">
        <f t="shared" si="2"/>
        <v>3.908013341</v>
      </c>
    </row>
    <row r="1388">
      <c r="A1388" s="3" t="s">
        <v>113</v>
      </c>
      <c r="B1388" s="3">
        <v>18.0</v>
      </c>
      <c r="C1388" s="3">
        <v>6.11</v>
      </c>
      <c r="D1388" s="3">
        <v>184.0</v>
      </c>
      <c r="E1388" s="3">
        <v>6.4</v>
      </c>
      <c r="F1388" s="3">
        <v>23.71</v>
      </c>
      <c r="G1388" s="3">
        <v>98.08</v>
      </c>
      <c r="H1388" s="3">
        <v>219.32</v>
      </c>
      <c r="I1388" s="3">
        <v>66.37</v>
      </c>
      <c r="J1388" s="3">
        <v>1.29</v>
      </c>
      <c r="K1388" s="4">
        <f t="shared" si="1"/>
        <v>10181.8505</v>
      </c>
      <c r="L1388" s="4">
        <f t="shared" si="2"/>
        <v>3.325132303</v>
      </c>
    </row>
    <row r="1389">
      <c r="A1389" s="3" t="s">
        <v>113</v>
      </c>
      <c r="B1389" s="3">
        <v>18.0</v>
      </c>
      <c r="C1389" s="3">
        <v>6.98</v>
      </c>
      <c r="D1389" s="3">
        <v>185.0</v>
      </c>
      <c r="E1389" s="3">
        <v>6.4</v>
      </c>
      <c r="F1389" s="3">
        <v>21.44</v>
      </c>
      <c r="G1389" s="3">
        <v>106.18</v>
      </c>
      <c r="H1389" s="3">
        <v>205.28</v>
      </c>
      <c r="I1389" s="3">
        <v>49.85</v>
      </c>
      <c r="J1389" s="3">
        <v>0.22</v>
      </c>
      <c r="K1389" s="4">
        <f t="shared" si="1"/>
        <v>11733.866</v>
      </c>
      <c r="L1389" s="4">
        <f t="shared" si="2"/>
        <v>2.916770994</v>
      </c>
    </row>
    <row r="1390">
      <c r="A1390" s="3" t="s">
        <v>113</v>
      </c>
      <c r="B1390" s="3">
        <v>18.0</v>
      </c>
      <c r="C1390" s="3">
        <v>7.85</v>
      </c>
      <c r="D1390" s="3">
        <v>188.0</v>
      </c>
      <c r="E1390" s="3">
        <v>6.65</v>
      </c>
      <c r="F1390" s="3">
        <v>24.46</v>
      </c>
      <c r="G1390" s="3">
        <v>114.52</v>
      </c>
      <c r="H1390" s="3">
        <v>193.65</v>
      </c>
      <c r="I1390" s="3">
        <v>30.1</v>
      </c>
      <c r="J1390" s="3">
        <v>0.04</v>
      </c>
      <c r="K1390" s="4">
        <f t="shared" si="1"/>
        <v>13713.122</v>
      </c>
      <c r="L1390" s="4">
        <f t="shared" si="2"/>
        <v>2.577385369</v>
      </c>
    </row>
    <row r="1391">
      <c r="A1391" s="3" t="s">
        <v>113</v>
      </c>
      <c r="B1391" s="3">
        <v>18.0</v>
      </c>
      <c r="C1391" s="3">
        <v>8.72</v>
      </c>
      <c r="D1391" s="3">
        <v>190.0</v>
      </c>
      <c r="E1391" s="3">
        <v>7.35</v>
      </c>
      <c r="F1391" s="3">
        <v>27.91</v>
      </c>
      <c r="G1391" s="3">
        <v>106.83</v>
      </c>
      <c r="H1391" s="3">
        <v>183.73</v>
      </c>
      <c r="I1391" s="3">
        <v>8.06</v>
      </c>
      <c r="J1391" s="3">
        <v>0.01</v>
      </c>
      <c r="K1391" s="4">
        <f t="shared" si="1"/>
        <v>12191.617</v>
      </c>
      <c r="L1391" s="4">
        <f t="shared" si="2"/>
        <v>2.961051024</v>
      </c>
    </row>
    <row r="1392">
      <c r="A1392" s="3" t="s">
        <v>113</v>
      </c>
      <c r="B1392" s="3">
        <v>18.0</v>
      </c>
      <c r="C1392" s="3">
        <v>9.6</v>
      </c>
      <c r="D1392" s="3">
        <v>191.0</v>
      </c>
      <c r="E1392" s="3">
        <v>6.4</v>
      </c>
      <c r="F1392" s="3">
        <v>30.71</v>
      </c>
      <c r="G1392" s="3">
        <v>97.81</v>
      </c>
      <c r="H1392" s="3">
        <v>175.09</v>
      </c>
      <c r="I1392" s="3">
        <v>4.44</v>
      </c>
      <c r="J1392" s="3">
        <v>0.0</v>
      </c>
      <c r="K1392" s="4">
        <f t="shared" si="1"/>
        <v>10509.9002</v>
      </c>
      <c r="L1392" s="4">
        <f t="shared" si="2"/>
        <v>3.471108127</v>
      </c>
    </row>
    <row r="1393">
      <c r="A1393" s="3" t="s">
        <v>113</v>
      </c>
      <c r="B1393" s="3">
        <v>18.0</v>
      </c>
      <c r="C1393" s="3">
        <v>10.47</v>
      </c>
      <c r="D1393" s="3">
        <v>191.0</v>
      </c>
      <c r="E1393" s="3">
        <v>5.55</v>
      </c>
      <c r="F1393" s="3">
        <v>32.87</v>
      </c>
      <c r="G1393" s="3">
        <v>91.79</v>
      </c>
      <c r="H1393" s="3">
        <v>167.63</v>
      </c>
      <c r="I1393" s="3">
        <v>3.82</v>
      </c>
      <c r="J1393" s="3">
        <v>0.0</v>
      </c>
      <c r="K1393" s="4">
        <f t="shared" si="1"/>
        <v>9505.841</v>
      </c>
      <c r="L1393" s="4">
        <f t="shared" si="2"/>
        <v>3.837745656</v>
      </c>
    </row>
    <row r="1394">
      <c r="A1394" s="3" t="s">
        <v>113</v>
      </c>
      <c r="B1394" s="3">
        <v>18.0</v>
      </c>
      <c r="C1394" s="3">
        <v>11.35</v>
      </c>
      <c r="D1394" s="3">
        <v>189.0</v>
      </c>
      <c r="E1394" s="3">
        <v>5.95</v>
      </c>
      <c r="F1394" s="3">
        <v>33.95</v>
      </c>
      <c r="G1394" s="3">
        <v>87.56</v>
      </c>
      <c r="H1394" s="3">
        <v>161.03</v>
      </c>
      <c r="I1394" s="3">
        <v>3.27</v>
      </c>
      <c r="J1394" s="3">
        <v>0.0</v>
      </c>
      <c r="K1394" s="4">
        <f t="shared" si="1"/>
        <v>8819.3561</v>
      </c>
      <c r="L1394" s="4">
        <f t="shared" si="2"/>
        <v>4.05029569</v>
      </c>
    </row>
    <row r="1395">
      <c r="A1395" s="3" t="s">
        <v>113</v>
      </c>
      <c r="B1395" s="3">
        <v>18.0</v>
      </c>
      <c r="C1395" s="3">
        <v>12.19</v>
      </c>
      <c r="D1395" s="3">
        <v>186.0</v>
      </c>
      <c r="E1395" s="3">
        <v>6.85</v>
      </c>
      <c r="F1395" s="3">
        <v>32.87</v>
      </c>
      <c r="G1395" s="3">
        <v>84.33</v>
      </c>
      <c r="H1395" s="3">
        <v>155.43</v>
      </c>
      <c r="I1395" s="3">
        <v>2.45</v>
      </c>
      <c r="J1395" s="3">
        <v>0.0</v>
      </c>
      <c r="K1395" s="4">
        <f t="shared" si="1"/>
        <v>8191.9858</v>
      </c>
      <c r="L1395" s="4">
        <f t="shared" si="2"/>
        <v>4.223151852</v>
      </c>
    </row>
    <row r="1396">
      <c r="A1396" s="3" t="s">
        <v>113</v>
      </c>
      <c r="B1396" s="3">
        <v>18.0</v>
      </c>
      <c r="C1396" s="3">
        <v>13.12</v>
      </c>
      <c r="D1396" s="3">
        <v>183.0</v>
      </c>
      <c r="E1396" s="3">
        <v>6.4</v>
      </c>
      <c r="F1396" s="3">
        <v>32.44</v>
      </c>
      <c r="G1396" s="3">
        <v>81.01</v>
      </c>
      <c r="H1396" s="3">
        <v>149.82</v>
      </c>
      <c r="I1396" s="3">
        <v>1.62</v>
      </c>
      <c r="J1396" s="3">
        <v>0.0</v>
      </c>
      <c r="K1396" s="4">
        <f t="shared" si="1"/>
        <v>7614.9737</v>
      </c>
      <c r="L1396" s="4">
        <f t="shared" si="2"/>
        <v>4.397782753</v>
      </c>
    </row>
    <row r="1397">
      <c r="A1397" s="3" t="s">
        <v>113</v>
      </c>
      <c r="B1397" s="3">
        <v>18.0</v>
      </c>
      <c r="C1397" s="3">
        <v>13.94</v>
      </c>
      <c r="D1397" s="3">
        <v>179.0</v>
      </c>
      <c r="E1397" s="3">
        <v>6.85</v>
      </c>
      <c r="F1397" s="3">
        <v>31.36</v>
      </c>
      <c r="G1397" s="3">
        <v>78.12</v>
      </c>
      <c r="H1397" s="3">
        <v>145.35</v>
      </c>
      <c r="I1397" s="3">
        <v>1.12</v>
      </c>
      <c r="J1397" s="3">
        <v>0.0</v>
      </c>
      <c r="K1397" s="4">
        <f t="shared" si="1"/>
        <v>7086.184</v>
      </c>
      <c r="L1397" s="4">
        <f t="shared" si="2"/>
        <v>4.521615583</v>
      </c>
    </row>
    <row r="1398">
      <c r="A1398" s="3" t="s">
        <v>113</v>
      </c>
      <c r="B1398" s="3">
        <v>18.0</v>
      </c>
      <c r="C1398" s="3">
        <v>14.86</v>
      </c>
      <c r="D1398" s="3">
        <v>177.0</v>
      </c>
      <c r="E1398" s="3">
        <v>7.25</v>
      </c>
      <c r="F1398" s="3">
        <v>30.5</v>
      </c>
      <c r="G1398" s="3">
        <v>75.23</v>
      </c>
      <c r="H1398" s="3">
        <v>140.78</v>
      </c>
      <c r="I1398" s="3">
        <v>0.75</v>
      </c>
      <c r="J1398" s="3">
        <v>0.0</v>
      </c>
      <c r="K1398" s="4">
        <f t="shared" si="1"/>
        <v>6589.8029</v>
      </c>
      <c r="L1398" s="4">
        <f t="shared" si="2"/>
        <v>4.754163436</v>
      </c>
    </row>
    <row r="1399">
      <c r="A1399" s="3" t="s">
        <v>113</v>
      </c>
      <c r="B1399" s="3">
        <v>18.0</v>
      </c>
      <c r="C1399" s="3">
        <v>15.79</v>
      </c>
      <c r="D1399" s="3">
        <v>177.0</v>
      </c>
      <c r="E1399" s="3">
        <v>8.55</v>
      </c>
      <c r="F1399" s="3">
        <v>31.36</v>
      </c>
      <c r="G1399" s="3">
        <v>72.41</v>
      </c>
      <c r="H1399" s="3">
        <v>136.57</v>
      </c>
      <c r="I1399" s="3">
        <v>0.5</v>
      </c>
      <c r="J1399" s="3">
        <v>0.0</v>
      </c>
      <c r="K1399" s="4">
        <f t="shared" si="1"/>
        <v>6226.6577</v>
      </c>
      <c r="L1399" s="4">
        <f t="shared" si="2"/>
        <v>5.031431228</v>
      </c>
    </row>
    <row r="1400">
      <c r="A1400" s="3" t="s">
        <v>113</v>
      </c>
      <c r="B1400" s="3">
        <v>18.0</v>
      </c>
      <c r="C1400" s="3">
        <v>16.72</v>
      </c>
      <c r="D1400" s="3">
        <v>178.0</v>
      </c>
      <c r="E1400" s="3">
        <v>12.0</v>
      </c>
      <c r="F1400" s="3">
        <v>33.41</v>
      </c>
      <c r="G1400" s="3">
        <v>69.87</v>
      </c>
      <c r="H1400" s="3">
        <v>132.72</v>
      </c>
      <c r="I1400" s="3">
        <v>0.36</v>
      </c>
      <c r="J1400" s="3">
        <v>0.0</v>
      </c>
      <c r="K1400" s="4">
        <f t="shared" si="1"/>
        <v>5998.045</v>
      </c>
      <c r="L1400" s="4">
        <f t="shared" si="2"/>
        <v>5.282387845</v>
      </c>
    </row>
    <row r="1401">
      <c r="A1401" s="3" t="s">
        <v>114</v>
      </c>
      <c r="B1401" s="3">
        <v>18.0</v>
      </c>
      <c r="C1401" s="3">
        <v>0.87</v>
      </c>
      <c r="D1401" s="3">
        <v>27.3</v>
      </c>
      <c r="E1401" s="3">
        <v>5.8</v>
      </c>
      <c r="F1401" s="3">
        <v>3.85</v>
      </c>
      <c r="G1401" s="3">
        <v>86.56</v>
      </c>
      <c r="H1401" s="3">
        <v>0.0</v>
      </c>
      <c r="I1401" s="3">
        <v>794.32</v>
      </c>
      <c r="J1401" s="3">
        <v>0.0</v>
      </c>
      <c r="K1401" s="4">
        <f t="shared" si="1"/>
        <v>7507.4561</v>
      </c>
      <c r="L1401" s="4">
        <f t="shared" si="2"/>
        <v>0.09927330777</v>
      </c>
    </row>
    <row r="1402">
      <c r="A1402" s="3" t="s">
        <v>114</v>
      </c>
      <c r="B1402" s="3">
        <v>18.0</v>
      </c>
      <c r="C1402" s="3">
        <v>1.74</v>
      </c>
      <c r="D1402" s="3">
        <v>52.7</v>
      </c>
      <c r="E1402" s="3">
        <v>6.7</v>
      </c>
      <c r="F1402" s="3">
        <v>8.29</v>
      </c>
      <c r="G1402" s="3">
        <v>117.08</v>
      </c>
      <c r="H1402" s="3">
        <v>0.0</v>
      </c>
      <c r="I1402" s="3">
        <v>389.02</v>
      </c>
      <c r="J1402" s="3">
        <v>0.0</v>
      </c>
      <c r="K1402" s="4">
        <f t="shared" si="1"/>
        <v>13776.4505</v>
      </c>
      <c r="L1402" s="4">
        <f t="shared" si="2"/>
        <v>0.2015969208</v>
      </c>
    </row>
    <row r="1403">
      <c r="A1403" s="3" t="s">
        <v>114</v>
      </c>
      <c r="B1403" s="3">
        <v>18.0</v>
      </c>
      <c r="C1403" s="3">
        <v>2.71</v>
      </c>
      <c r="D1403" s="3">
        <v>69.2</v>
      </c>
      <c r="E1403" s="3">
        <v>6.7</v>
      </c>
      <c r="F1403" s="3">
        <v>12.5</v>
      </c>
      <c r="G1403" s="3">
        <v>131.94</v>
      </c>
      <c r="H1403" s="3">
        <v>0.0</v>
      </c>
      <c r="I1403" s="3">
        <v>274.26</v>
      </c>
      <c r="J1403" s="3">
        <v>0.0</v>
      </c>
      <c r="K1403" s="4">
        <f t="shared" si="1"/>
        <v>17564.4136</v>
      </c>
      <c r="L1403" s="4">
        <f t="shared" si="2"/>
        <v>0.2726330699</v>
      </c>
    </row>
    <row r="1404">
      <c r="A1404" s="3" t="s">
        <v>114</v>
      </c>
      <c r="B1404" s="3">
        <v>18.0</v>
      </c>
      <c r="C1404" s="3">
        <v>3.58</v>
      </c>
      <c r="D1404" s="3">
        <v>83.5</v>
      </c>
      <c r="E1404" s="3">
        <v>6.4</v>
      </c>
      <c r="F1404" s="3">
        <v>15.95</v>
      </c>
      <c r="G1404" s="3">
        <v>142.69</v>
      </c>
      <c r="H1404" s="3">
        <v>0.0</v>
      </c>
      <c r="I1404" s="3">
        <v>183.26</v>
      </c>
      <c r="J1404" s="3">
        <v>0.0</v>
      </c>
      <c r="K1404" s="4">
        <f t="shared" si="1"/>
        <v>20614.8386</v>
      </c>
      <c r="L1404" s="4">
        <f t="shared" si="2"/>
        <v>0.3382151146</v>
      </c>
    </row>
    <row r="1405">
      <c r="A1405" s="3" t="s">
        <v>114</v>
      </c>
      <c r="B1405" s="3">
        <v>18.0</v>
      </c>
      <c r="C1405" s="3">
        <v>4.45</v>
      </c>
      <c r="D1405" s="3">
        <v>95.9</v>
      </c>
      <c r="E1405" s="3">
        <v>6.3</v>
      </c>
      <c r="F1405" s="3">
        <v>20.91</v>
      </c>
      <c r="G1405" s="3">
        <v>152.97</v>
      </c>
      <c r="H1405" s="3">
        <v>0.0</v>
      </c>
      <c r="I1405" s="3">
        <v>86.39</v>
      </c>
      <c r="J1405" s="3">
        <v>0.0</v>
      </c>
      <c r="K1405" s="4">
        <f t="shared" si="1"/>
        <v>23837.049</v>
      </c>
      <c r="L1405" s="4">
        <f t="shared" si="2"/>
        <v>0.3858199897</v>
      </c>
    </row>
    <row r="1406">
      <c r="A1406" s="3" t="s">
        <v>114</v>
      </c>
      <c r="B1406" s="3">
        <v>18.0</v>
      </c>
      <c r="C1406" s="3">
        <v>5.32</v>
      </c>
      <c r="D1406" s="3">
        <v>110.0</v>
      </c>
      <c r="E1406" s="3">
        <v>7.6</v>
      </c>
      <c r="F1406" s="3">
        <v>21.98</v>
      </c>
      <c r="G1406" s="3">
        <v>140.24</v>
      </c>
      <c r="H1406" s="3">
        <v>0.0</v>
      </c>
      <c r="I1406" s="3">
        <v>23.61</v>
      </c>
      <c r="J1406" s="3">
        <v>0.0</v>
      </c>
      <c r="K1406" s="4">
        <f t="shared" si="1"/>
        <v>20150.378</v>
      </c>
      <c r="L1406" s="4">
        <f t="shared" si="2"/>
        <v>0.6004850132</v>
      </c>
    </row>
    <row r="1407">
      <c r="A1407" s="3" t="s">
        <v>115</v>
      </c>
      <c r="B1407" s="3">
        <v>9.0</v>
      </c>
      <c r="C1407" s="3">
        <v>0.67</v>
      </c>
      <c r="D1407" s="3">
        <v>43.8</v>
      </c>
      <c r="E1407" s="3">
        <v>10.9</v>
      </c>
      <c r="F1407" s="3">
        <v>-1.86</v>
      </c>
      <c r="G1407" s="3">
        <v>59.04</v>
      </c>
      <c r="H1407" s="3">
        <v>0.0</v>
      </c>
      <c r="I1407" s="3">
        <v>523.98</v>
      </c>
      <c r="J1407" s="3">
        <v>0.0</v>
      </c>
      <c r="K1407" s="4">
        <f t="shared" si="1"/>
        <v>3489.1812</v>
      </c>
      <c r="L1407" s="4">
        <f t="shared" si="2"/>
        <v>0.5498252713</v>
      </c>
    </row>
    <row r="1408">
      <c r="A1408" s="3" t="s">
        <v>115</v>
      </c>
      <c r="B1408" s="3">
        <v>9.0</v>
      </c>
      <c r="C1408" s="3">
        <v>1.32</v>
      </c>
      <c r="D1408" s="3">
        <v>64.2</v>
      </c>
      <c r="E1408" s="3">
        <v>7.71</v>
      </c>
      <c r="F1408" s="3">
        <v>-3.8</v>
      </c>
      <c r="G1408" s="3">
        <v>76.34</v>
      </c>
      <c r="H1408" s="3">
        <v>0.0</v>
      </c>
      <c r="I1408" s="3">
        <v>311.22</v>
      </c>
      <c r="J1408" s="3">
        <v>0.0</v>
      </c>
      <c r="K1408" s="4">
        <f t="shared" si="1"/>
        <v>5842.2356</v>
      </c>
      <c r="L1408" s="4">
        <f t="shared" si="2"/>
        <v>0.7054902065</v>
      </c>
    </row>
    <row r="1409">
      <c r="A1409" s="3" t="s">
        <v>115</v>
      </c>
      <c r="B1409" s="3">
        <v>9.0</v>
      </c>
      <c r="C1409" s="3">
        <v>1.97</v>
      </c>
      <c r="D1409" s="3">
        <v>73.3</v>
      </c>
      <c r="E1409" s="3">
        <v>8.62</v>
      </c>
      <c r="F1409" s="3">
        <v>-4.48</v>
      </c>
      <c r="G1409" s="3">
        <v>88.63</v>
      </c>
      <c r="H1409" s="3">
        <v>0.0</v>
      </c>
      <c r="I1409" s="3">
        <v>232.08</v>
      </c>
      <c r="J1409" s="3">
        <v>0.0</v>
      </c>
      <c r="K1409" s="4">
        <f t="shared" si="1"/>
        <v>7875.3473</v>
      </c>
      <c r="L1409" s="4">
        <f t="shared" si="2"/>
        <v>0.6822416581</v>
      </c>
    </row>
    <row r="1410">
      <c r="A1410" s="3" t="s">
        <v>115</v>
      </c>
      <c r="B1410" s="3">
        <v>9.0</v>
      </c>
      <c r="C1410" s="3">
        <v>2.62</v>
      </c>
      <c r="D1410" s="3">
        <v>84.2</v>
      </c>
      <c r="E1410" s="3">
        <v>8.4</v>
      </c>
      <c r="F1410" s="3">
        <v>7.23</v>
      </c>
      <c r="G1410" s="3">
        <v>96.45</v>
      </c>
      <c r="H1410" s="3">
        <v>0.0</v>
      </c>
      <c r="I1410" s="3">
        <v>182.74</v>
      </c>
      <c r="J1410" s="3">
        <v>0.0</v>
      </c>
      <c r="K1410" s="4">
        <f t="shared" si="1"/>
        <v>9354.8754</v>
      </c>
      <c r="L1410" s="4">
        <f t="shared" si="2"/>
        <v>0.7578550966</v>
      </c>
    </row>
    <row r="1411">
      <c r="A1411" s="3" t="s">
        <v>115</v>
      </c>
      <c r="B1411" s="3">
        <v>9.0</v>
      </c>
      <c r="C1411" s="3">
        <v>3.28</v>
      </c>
      <c r="D1411" s="3">
        <v>96.2</v>
      </c>
      <c r="E1411" s="3">
        <v>5.67</v>
      </c>
      <c r="F1411" s="3">
        <v>12.91</v>
      </c>
      <c r="G1411" s="3">
        <v>105.73</v>
      </c>
      <c r="H1411" s="3">
        <v>0.0</v>
      </c>
      <c r="I1411" s="3">
        <v>154.57</v>
      </c>
      <c r="J1411" s="3">
        <v>0.0</v>
      </c>
      <c r="K1411" s="4">
        <f t="shared" si="1"/>
        <v>11345.501</v>
      </c>
      <c r="L1411" s="4">
        <f t="shared" si="2"/>
        <v>0.8156924934</v>
      </c>
    </row>
    <row r="1412">
      <c r="A1412" s="3" t="s">
        <v>115</v>
      </c>
      <c r="B1412" s="3">
        <v>9.0</v>
      </c>
      <c r="C1412" s="3">
        <v>3.93</v>
      </c>
      <c r="D1412" s="3">
        <v>102.0</v>
      </c>
      <c r="E1412" s="3">
        <v>4.79</v>
      </c>
      <c r="F1412" s="3">
        <v>15.03</v>
      </c>
      <c r="G1412" s="3">
        <v>114.11</v>
      </c>
      <c r="H1412" s="3">
        <v>0.0</v>
      </c>
      <c r="I1412" s="3">
        <v>115.04</v>
      </c>
      <c r="J1412" s="3">
        <v>0.0</v>
      </c>
      <c r="K1412" s="4">
        <f t="shared" si="1"/>
        <v>13246.993</v>
      </c>
      <c r="L1412" s="4">
        <f t="shared" si="2"/>
        <v>0.7853857853</v>
      </c>
    </row>
    <row r="1413">
      <c r="A1413" s="3" t="s">
        <v>115</v>
      </c>
      <c r="B1413" s="3">
        <v>9.0</v>
      </c>
      <c r="C1413" s="3">
        <v>4.58</v>
      </c>
      <c r="D1413" s="3">
        <v>104.0</v>
      </c>
      <c r="E1413" s="3">
        <v>5.67</v>
      </c>
      <c r="F1413" s="3">
        <v>16.47</v>
      </c>
      <c r="G1413" s="3">
        <v>116.44</v>
      </c>
      <c r="H1413" s="3">
        <v>0.0</v>
      </c>
      <c r="I1413" s="3">
        <v>74.83</v>
      </c>
      <c r="J1413" s="3">
        <v>0.0</v>
      </c>
      <c r="K1413" s="4">
        <f t="shared" si="1"/>
        <v>13829.5345</v>
      </c>
      <c r="L1413" s="4">
        <f t="shared" si="2"/>
        <v>0.7820942925</v>
      </c>
    </row>
    <row r="1414">
      <c r="A1414" s="3" t="s">
        <v>115</v>
      </c>
      <c r="B1414" s="3">
        <v>9.0</v>
      </c>
      <c r="C1414" s="3">
        <v>5.22</v>
      </c>
      <c r="D1414" s="3">
        <v>106.0</v>
      </c>
      <c r="E1414" s="3">
        <v>5.37</v>
      </c>
      <c r="F1414" s="3">
        <v>19.07</v>
      </c>
      <c r="G1414" s="3">
        <v>115.33</v>
      </c>
      <c r="H1414" s="3">
        <v>0.0</v>
      </c>
      <c r="I1414" s="3">
        <v>58.17</v>
      </c>
      <c r="J1414" s="3">
        <v>0.0</v>
      </c>
      <c r="K1414" s="4">
        <f t="shared" si="1"/>
        <v>13664.6738</v>
      </c>
      <c r="L1414" s="4">
        <f t="shared" si="2"/>
        <v>0.8222662439</v>
      </c>
    </row>
    <row r="1415">
      <c r="A1415" s="3" t="s">
        <v>115</v>
      </c>
      <c r="B1415" s="3">
        <v>9.0</v>
      </c>
      <c r="C1415" s="3">
        <v>5.9</v>
      </c>
      <c r="D1415" s="3">
        <v>106.0</v>
      </c>
      <c r="E1415" s="3">
        <v>5.24</v>
      </c>
      <c r="F1415" s="3">
        <v>21.96</v>
      </c>
      <c r="G1415" s="3">
        <v>114.16</v>
      </c>
      <c r="H1415" s="3">
        <v>0.0</v>
      </c>
      <c r="I1415" s="3">
        <v>42.87</v>
      </c>
      <c r="J1415" s="3">
        <v>0.0</v>
      </c>
      <c r="K1415" s="4">
        <f t="shared" si="1"/>
        <v>13514.7472</v>
      </c>
      <c r="L1415" s="4">
        <f t="shared" si="2"/>
        <v>0.8313881003</v>
      </c>
    </row>
    <row r="1416">
      <c r="A1416" s="3" t="s">
        <v>115</v>
      </c>
      <c r="B1416" s="3">
        <v>9.0</v>
      </c>
      <c r="C1416" s="3">
        <v>6.54</v>
      </c>
      <c r="D1416" s="3">
        <v>108.0</v>
      </c>
      <c r="E1416" s="3">
        <v>5.22</v>
      </c>
      <c r="F1416" s="3">
        <v>24.08</v>
      </c>
      <c r="G1416" s="3">
        <v>111.48</v>
      </c>
      <c r="H1416" s="3">
        <v>0.0</v>
      </c>
      <c r="I1416" s="3">
        <v>31.37</v>
      </c>
      <c r="J1416" s="3">
        <v>0.0</v>
      </c>
      <c r="K1416" s="4">
        <f t="shared" si="1"/>
        <v>13007.6368</v>
      </c>
      <c r="L1416" s="4">
        <f t="shared" si="2"/>
        <v>0.8967040039</v>
      </c>
    </row>
    <row r="1417">
      <c r="A1417" s="3" t="s">
        <v>115</v>
      </c>
      <c r="B1417" s="3">
        <v>9.0</v>
      </c>
      <c r="C1417" s="3">
        <v>7.19</v>
      </c>
      <c r="D1417" s="3">
        <v>111.0</v>
      </c>
      <c r="E1417" s="3">
        <v>4.68</v>
      </c>
      <c r="F1417" s="3">
        <v>26.59</v>
      </c>
      <c r="G1417" s="3">
        <v>108.69</v>
      </c>
      <c r="H1417" s="3">
        <v>0.0</v>
      </c>
      <c r="I1417" s="3">
        <v>28.23</v>
      </c>
      <c r="J1417" s="3">
        <v>0.0</v>
      </c>
      <c r="K1417" s="4">
        <f t="shared" si="1"/>
        <v>12520.5442</v>
      </c>
      <c r="L1417" s="4">
        <f t="shared" si="2"/>
        <v>0.9840626576</v>
      </c>
    </row>
    <row r="1418">
      <c r="A1418" s="3" t="s">
        <v>115</v>
      </c>
      <c r="B1418" s="3">
        <v>9.0</v>
      </c>
      <c r="C1418" s="3">
        <v>7.87</v>
      </c>
      <c r="D1418" s="3">
        <v>114.0</v>
      </c>
      <c r="E1418" s="3">
        <v>4.61</v>
      </c>
      <c r="F1418" s="3">
        <v>28.42</v>
      </c>
      <c r="G1418" s="3">
        <v>108.61</v>
      </c>
      <c r="H1418" s="3">
        <v>0.0</v>
      </c>
      <c r="I1418" s="3">
        <v>23.82</v>
      </c>
      <c r="J1418" s="3">
        <v>0.0</v>
      </c>
      <c r="K1418" s="4">
        <f t="shared" si="1"/>
        <v>12603.8285</v>
      </c>
      <c r="L1418" s="4">
        <f t="shared" si="2"/>
        <v>1.031115268</v>
      </c>
    </row>
    <row r="1419">
      <c r="A1419" s="3" t="s">
        <v>115</v>
      </c>
      <c r="B1419" s="3">
        <v>9.0</v>
      </c>
      <c r="C1419" s="3">
        <v>8.51</v>
      </c>
      <c r="D1419" s="3">
        <v>116.0</v>
      </c>
      <c r="E1419" s="3">
        <v>4.47</v>
      </c>
      <c r="F1419" s="3">
        <v>29.67</v>
      </c>
      <c r="G1419" s="3">
        <v>108.62</v>
      </c>
      <c r="H1419" s="3">
        <v>0.0</v>
      </c>
      <c r="I1419" s="3">
        <v>17.55</v>
      </c>
      <c r="J1419" s="3">
        <v>0.0</v>
      </c>
      <c r="K1419" s="4">
        <f t="shared" si="1"/>
        <v>12678.6133</v>
      </c>
      <c r="L1419" s="4">
        <f t="shared" si="2"/>
        <v>1.061314805</v>
      </c>
    </row>
    <row r="1420">
      <c r="A1420" s="3" t="s">
        <v>115</v>
      </c>
      <c r="B1420" s="3">
        <v>9.0</v>
      </c>
      <c r="C1420" s="3">
        <v>9.16</v>
      </c>
      <c r="D1420" s="3">
        <v>117.0</v>
      </c>
      <c r="E1420" s="3">
        <v>5.22</v>
      </c>
      <c r="F1420" s="3">
        <v>30.73</v>
      </c>
      <c r="G1420" s="3">
        <v>106.75</v>
      </c>
      <c r="H1420" s="3">
        <v>0.0</v>
      </c>
      <c r="I1420" s="3">
        <v>10.87</v>
      </c>
      <c r="J1420" s="3">
        <v>0.0</v>
      </c>
      <c r="K1420" s="4">
        <f t="shared" si="1"/>
        <v>12339.8954</v>
      </c>
      <c r="L1420" s="4">
        <f t="shared" si="2"/>
        <v>1.10932869</v>
      </c>
    </row>
    <row r="1421">
      <c r="A1421" s="3" t="s">
        <v>115</v>
      </c>
      <c r="B1421" s="3">
        <v>9.0</v>
      </c>
      <c r="C1421" s="3">
        <v>9.84</v>
      </c>
      <c r="D1421" s="3">
        <v>118.0</v>
      </c>
      <c r="E1421" s="3">
        <v>5.22</v>
      </c>
      <c r="F1421" s="3">
        <v>33.62</v>
      </c>
      <c r="G1421" s="3">
        <v>102.47</v>
      </c>
      <c r="H1421" s="3">
        <v>0.0</v>
      </c>
      <c r="I1421" s="3">
        <v>5.62</v>
      </c>
      <c r="J1421" s="3">
        <v>0.0</v>
      </c>
      <c r="K1421" s="4">
        <f t="shared" si="1"/>
        <v>11630.4053</v>
      </c>
      <c r="L1421" s="4">
        <f t="shared" si="2"/>
        <v>1.197206773</v>
      </c>
    </row>
    <row r="1422">
      <c r="A1422" s="3" t="s">
        <v>115</v>
      </c>
      <c r="B1422" s="3">
        <v>9.0</v>
      </c>
      <c r="C1422" s="3">
        <v>10.48</v>
      </c>
      <c r="D1422" s="3">
        <v>120.0</v>
      </c>
      <c r="E1422" s="3">
        <v>4.5</v>
      </c>
      <c r="F1422" s="3">
        <v>36.6</v>
      </c>
      <c r="G1422" s="3">
        <v>98.04</v>
      </c>
      <c r="H1422" s="3">
        <v>0.0</v>
      </c>
      <c r="I1422" s="3">
        <v>4.16</v>
      </c>
      <c r="J1422" s="3">
        <v>0.0</v>
      </c>
      <c r="K1422" s="4">
        <f t="shared" si="1"/>
        <v>10951.4016</v>
      </c>
      <c r="L1422" s="4">
        <f t="shared" si="2"/>
        <v>1.314900186</v>
      </c>
    </row>
    <row r="1423">
      <c r="A1423" s="3" t="s">
        <v>115</v>
      </c>
      <c r="B1423" s="3">
        <v>9.0</v>
      </c>
      <c r="C1423" s="3">
        <v>11.13</v>
      </c>
      <c r="D1423" s="3">
        <v>121.0</v>
      </c>
      <c r="E1423" s="3">
        <v>3.62</v>
      </c>
      <c r="F1423" s="3">
        <v>38.63</v>
      </c>
      <c r="G1423" s="3">
        <v>94.48</v>
      </c>
      <c r="H1423" s="3">
        <v>0.0</v>
      </c>
      <c r="I1423" s="3">
        <v>2.94</v>
      </c>
      <c r="J1423" s="3">
        <v>0.0</v>
      </c>
      <c r="K1423" s="4">
        <f t="shared" si="1"/>
        <v>10418.7473</v>
      </c>
      <c r="L1423" s="4">
        <f t="shared" si="2"/>
        <v>1.405255313</v>
      </c>
    </row>
    <row r="1424">
      <c r="A1424" s="3" t="s">
        <v>115</v>
      </c>
      <c r="B1424" s="3">
        <v>9.0</v>
      </c>
      <c r="C1424" s="3">
        <v>11.78</v>
      </c>
      <c r="D1424" s="3">
        <v>122.0</v>
      </c>
      <c r="E1424" s="3">
        <v>3.17</v>
      </c>
      <c r="F1424" s="3">
        <v>39.4</v>
      </c>
      <c r="G1424" s="3">
        <v>91.23</v>
      </c>
      <c r="H1424" s="3">
        <v>0.0</v>
      </c>
      <c r="I1424" s="3">
        <v>2.24</v>
      </c>
      <c r="J1424" s="3">
        <v>0.0</v>
      </c>
      <c r="K1424" s="4">
        <f t="shared" si="1"/>
        <v>9875.2729</v>
      </c>
      <c r="L1424" s="4">
        <f t="shared" si="2"/>
        <v>1.507198854</v>
      </c>
    </row>
    <row r="1425">
      <c r="A1425" s="3" t="s">
        <v>115</v>
      </c>
      <c r="B1425" s="3">
        <v>9.0</v>
      </c>
      <c r="C1425" s="3">
        <v>12.43</v>
      </c>
      <c r="D1425" s="3">
        <v>122.0</v>
      </c>
      <c r="E1425" s="3">
        <v>2.74</v>
      </c>
      <c r="F1425" s="3">
        <v>39.69</v>
      </c>
      <c r="G1425" s="3">
        <v>88.36</v>
      </c>
      <c r="H1425" s="3">
        <v>0.0</v>
      </c>
      <c r="I1425" s="3">
        <v>1.71</v>
      </c>
      <c r="J1425" s="3">
        <v>0.0</v>
      </c>
      <c r="K1425" s="4">
        <f t="shared" si="1"/>
        <v>9382.7857</v>
      </c>
      <c r="L1425" s="4">
        <f t="shared" si="2"/>
        <v>1.586309277</v>
      </c>
    </row>
    <row r="1426">
      <c r="A1426" s="3" t="s">
        <v>115</v>
      </c>
      <c r="B1426" s="3">
        <v>9.0</v>
      </c>
      <c r="C1426" s="3">
        <v>13.08</v>
      </c>
      <c r="D1426" s="3">
        <v>122.0</v>
      </c>
      <c r="E1426" s="3">
        <v>3.18</v>
      </c>
      <c r="F1426" s="3">
        <v>40.46</v>
      </c>
      <c r="G1426" s="3">
        <v>85.84</v>
      </c>
      <c r="H1426" s="3">
        <v>0.0</v>
      </c>
      <c r="I1426" s="3">
        <v>1.3</v>
      </c>
      <c r="J1426" s="3">
        <v>0.0</v>
      </c>
      <c r="K1426" s="4">
        <f t="shared" si="1"/>
        <v>9005.5172</v>
      </c>
      <c r="L1426" s="4">
        <f t="shared" si="2"/>
        <v>1.652764596</v>
      </c>
    </row>
    <row r="1427">
      <c r="A1427" s="3" t="s">
        <v>115</v>
      </c>
      <c r="B1427" s="3">
        <v>9.0</v>
      </c>
      <c r="C1427" s="3">
        <v>13.73</v>
      </c>
      <c r="D1427" s="3">
        <v>123.0</v>
      </c>
      <c r="E1427" s="3">
        <v>3.56</v>
      </c>
      <c r="F1427" s="3">
        <v>42.0</v>
      </c>
      <c r="G1427" s="3">
        <v>83.43</v>
      </c>
      <c r="H1427" s="3">
        <v>0.0</v>
      </c>
      <c r="I1427" s="3">
        <v>0.82</v>
      </c>
      <c r="J1427" s="3">
        <v>0.0</v>
      </c>
      <c r="K1427" s="4">
        <f t="shared" si="1"/>
        <v>8724.5649</v>
      </c>
      <c r="L1427" s="4">
        <f t="shared" si="2"/>
        <v>1.734069283</v>
      </c>
    </row>
    <row r="1428">
      <c r="A1428" s="3" t="s">
        <v>115</v>
      </c>
      <c r="B1428" s="3">
        <v>9.0</v>
      </c>
      <c r="C1428" s="3">
        <v>14.38</v>
      </c>
      <c r="D1428" s="3">
        <v>124.0</v>
      </c>
      <c r="E1428" s="3">
        <v>4.31</v>
      </c>
      <c r="F1428" s="3">
        <v>43.44</v>
      </c>
      <c r="G1428" s="3">
        <v>80.87</v>
      </c>
      <c r="H1428" s="3">
        <v>0.0</v>
      </c>
      <c r="I1428" s="3">
        <v>0.52</v>
      </c>
      <c r="J1428" s="3">
        <v>0.0</v>
      </c>
      <c r="K1428" s="4">
        <f t="shared" si="1"/>
        <v>8426.9905</v>
      </c>
      <c r="L1428" s="4">
        <f t="shared" si="2"/>
        <v>1.824613425</v>
      </c>
    </row>
    <row r="1429">
      <c r="A1429" s="3" t="s">
        <v>115</v>
      </c>
      <c r="B1429" s="3">
        <v>9.0</v>
      </c>
      <c r="C1429" s="3">
        <v>15.03</v>
      </c>
      <c r="D1429" s="3">
        <v>124.0</v>
      </c>
      <c r="E1429" s="3">
        <v>4.76</v>
      </c>
      <c r="F1429" s="3">
        <v>44.21</v>
      </c>
      <c r="G1429" s="3">
        <v>78.55</v>
      </c>
      <c r="H1429" s="3">
        <v>0.0</v>
      </c>
      <c r="I1429" s="3">
        <v>0.5</v>
      </c>
      <c r="J1429" s="3">
        <v>0.0</v>
      </c>
      <c r="K1429" s="4">
        <f t="shared" si="1"/>
        <v>8124.6266</v>
      </c>
      <c r="L1429" s="4">
        <f t="shared" si="2"/>
        <v>1.892517744</v>
      </c>
    </row>
    <row r="1430">
      <c r="A1430" s="3" t="s">
        <v>115</v>
      </c>
      <c r="B1430" s="3">
        <v>9.0</v>
      </c>
      <c r="C1430" s="3">
        <v>15.68</v>
      </c>
      <c r="D1430" s="3">
        <v>123.0</v>
      </c>
      <c r="E1430" s="3">
        <v>5.23</v>
      </c>
      <c r="F1430" s="3">
        <v>45.27</v>
      </c>
      <c r="G1430" s="3">
        <v>76.81</v>
      </c>
      <c r="H1430" s="3">
        <v>0.0</v>
      </c>
      <c r="I1430" s="3">
        <v>0.52</v>
      </c>
      <c r="J1430" s="3">
        <v>0.0</v>
      </c>
      <c r="K1430" s="4">
        <f t="shared" si="1"/>
        <v>7949.149</v>
      </c>
      <c r="L1430" s="4">
        <f t="shared" si="2"/>
        <v>1.903222597</v>
      </c>
    </row>
    <row r="1431">
      <c r="A1431" s="3" t="s">
        <v>115</v>
      </c>
      <c r="B1431" s="3">
        <v>9.0</v>
      </c>
      <c r="C1431" s="3">
        <v>16.33</v>
      </c>
      <c r="D1431" s="3">
        <v>123.0</v>
      </c>
      <c r="E1431" s="3">
        <v>5.66</v>
      </c>
      <c r="F1431" s="3">
        <v>46.72</v>
      </c>
      <c r="G1431" s="3">
        <v>75.17</v>
      </c>
      <c r="H1431" s="3">
        <v>0.0</v>
      </c>
      <c r="I1431" s="3">
        <v>0.37</v>
      </c>
      <c r="J1431" s="3">
        <v>0.0</v>
      </c>
      <c r="K1431" s="4">
        <f t="shared" si="1"/>
        <v>7833.2873</v>
      </c>
      <c r="L1431" s="4">
        <f t="shared" si="2"/>
        <v>1.931373052</v>
      </c>
    </row>
    <row r="1432">
      <c r="A1432" s="3" t="s">
        <v>115</v>
      </c>
      <c r="B1432" s="3">
        <v>9.0</v>
      </c>
      <c r="C1432" s="3">
        <v>16.98</v>
      </c>
      <c r="D1432" s="3">
        <v>123.0</v>
      </c>
      <c r="E1432" s="3">
        <v>5.62</v>
      </c>
      <c r="F1432" s="3">
        <v>48.07</v>
      </c>
      <c r="G1432" s="3">
        <v>73.49</v>
      </c>
      <c r="H1432" s="3">
        <v>0.0</v>
      </c>
      <c r="I1432" s="3">
        <v>0.21</v>
      </c>
      <c r="J1432" s="3">
        <v>0.0</v>
      </c>
      <c r="K1432" s="4">
        <f t="shared" si="1"/>
        <v>7711.505</v>
      </c>
      <c r="L1432" s="4">
        <f t="shared" si="2"/>
        <v>1.96187385</v>
      </c>
    </row>
    <row r="1433">
      <c r="A1433" s="3" t="s">
        <v>115</v>
      </c>
      <c r="B1433" s="3">
        <v>9.0</v>
      </c>
      <c r="C1433" s="3">
        <v>17.72</v>
      </c>
      <c r="D1433" s="3">
        <v>121.0</v>
      </c>
      <c r="E1433" s="3">
        <v>5.67</v>
      </c>
      <c r="F1433" s="3">
        <v>49.41</v>
      </c>
      <c r="G1433" s="3">
        <v>71.61</v>
      </c>
      <c r="H1433" s="3">
        <v>0.0</v>
      </c>
      <c r="I1433" s="3">
        <v>0.14</v>
      </c>
      <c r="J1433" s="3">
        <v>0.0</v>
      </c>
      <c r="K1433" s="4">
        <f t="shared" si="1"/>
        <v>7569.3402</v>
      </c>
      <c r="L1433" s="4">
        <f t="shared" si="2"/>
        <v>1.934250491</v>
      </c>
    </row>
    <row r="1434">
      <c r="A1434" s="3" t="s">
        <v>115</v>
      </c>
      <c r="B1434" s="3">
        <v>9.0</v>
      </c>
      <c r="C1434" s="3">
        <v>18.28</v>
      </c>
      <c r="D1434" s="3">
        <v>122.0</v>
      </c>
      <c r="E1434" s="3">
        <v>6.32</v>
      </c>
      <c r="F1434" s="3">
        <v>50.57</v>
      </c>
      <c r="G1434" s="3">
        <v>70.3</v>
      </c>
      <c r="H1434" s="3">
        <v>0.0</v>
      </c>
      <c r="I1434" s="3">
        <v>0.12</v>
      </c>
      <c r="J1434" s="3">
        <v>0.0</v>
      </c>
      <c r="K1434" s="4">
        <f t="shared" si="1"/>
        <v>7499.4149</v>
      </c>
      <c r="L1434" s="4">
        <f t="shared" si="2"/>
        <v>1.984688165</v>
      </c>
    </row>
    <row r="1435">
      <c r="A1435" s="3" t="s">
        <v>115</v>
      </c>
      <c r="B1435" s="3">
        <v>9.0</v>
      </c>
      <c r="C1435" s="3">
        <v>19.02</v>
      </c>
      <c r="D1435" s="3">
        <v>122.0</v>
      </c>
      <c r="E1435" s="3">
        <v>6.35</v>
      </c>
      <c r="F1435" s="3">
        <v>51.53</v>
      </c>
      <c r="G1435" s="3">
        <v>68.7</v>
      </c>
      <c r="H1435" s="3">
        <v>0.0</v>
      </c>
      <c r="I1435" s="3">
        <v>0.08</v>
      </c>
      <c r="J1435" s="3">
        <v>0.0</v>
      </c>
      <c r="K1435" s="4">
        <f t="shared" si="1"/>
        <v>7375.0309</v>
      </c>
      <c r="L1435" s="4">
        <f t="shared" si="2"/>
        <v>2.018161036</v>
      </c>
    </row>
    <row r="1436">
      <c r="A1436" s="3" t="s">
        <v>115</v>
      </c>
      <c r="B1436" s="3">
        <v>9.0</v>
      </c>
      <c r="C1436" s="3">
        <v>19.67</v>
      </c>
      <c r="D1436" s="3">
        <v>121.0</v>
      </c>
      <c r="E1436" s="3">
        <v>5.86</v>
      </c>
      <c r="F1436" s="3">
        <v>52.02</v>
      </c>
      <c r="G1436" s="3">
        <v>67.38</v>
      </c>
      <c r="H1436" s="3">
        <v>0.0</v>
      </c>
      <c r="I1436" s="3">
        <v>0.06</v>
      </c>
      <c r="J1436" s="3">
        <v>0.0</v>
      </c>
      <c r="K1436" s="4">
        <f t="shared" si="1"/>
        <v>7246.1448</v>
      </c>
      <c r="L1436" s="4">
        <f t="shared" si="2"/>
        <v>2.020522692</v>
      </c>
    </row>
    <row r="1437">
      <c r="A1437" s="3" t="s">
        <v>115</v>
      </c>
      <c r="B1437" s="3">
        <v>9.0</v>
      </c>
      <c r="C1437" s="3">
        <v>20.32</v>
      </c>
      <c r="D1437" s="3">
        <v>120.0</v>
      </c>
      <c r="E1437" s="3">
        <v>5.94</v>
      </c>
      <c r="F1437" s="3">
        <v>52.11</v>
      </c>
      <c r="G1437" s="3">
        <v>66.16</v>
      </c>
      <c r="H1437" s="3">
        <v>0.0</v>
      </c>
      <c r="I1437" s="3">
        <v>0.04</v>
      </c>
      <c r="J1437" s="3">
        <v>0.0</v>
      </c>
      <c r="K1437" s="4">
        <f t="shared" si="1"/>
        <v>7092.5977</v>
      </c>
      <c r="L1437" s="4">
        <f t="shared" si="2"/>
        <v>2.030285744</v>
      </c>
    </row>
    <row r="1438">
      <c r="A1438" s="3" t="s">
        <v>115</v>
      </c>
      <c r="B1438" s="3">
        <v>9.0</v>
      </c>
      <c r="C1438" s="3">
        <v>20.97</v>
      </c>
      <c r="D1438" s="3">
        <v>119.0</v>
      </c>
      <c r="E1438" s="3">
        <v>6.13</v>
      </c>
      <c r="F1438" s="3">
        <v>51.82</v>
      </c>
      <c r="G1438" s="3">
        <v>65.01</v>
      </c>
      <c r="H1438" s="3">
        <v>0.0</v>
      </c>
      <c r="I1438" s="3">
        <v>0.0</v>
      </c>
      <c r="J1438" s="3">
        <v>0.0</v>
      </c>
      <c r="K1438" s="4">
        <f t="shared" si="1"/>
        <v>6911.6125</v>
      </c>
      <c r="L1438" s="4">
        <f t="shared" si="2"/>
        <v>2.048870651</v>
      </c>
    </row>
    <row r="1439">
      <c r="A1439" s="3" t="s">
        <v>116</v>
      </c>
      <c r="B1439" s="3">
        <v>16.9</v>
      </c>
      <c r="C1439" s="3">
        <v>0.49</v>
      </c>
      <c r="D1439" s="3">
        <v>211.0</v>
      </c>
      <c r="E1439" s="3">
        <v>40.1</v>
      </c>
      <c r="F1439" s="3">
        <v>64.37</v>
      </c>
      <c r="G1439" s="3">
        <v>73.17</v>
      </c>
      <c r="H1439" s="3">
        <v>233.76</v>
      </c>
      <c r="I1439" s="3">
        <v>3509.72</v>
      </c>
      <c r="J1439" s="3">
        <v>10533.68</v>
      </c>
      <c r="K1439" s="4">
        <f t="shared" si="1"/>
        <v>9497.3458</v>
      </c>
      <c r="L1439" s="4">
        <f t="shared" si="2"/>
        <v>4.687730755</v>
      </c>
    </row>
    <row r="1440">
      <c r="A1440" s="3" t="s">
        <v>116</v>
      </c>
      <c r="B1440" s="3">
        <v>16.9</v>
      </c>
      <c r="C1440" s="3">
        <v>0.98</v>
      </c>
      <c r="D1440" s="3">
        <v>233.0</v>
      </c>
      <c r="E1440" s="3">
        <v>17.4</v>
      </c>
      <c r="F1440" s="3">
        <v>75.6</v>
      </c>
      <c r="G1440" s="3">
        <v>130.38</v>
      </c>
      <c r="H1440" s="3">
        <v>272.92</v>
      </c>
      <c r="I1440" s="3">
        <v>2885.72</v>
      </c>
      <c r="J1440" s="3">
        <v>1394.2</v>
      </c>
      <c r="K1440" s="4">
        <f t="shared" si="1"/>
        <v>22714.3044</v>
      </c>
      <c r="L1440" s="4">
        <f t="shared" si="2"/>
        <v>2.390079795</v>
      </c>
    </row>
    <row r="1441">
      <c r="A1441" s="3" t="s">
        <v>116</v>
      </c>
      <c r="B1441" s="3">
        <v>16.9</v>
      </c>
      <c r="C1441" s="3">
        <v>1.47</v>
      </c>
      <c r="D1441" s="3">
        <v>227.0</v>
      </c>
      <c r="E1441" s="3">
        <v>14.4</v>
      </c>
      <c r="F1441" s="3">
        <v>68.11</v>
      </c>
      <c r="G1441" s="3">
        <v>176.13</v>
      </c>
      <c r="H1441" s="3">
        <v>246.78</v>
      </c>
      <c r="I1441" s="3">
        <v>2383.47</v>
      </c>
      <c r="J1441" s="3">
        <v>5.62</v>
      </c>
      <c r="K1441" s="4">
        <f t="shared" si="1"/>
        <v>35660.749</v>
      </c>
      <c r="L1441" s="4">
        <f t="shared" si="2"/>
        <v>1.444978063</v>
      </c>
    </row>
    <row r="1442">
      <c r="A1442" s="3" t="s">
        <v>116</v>
      </c>
      <c r="B1442" s="3">
        <v>16.9</v>
      </c>
      <c r="C1442" s="3">
        <v>1.97</v>
      </c>
      <c r="D1442" s="3">
        <v>234.0</v>
      </c>
      <c r="E1442" s="3">
        <v>10.8</v>
      </c>
      <c r="F1442" s="3">
        <v>61.94</v>
      </c>
      <c r="G1442" s="3">
        <v>213.49</v>
      </c>
      <c r="H1442" s="3">
        <v>213.16</v>
      </c>
      <c r="I1442" s="3">
        <v>1967.84</v>
      </c>
      <c r="J1442" s="3">
        <v>0.0</v>
      </c>
      <c r="K1442" s="4">
        <f t="shared" si="1"/>
        <v>49414.5437</v>
      </c>
      <c r="L1442" s="4">
        <f t="shared" si="2"/>
        <v>1.108094822</v>
      </c>
    </row>
    <row r="1443">
      <c r="A1443" s="3" t="s">
        <v>116</v>
      </c>
      <c r="B1443" s="3">
        <v>16.9</v>
      </c>
      <c r="C1443" s="3">
        <v>2.46</v>
      </c>
      <c r="D1443" s="3">
        <v>245.0</v>
      </c>
      <c r="E1443" s="3">
        <v>7.67</v>
      </c>
      <c r="F1443" s="3">
        <v>60.52</v>
      </c>
      <c r="G1443" s="3">
        <v>244.17</v>
      </c>
      <c r="H1443" s="3">
        <v>190.74</v>
      </c>
      <c r="I1443" s="3">
        <v>1571.81</v>
      </c>
      <c r="J1443" s="3">
        <v>0.0</v>
      </c>
      <c r="K1443" s="4">
        <f t="shared" si="1"/>
        <v>63281.6593</v>
      </c>
      <c r="L1443" s="4">
        <f t="shared" si="2"/>
        <v>0.9485370748</v>
      </c>
    </row>
    <row r="1444">
      <c r="A1444" s="3" t="s">
        <v>116</v>
      </c>
      <c r="B1444" s="3">
        <v>16.9</v>
      </c>
      <c r="C1444" s="3">
        <v>2.95</v>
      </c>
      <c r="D1444" s="3">
        <v>244.0</v>
      </c>
      <c r="E1444" s="3">
        <v>23.3</v>
      </c>
      <c r="F1444" s="3">
        <v>69.43</v>
      </c>
      <c r="G1444" s="3">
        <v>261.9</v>
      </c>
      <c r="H1444" s="3">
        <v>174.18</v>
      </c>
      <c r="I1444" s="3">
        <v>1161.8</v>
      </c>
      <c r="J1444" s="3">
        <v>0.0</v>
      </c>
      <c r="K1444" s="4">
        <f t="shared" si="1"/>
        <v>73412.1349</v>
      </c>
      <c r="L1444" s="4">
        <f t="shared" si="2"/>
        <v>0.8109830899</v>
      </c>
    </row>
    <row r="1445">
      <c r="A1445" s="3" t="s">
        <v>116</v>
      </c>
      <c r="B1445" s="3">
        <v>16.9</v>
      </c>
      <c r="C1445" s="3">
        <v>3.44</v>
      </c>
      <c r="D1445" s="3">
        <v>261.0</v>
      </c>
      <c r="E1445" s="3">
        <v>23.3</v>
      </c>
      <c r="F1445" s="3">
        <v>75.4</v>
      </c>
      <c r="G1445" s="3">
        <v>273.58</v>
      </c>
      <c r="H1445" s="3">
        <v>161.3</v>
      </c>
      <c r="I1445" s="3">
        <v>867.89</v>
      </c>
      <c r="J1445" s="3">
        <v>0.0</v>
      </c>
      <c r="K1445" s="4">
        <f t="shared" si="1"/>
        <v>80531.1764</v>
      </c>
      <c r="L1445" s="4">
        <f t="shared" si="2"/>
        <v>0.8458960001</v>
      </c>
    </row>
    <row r="1446">
      <c r="A1446" s="3" t="s">
        <v>116</v>
      </c>
      <c r="B1446" s="3">
        <v>16.9</v>
      </c>
      <c r="C1446" s="3">
        <v>3.93</v>
      </c>
      <c r="D1446" s="3">
        <v>259.0</v>
      </c>
      <c r="E1446" s="3">
        <v>22.7</v>
      </c>
      <c r="F1446" s="3">
        <v>73.37</v>
      </c>
      <c r="G1446" s="3">
        <v>276.37</v>
      </c>
      <c r="H1446" s="3">
        <v>150.91</v>
      </c>
      <c r="I1446" s="3">
        <v>643.49</v>
      </c>
      <c r="J1446" s="3">
        <v>0.0</v>
      </c>
      <c r="K1446" s="4">
        <f t="shared" si="1"/>
        <v>81763.5338</v>
      </c>
      <c r="L1446" s="4">
        <f t="shared" si="2"/>
        <v>0.8204268686</v>
      </c>
    </row>
    <row r="1447">
      <c r="A1447" s="3" t="s">
        <v>116</v>
      </c>
      <c r="B1447" s="3">
        <v>16.9</v>
      </c>
      <c r="C1447" s="3">
        <v>4.42</v>
      </c>
      <c r="D1447" s="3">
        <v>258.0</v>
      </c>
      <c r="E1447" s="3">
        <v>22.7</v>
      </c>
      <c r="F1447" s="3">
        <v>68.82</v>
      </c>
      <c r="G1447" s="3">
        <v>276.54</v>
      </c>
      <c r="H1447" s="3">
        <v>142.3</v>
      </c>
      <c r="I1447" s="3">
        <v>560.73</v>
      </c>
      <c r="J1447" s="3">
        <v>0.0</v>
      </c>
      <c r="K1447" s="4">
        <f t="shared" si="1"/>
        <v>81210.564</v>
      </c>
      <c r="L1447" s="4">
        <f t="shared" si="2"/>
        <v>0.8196470597</v>
      </c>
    </row>
    <row r="1448">
      <c r="A1448" s="3" t="s">
        <v>116</v>
      </c>
      <c r="B1448" s="3">
        <v>16.9</v>
      </c>
      <c r="C1448" s="3">
        <v>4.92</v>
      </c>
      <c r="D1448" s="3">
        <v>258.0</v>
      </c>
      <c r="E1448" s="3">
        <v>22.5</v>
      </c>
      <c r="F1448" s="3">
        <v>65.78</v>
      </c>
      <c r="G1448" s="3">
        <v>278.71</v>
      </c>
      <c r="H1448" s="3">
        <v>134.88</v>
      </c>
      <c r="I1448" s="3">
        <v>482.38</v>
      </c>
      <c r="J1448" s="3">
        <v>0.0</v>
      </c>
      <c r="K1448" s="4">
        <f t="shared" si="1"/>
        <v>82006.2725</v>
      </c>
      <c r="L1448" s="4">
        <f t="shared" si="2"/>
        <v>0.8116940079</v>
      </c>
    </row>
    <row r="1449">
      <c r="A1449" s="3" t="s">
        <v>116</v>
      </c>
      <c r="B1449" s="3">
        <v>16.9</v>
      </c>
      <c r="C1449" s="3">
        <v>5.74</v>
      </c>
      <c r="D1449" s="3">
        <v>261.0</v>
      </c>
      <c r="E1449" s="3">
        <v>22.4</v>
      </c>
      <c r="F1449" s="3">
        <v>61.84</v>
      </c>
      <c r="G1449" s="3">
        <v>282.13</v>
      </c>
      <c r="H1449" s="3">
        <v>124.87</v>
      </c>
      <c r="I1449" s="3">
        <v>387.42</v>
      </c>
      <c r="J1449" s="3">
        <v>0.0</v>
      </c>
      <c r="K1449" s="4">
        <f t="shared" si="1"/>
        <v>83421.5225</v>
      </c>
      <c r="L1449" s="4">
        <f t="shared" si="2"/>
        <v>0.8165878296</v>
      </c>
    </row>
    <row r="1450">
      <c r="A1450" s="3" t="s">
        <v>116</v>
      </c>
      <c r="B1450" s="3">
        <v>16.9</v>
      </c>
      <c r="C1450" s="3">
        <v>6.56</v>
      </c>
      <c r="D1450" s="3">
        <v>263.0</v>
      </c>
      <c r="E1450" s="3">
        <v>22.4</v>
      </c>
      <c r="F1450" s="3">
        <v>59.41</v>
      </c>
      <c r="G1450" s="3">
        <v>284.24</v>
      </c>
      <c r="H1450" s="3">
        <v>116.81</v>
      </c>
      <c r="I1450" s="3">
        <v>278.87</v>
      </c>
      <c r="J1450" s="3">
        <v>0.0</v>
      </c>
      <c r="K1450" s="4">
        <f t="shared" si="1"/>
        <v>84321.9257</v>
      </c>
      <c r="L1450" s="4">
        <f t="shared" si="2"/>
        <v>0.820296731</v>
      </c>
    </row>
    <row r="1451">
      <c r="A1451" s="3" t="s">
        <v>116</v>
      </c>
      <c r="B1451" s="3">
        <v>16.9</v>
      </c>
      <c r="C1451" s="3">
        <v>7.37</v>
      </c>
      <c r="D1451" s="3">
        <v>264.0</v>
      </c>
      <c r="E1451" s="3">
        <v>22.3</v>
      </c>
      <c r="F1451" s="3">
        <v>58.09</v>
      </c>
      <c r="G1451" s="3">
        <v>281.24</v>
      </c>
      <c r="H1451" s="3">
        <v>110.2</v>
      </c>
      <c r="I1451" s="3">
        <v>208.81</v>
      </c>
      <c r="J1451" s="3">
        <v>0.0</v>
      </c>
      <c r="K1451" s="4">
        <f t="shared" si="1"/>
        <v>82470.3857</v>
      </c>
      <c r="L1451" s="4">
        <f t="shared" si="2"/>
        <v>0.8451033593</v>
      </c>
    </row>
    <row r="1452">
      <c r="A1452" s="3" t="s">
        <v>116</v>
      </c>
      <c r="B1452" s="3">
        <v>16.9</v>
      </c>
      <c r="C1452" s="3">
        <v>8.19</v>
      </c>
      <c r="D1452" s="3">
        <v>265.0</v>
      </c>
      <c r="E1452" s="3">
        <v>22.2</v>
      </c>
      <c r="F1452" s="3">
        <v>58.09</v>
      </c>
      <c r="G1452" s="3">
        <v>279.02</v>
      </c>
      <c r="H1452" s="3">
        <v>104.54</v>
      </c>
      <c r="I1452" s="3">
        <v>169.08</v>
      </c>
      <c r="J1452" s="3">
        <v>0.0</v>
      </c>
      <c r="K1452" s="4">
        <f t="shared" si="1"/>
        <v>81226.6085</v>
      </c>
      <c r="L1452" s="4">
        <f t="shared" si="2"/>
        <v>0.8645565942</v>
      </c>
    </row>
    <row r="1453">
      <c r="A1453" s="3" t="s">
        <v>116</v>
      </c>
      <c r="B1453" s="3">
        <v>16.9</v>
      </c>
      <c r="C1453" s="3">
        <v>9.01</v>
      </c>
      <c r="D1453" s="3">
        <v>265.0</v>
      </c>
      <c r="E1453" s="3">
        <v>22.2</v>
      </c>
      <c r="F1453" s="3">
        <v>58.19</v>
      </c>
      <c r="G1453" s="3">
        <v>277.3</v>
      </c>
      <c r="H1453" s="3">
        <v>99.67</v>
      </c>
      <c r="I1453" s="3">
        <v>124.55</v>
      </c>
      <c r="J1453" s="3">
        <v>0.0</v>
      </c>
      <c r="K1453" s="4">
        <f t="shared" si="1"/>
        <v>80281.3661</v>
      </c>
      <c r="L1453" s="4">
        <f t="shared" si="2"/>
        <v>0.8747359868</v>
      </c>
    </row>
    <row r="1454">
      <c r="A1454" s="3" t="s">
        <v>116</v>
      </c>
      <c r="B1454" s="3">
        <v>16.9</v>
      </c>
      <c r="C1454" s="3">
        <v>9.83</v>
      </c>
      <c r="D1454" s="3">
        <v>264.0</v>
      </c>
      <c r="E1454" s="3">
        <v>22.0</v>
      </c>
      <c r="F1454" s="3">
        <v>57.28</v>
      </c>
      <c r="G1454" s="3">
        <v>272.35</v>
      </c>
      <c r="H1454" s="3">
        <v>95.42</v>
      </c>
      <c r="I1454" s="3">
        <v>80.7</v>
      </c>
      <c r="J1454" s="3">
        <v>0.0</v>
      </c>
      <c r="K1454" s="4">
        <f t="shared" si="1"/>
        <v>77455.5209</v>
      </c>
      <c r="L1454" s="4">
        <f t="shared" si="2"/>
        <v>0.8998196538</v>
      </c>
    </row>
    <row r="1455">
      <c r="A1455" s="3" t="s">
        <v>116</v>
      </c>
      <c r="B1455" s="3">
        <v>16.9</v>
      </c>
      <c r="C1455" s="3">
        <v>10.65</v>
      </c>
      <c r="D1455" s="3">
        <v>264.0</v>
      </c>
      <c r="E1455" s="3">
        <v>21.9</v>
      </c>
      <c r="F1455" s="3">
        <v>55.06</v>
      </c>
      <c r="G1455" s="3">
        <v>264.11</v>
      </c>
      <c r="H1455" s="3">
        <v>91.67</v>
      </c>
      <c r="I1455" s="3">
        <v>49.29</v>
      </c>
      <c r="J1455" s="3">
        <v>0.0</v>
      </c>
      <c r="K1455" s="4">
        <f t="shared" si="1"/>
        <v>72785.6957</v>
      </c>
      <c r="L1455" s="4">
        <f t="shared" si="2"/>
        <v>0.9575507843</v>
      </c>
    </row>
    <row r="1456">
      <c r="A1456" s="3" t="s">
        <v>116</v>
      </c>
      <c r="B1456" s="3">
        <v>16.9</v>
      </c>
      <c r="C1456" s="3">
        <v>11.47</v>
      </c>
      <c r="D1456" s="3">
        <v>265.0</v>
      </c>
      <c r="E1456" s="3">
        <v>22.0</v>
      </c>
      <c r="F1456" s="3">
        <v>51.82</v>
      </c>
      <c r="G1456" s="3">
        <v>254.75</v>
      </c>
      <c r="H1456" s="3">
        <v>88.34</v>
      </c>
      <c r="I1456" s="3">
        <v>31.13</v>
      </c>
      <c r="J1456" s="3">
        <v>0.0</v>
      </c>
      <c r="K1456" s="4">
        <f t="shared" si="1"/>
        <v>67582.8749</v>
      </c>
      <c r="L1456" s="4">
        <f t="shared" si="2"/>
        <v>1.039094595</v>
      </c>
    </row>
    <row r="1457">
      <c r="A1457" s="3" t="s">
        <v>117</v>
      </c>
      <c r="B1457" s="3">
        <v>15.7</v>
      </c>
      <c r="C1457" s="3">
        <v>0.76</v>
      </c>
      <c r="D1457" s="3">
        <v>206.0</v>
      </c>
      <c r="E1457" s="3">
        <v>16.0</v>
      </c>
      <c r="F1457" s="3">
        <v>2.44</v>
      </c>
      <c r="G1457" s="3">
        <v>95.41</v>
      </c>
      <c r="H1457" s="3">
        <v>277.3</v>
      </c>
      <c r="I1457" s="3">
        <v>2166.2</v>
      </c>
      <c r="J1457" s="3">
        <v>3616.11</v>
      </c>
      <c r="K1457" s="4">
        <f t="shared" si="1"/>
        <v>9109.0217</v>
      </c>
      <c r="L1457" s="4">
        <f t="shared" si="2"/>
        <v>4.65867811</v>
      </c>
    </row>
    <row r="1458">
      <c r="A1458" s="3" t="s">
        <v>117</v>
      </c>
      <c r="B1458" s="3">
        <v>15.7</v>
      </c>
      <c r="C1458" s="3">
        <v>2.28</v>
      </c>
      <c r="D1458" s="3">
        <v>214.0</v>
      </c>
      <c r="E1458" s="3">
        <v>10.0</v>
      </c>
      <c r="F1458" s="3">
        <v>5.15</v>
      </c>
      <c r="G1458" s="3">
        <v>214.07</v>
      </c>
      <c r="H1458" s="3">
        <v>218.08</v>
      </c>
      <c r="I1458" s="3">
        <v>1233.88</v>
      </c>
      <c r="J1458" s="3">
        <v>0.0</v>
      </c>
      <c r="K1458" s="4">
        <f t="shared" si="1"/>
        <v>45852.4874</v>
      </c>
      <c r="L1458" s="4">
        <f t="shared" si="2"/>
        <v>0.9987680625</v>
      </c>
    </row>
    <row r="1459">
      <c r="A1459" s="3" t="s">
        <v>117</v>
      </c>
      <c r="B1459" s="3">
        <v>15.7</v>
      </c>
      <c r="C1459" s="3">
        <v>3.8</v>
      </c>
      <c r="D1459" s="3">
        <v>222.0</v>
      </c>
      <c r="E1459" s="3">
        <v>8.0</v>
      </c>
      <c r="F1459" s="3">
        <v>8.48</v>
      </c>
      <c r="G1459" s="3">
        <v>237.47</v>
      </c>
      <c r="H1459" s="3">
        <v>168.95</v>
      </c>
      <c r="I1459" s="3">
        <v>307.23</v>
      </c>
      <c r="J1459" s="3">
        <v>0.0</v>
      </c>
      <c r="K1459" s="4">
        <f t="shared" si="1"/>
        <v>56463.9113</v>
      </c>
      <c r="L1459" s="4">
        <f t="shared" si="2"/>
        <v>0.8728407024</v>
      </c>
    </row>
    <row r="1460">
      <c r="A1460" s="3" t="s">
        <v>117</v>
      </c>
      <c r="B1460" s="3">
        <v>15.7</v>
      </c>
      <c r="C1460" s="3">
        <v>5.33</v>
      </c>
      <c r="D1460" s="3">
        <v>224.0</v>
      </c>
      <c r="E1460" s="3">
        <v>8.0</v>
      </c>
      <c r="F1460" s="3">
        <v>16.65</v>
      </c>
      <c r="G1460" s="3">
        <v>222.81</v>
      </c>
      <c r="H1460" s="3">
        <v>142.66</v>
      </c>
      <c r="I1460" s="3">
        <v>137.83</v>
      </c>
      <c r="J1460" s="3">
        <v>0.0</v>
      </c>
      <c r="K1460" s="4">
        <f t="shared" si="1"/>
        <v>49921.5186</v>
      </c>
      <c r="L1460" s="4">
        <f t="shared" si="2"/>
        <v>1.005097629</v>
      </c>
    </row>
    <row r="1461">
      <c r="A1461" s="3" t="s">
        <v>117</v>
      </c>
      <c r="B1461" s="3">
        <v>15.7</v>
      </c>
      <c r="C1461" s="3">
        <v>6.85</v>
      </c>
      <c r="D1461" s="3">
        <v>225.0</v>
      </c>
      <c r="E1461" s="3">
        <v>8.0</v>
      </c>
      <c r="F1461" s="3">
        <v>22.4</v>
      </c>
      <c r="G1461" s="3">
        <v>206.17</v>
      </c>
      <c r="H1461" s="3">
        <v>125.84</v>
      </c>
      <c r="I1461" s="3">
        <v>63.77</v>
      </c>
      <c r="J1461" s="3">
        <v>0.0</v>
      </c>
      <c r="K1461" s="4">
        <f t="shared" si="1"/>
        <v>43007.8289</v>
      </c>
      <c r="L1461" s="4">
        <f t="shared" si="2"/>
        <v>1.177111268</v>
      </c>
    </row>
    <row r="1462">
      <c r="A1462" s="3" t="s">
        <v>117</v>
      </c>
      <c r="B1462" s="3">
        <v>15.7</v>
      </c>
      <c r="C1462" s="3">
        <v>8.0</v>
      </c>
      <c r="D1462" s="3">
        <v>222.0</v>
      </c>
      <c r="E1462" s="3">
        <v>6.0</v>
      </c>
      <c r="F1462" s="3">
        <v>24.58</v>
      </c>
      <c r="G1462" s="3">
        <v>191.74</v>
      </c>
      <c r="H1462" s="3">
        <v>116.44</v>
      </c>
      <c r="I1462" s="3">
        <v>46.48</v>
      </c>
      <c r="J1462" s="3">
        <v>0.0</v>
      </c>
      <c r="K1462" s="4">
        <f t="shared" si="1"/>
        <v>37368.404</v>
      </c>
      <c r="L1462" s="4">
        <f t="shared" si="2"/>
        <v>1.318868207</v>
      </c>
    </row>
    <row r="1463">
      <c r="A1463" s="3" t="s">
        <v>117</v>
      </c>
      <c r="B1463" s="3">
        <v>15.7</v>
      </c>
      <c r="C1463" s="3">
        <v>10.28</v>
      </c>
      <c r="D1463" s="3">
        <v>220.0</v>
      </c>
      <c r="E1463" s="3">
        <v>3.0</v>
      </c>
      <c r="F1463" s="3">
        <v>28.49</v>
      </c>
      <c r="G1463" s="3">
        <v>177.55</v>
      </c>
      <c r="H1463" s="3">
        <v>102.72</v>
      </c>
      <c r="I1463" s="3">
        <v>37.35</v>
      </c>
      <c r="J1463" s="3">
        <v>0.0</v>
      </c>
      <c r="K1463" s="4">
        <f t="shared" si="1"/>
        <v>32335.6826</v>
      </c>
      <c r="L1463" s="4">
        <f t="shared" si="2"/>
        <v>1.496798463</v>
      </c>
    </row>
    <row r="1464">
      <c r="A1464" s="3" t="s">
        <v>117</v>
      </c>
      <c r="B1464" s="3">
        <v>15.7</v>
      </c>
      <c r="C1464" s="3">
        <v>12.56</v>
      </c>
      <c r="D1464" s="3">
        <v>218.0</v>
      </c>
      <c r="E1464" s="3">
        <v>2.0</v>
      </c>
      <c r="F1464" s="3">
        <v>30.21</v>
      </c>
      <c r="G1464" s="3">
        <v>168.02</v>
      </c>
      <c r="H1464" s="3">
        <v>92.93</v>
      </c>
      <c r="I1464" s="3">
        <v>20.51</v>
      </c>
      <c r="J1464" s="3">
        <v>0.0</v>
      </c>
      <c r="K1464" s="4">
        <f t="shared" si="1"/>
        <v>29143.3645</v>
      </c>
      <c r="L1464" s="4">
        <f t="shared" si="2"/>
        <v>1.630697101</v>
      </c>
    </row>
    <row r="1465">
      <c r="A1465" s="3" t="s">
        <v>117</v>
      </c>
      <c r="B1465" s="3">
        <v>15.7</v>
      </c>
      <c r="C1465" s="3">
        <v>14.91</v>
      </c>
      <c r="D1465" s="3">
        <v>219.0</v>
      </c>
      <c r="E1465" s="3">
        <v>2.0</v>
      </c>
      <c r="F1465" s="3">
        <v>36.41</v>
      </c>
      <c r="G1465" s="3">
        <v>156.39</v>
      </c>
      <c r="H1465" s="3">
        <v>85.29</v>
      </c>
      <c r="I1465" s="3">
        <v>11.48</v>
      </c>
      <c r="J1465" s="3">
        <v>0.0</v>
      </c>
      <c r="K1465" s="4">
        <f t="shared" si="1"/>
        <v>25783.5202</v>
      </c>
      <c r="L1465" s="4">
        <f t="shared" si="2"/>
        <v>1.860141657</v>
      </c>
    </row>
    <row r="1466">
      <c r="A1466" s="3" t="s">
        <v>117</v>
      </c>
      <c r="B1466" s="3">
        <v>15.7</v>
      </c>
      <c r="C1466" s="3">
        <v>17.15</v>
      </c>
      <c r="D1466" s="3">
        <v>217.0</v>
      </c>
      <c r="E1466" s="3">
        <v>2.0</v>
      </c>
      <c r="F1466" s="3">
        <v>41.69</v>
      </c>
      <c r="G1466" s="3">
        <v>147.04</v>
      </c>
      <c r="H1466" s="3">
        <v>79.53</v>
      </c>
      <c r="I1466" s="3">
        <v>8.58</v>
      </c>
      <c r="J1466" s="3">
        <v>0.0</v>
      </c>
      <c r="K1466" s="4">
        <f t="shared" si="1"/>
        <v>23358.8177</v>
      </c>
      <c r="L1466" s="4">
        <f t="shared" si="2"/>
        <v>2.015898262</v>
      </c>
    </row>
    <row r="1467">
      <c r="A1467" s="3" t="s">
        <v>117</v>
      </c>
      <c r="B1467" s="3">
        <v>15.7</v>
      </c>
      <c r="C1467" s="3">
        <v>19.39</v>
      </c>
      <c r="D1467" s="3">
        <v>218.0</v>
      </c>
      <c r="E1467" s="3">
        <v>2.0</v>
      </c>
      <c r="F1467" s="3">
        <v>45.72</v>
      </c>
      <c r="G1467" s="3">
        <v>140.32</v>
      </c>
      <c r="H1467" s="3">
        <v>74.79</v>
      </c>
      <c r="I1467" s="3">
        <v>7.31</v>
      </c>
      <c r="J1467" s="3">
        <v>0.0</v>
      </c>
      <c r="K1467" s="4">
        <f t="shared" si="1"/>
        <v>21780.0208</v>
      </c>
      <c r="L1467" s="4">
        <f t="shared" si="2"/>
        <v>2.181999753</v>
      </c>
    </row>
    <row r="1468">
      <c r="A1468" s="3" t="s">
        <v>117</v>
      </c>
      <c r="B1468" s="3">
        <v>15.7</v>
      </c>
      <c r="C1468" s="3">
        <v>21.64</v>
      </c>
      <c r="D1468" s="3">
        <v>220.0</v>
      </c>
      <c r="E1468" s="3">
        <v>2.0</v>
      </c>
      <c r="F1468" s="3">
        <v>51.92</v>
      </c>
      <c r="G1468" s="3">
        <v>136.88</v>
      </c>
      <c r="H1468" s="3">
        <v>70.8</v>
      </c>
      <c r="I1468" s="3">
        <v>5.24</v>
      </c>
      <c r="J1468" s="3">
        <v>0.0</v>
      </c>
      <c r="K1468" s="4">
        <f t="shared" si="1"/>
        <v>21431.8208</v>
      </c>
      <c r="L1468" s="4">
        <f t="shared" si="2"/>
        <v>2.25832422</v>
      </c>
    </row>
    <row r="1469">
      <c r="A1469" s="3" t="s">
        <v>117</v>
      </c>
      <c r="B1469" s="3">
        <v>15.7</v>
      </c>
      <c r="C1469" s="3">
        <v>24.01</v>
      </c>
      <c r="D1469" s="3">
        <v>222.0</v>
      </c>
      <c r="E1469" s="3">
        <v>2.0</v>
      </c>
      <c r="F1469" s="3">
        <v>56.74</v>
      </c>
      <c r="G1469" s="3">
        <v>130.88</v>
      </c>
      <c r="H1469" s="3">
        <v>67.21</v>
      </c>
      <c r="I1469" s="3">
        <v>2.49</v>
      </c>
      <c r="J1469" s="3">
        <v>0.0</v>
      </c>
      <c r="K1469" s="4">
        <f t="shared" si="1"/>
        <v>20349.002</v>
      </c>
      <c r="L1469" s="4">
        <f t="shared" si="2"/>
        <v>2.421936958</v>
      </c>
    </row>
    <row r="1470">
      <c r="A1470" s="3" t="s">
        <v>117</v>
      </c>
      <c r="B1470" s="3">
        <v>15.7</v>
      </c>
      <c r="C1470" s="3">
        <v>26.25</v>
      </c>
      <c r="D1470" s="3">
        <v>218.0</v>
      </c>
      <c r="E1470" s="3">
        <v>3.0</v>
      </c>
      <c r="F1470" s="3">
        <v>58.35</v>
      </c>
      <c r="G1470" s="3">
        <v>124.11</v>
      </c>
      <c r="H1470" s="3">
        <v>64.28</v>
      </c>
      <c r="I1470" s="3">
        <v>1.28</v>
      </c>
      <c r="J1470" s="3">
        <v>0.0</v>
      </c>
      <c r="K1470" s="4">
        <f t="shared" si="1"/>
        <v>18808.0146</v>
      </c>
      <c r="L1470" s="4">
        <f t="shared" si="2"/>
        <v>2.526795146</v>
      </c>
    </row>
    <row r="1471">
      <c r="A1471" s="3" t="s">
        <v>117</v>
      </c>
      <c r="B1471" s="3">
        <v>15.7</v>
      </c>
      <c r="C1471" s="3">
        <v>28.5</v>
      </c>
      <c r="D1471" s="3">
        <v>217.0</v>
      </c>
      <c r="E1471" s="3">
        <v>3.0</v>
      </c>
      <c r="F1471" s="3">
        <v>56.74</v>
      </c>
      <c r="G1471" s="3">
        <v>118.34</v>
      </c>
      <c r="H1471" s="3">
        <v>61.69</v>
      </c>
      <c r="I1471" s="3">
        <v>0.89</v>
      </c>
      <c r="J1471" s="3">
        <v>0.0</v>
      </c>
      <c r="K1471" s="4">
        <f t="shared" si="1"/>
        <v>17223.7832</v>
      </c>
      <c r="L1471" s="4">
        <f t="shared" si="2"/>
        <v>2.733952202</v>
      </c>
    </row>
    <row r="1472">
      <c r="A1472" s="3" t="s">
        <v>117</v>
      </c>
      <c r="B1472" s="3">
        <v>15.7</v>
      </c>
      <c r="C1472" s="3">
        <v>30.87</v>
      </c>
      <c r="D1472" s="3">
        <v>207.0</v>
      </c>
      <c r="E1472" s="3">
        <v>3.0</v>
      </c>
      <c r="F1472" s="3">
        <v>53.3</v>
      </c>
      <c r="G1472" s="3">
        <v>113.45</v>
      </c>
      <c r="H1472" s="3">
        <v>59.28</v>
      </c>
      <c r="I1472" s="3">
        <v>0.64</v>
      </c>
      <c r="J1472" s="3">
        <v>0.0</v>
      </c>
      <c r="K1472" s="4">
        <f t="shared" si="1"/>
        <v>15711.7925</v>
      </c>
      <c r="L1472" s="4">
        <f t="shared" si="2"/>
        <v>2.727187239</v>
      </c>
    </row>
    <row r="1473">
      <c r="A1473" s="3" t="s">
        <v>117</v>
      </c>
      <c r="B1473" s="3">
        <v>15.7</v>
      </c>
      <c r="C1473" s="3">
        <v>33.12</v>
      </c>
      <c r="D1473" s="3">
        <v>199.0</v>
      </c>
      <c r="E1473" s="3">
        <v>3.0</v>
      </c>
      <c r="F1473" s="3">
        <v>51.34</v>
      </c>
      <c r="G1473" s="3">
        <v>109.2</v>
      </c>
      <c r="H1473" s="3">
        <v>57.23</v>
      </c>
      <c r="I1473" s="3">
        <v>0.4</v>
      </c>
      <c r="J1473" s="3">
        <v>0.0</v>
      </c>
      <c r="K1473" s="4">
        <f t="shared" si="1"/>
        <v>14560.4356</v>
      </c>
      <c r="L1473" s="4">
        <f t="shared" si="2"/>
        <v>2.719767532</v>
      </c>
    </row>
    <row r="1474">
      <c r="A1474" s="3" t="s">
        <v>117</v>
      </c>
      <c r="B1474" s="3">
        <v>15.7</v>
      </c>
      <c r="C1474" s="3">
        <v>35.36</v>
      </c>
      <c r="D1474" s="3">
        <v>191.0</v>
      </c>
      <c r="E1474" s="3">
        <v>3.0</v>
      </c>
      <c r="F1474" s="3">
        <v>48.7</v>
      </c>
      <c r="G1474" s="3">
        <v>105.32</v>
      </c>
      <c r="H1474" s="3">
        <v>55.39</v>
      </c>
      <c r="I1474" s="3">
        <v>0.26</v>
      </c>
      <c r="J1474" s="3">
        <v>0.0</v>
      </c>
      <c r="K1474" s="4">
        <f t="shared" si="1"/>
        <v>13463.9924</v>
      </c>
      <c r="L1474" s="4">
        <f t="shared" si="2"/>
        <v>2.709523217</v>
      </c>
    </row>
    <row r="1475">
      <c r="A1475" s="3" t="s">
        <v>117</v>
      </c>
      <c r="B1475" s="3">
        <v>15.7</v>
      </c>
      <c r="C1475" s="3">
        <v>37.73</v>
      </c>
      <c r="D1475" s="3">
        <v>193.0</v>
      </c>
      <c r="E1475" s="3">
        <v>3.0</v>
      </c>
      <c r="F1475" s="3">
        <v>46.75</v>
      </c>
      <c r="G1475" s="3">
        <v>101.61</v>
      </c>
      <c r="H1475" s="3">
        <v>53.62</v>
      </c>
      <c r="I1475" s="3">
        <v>0.16</v>
      </c>
      <c r="J1475" s="3">
        <v>0.0</v>
      </c>
      <c r="K1475" s="4">
        <f t="shared" si="1"/>
        <v>12510.1546</v>
      </c>
      <c r="L1475" s="4">
        <f t="shared" si="2"/>
        <v>2.977501173</v>
      </c>
    </row>
    <row r="1476">
      <c r="A1476" s="3" t="s">
        <v>117</v>
      </c>
      <c r="B1476" s="3">
        <v>15.7</v>
      </c>
      <c r="C1476" s="3">
        <v>39.98</v>
      </c>
      <c r="D1476" s="3">
        <v>192.0</v>
      </c>
      <c r="E1476" s="3">
        <v>3.0</v>
      </c>
      <c r="F1476" s="3">
        <v>45.26</v>
      </c>
      <c r="G1476" s="3">
        <v>98.44</v>
      </c>
      <c r="H1476" s="3">
        <v>52.09</v>
      </c>
      <c r="I1476" s="3">
        <v>0.11</v>
      </c>
      <c r="J1476" s="3">
        <v>0.0</v>
      </c>
      <c r="K1476" s="4">
        <f t="shared" si="1"/>
        <v>11738.9012</v>
      </c>
      <c r="L1476" s="4">
        <f t="shared" si="2"/>
        <v>3.140327989</v>
      </c>
    </row>
    <row r="1477">
      <c r="A1477" s="3" t="s">
        <v>117</v>
      </c>
      <c r="B1477" s="3">
        <v>15.7</v>
      </c>
      <c r="C1477" s="3">
        <v>42.22</v>
      </c>
      <c r="D1477" s="3">
        <v>194.0</v>
      </c>
      <c r="E1477" s="3">
        <v>4.0</v>
      </c>
      <c r="F1477" s="3">
        <v>43.99</v>
      </c>
      <c r="G1477" s="3">
        <v>95.58</v>
      </c>
      <c r="H1477" s="3">
        <v>50.69</v>
      </c>
      <c r="I1477" s="3">
        <v>0.07</v>
      </c>
      <c r="J1477" s="3">
        <v>0.0</v>
      </c>
      <c r="K1477" s="4">
        <f t="shared" si="1"/>
        <v>11070.6565</v>
      </c>
      <c r="L1477" s="4">
        <f t="shared" si="2"/>
        <v>3.399617719</v>
      </c>
    </row>
    <row r="1478">
      <c r="A1478" s="3" t="s">
        <v>117</v>
      </c>
      <c r="B1478" s="3">
        <v>15.7</v>
      </c>
      <c r="C1478" s="3">
        <v>44.59</v>
      </c>
      <c r="D1478" s="3">
        <v>196.0</v>
      </c>
      <c r="E1478" s="3">
        <v>5.0</v>
      </c>
      <c r="F1478" s="3">
        <v>42.84</v>
      </c>
      <c r="G1478" s="3">
        <v>92.77</v>
      </c>
      <c r="H1478" s="3">
        <v>49.32</v>
      </c>
      <c r="I1478" s="3">
        <v>0.0</v>
      </c>
      <c r="J1478" s="3">
        <v>0.0</v>
      </c>
      <c r="K1478" s="4">
        <f t="shared" si="1"/>
        <v>10441.5385</v>
      </c>
      <c r="L1478" s="4">
        <f t="shared" si="2"/>
        <v>3.679151305</v>
      </c>
    </row>
    <row r="1479">
      <c r="A1479" s="3" t="s">
        <v>118</v>
      </c>
      <c r="B1479" s="3">
        <v>9.9</v>
      </c>
      <c r="C1479" s="3">
        <v>0.72</v>
      </c>
      <c r="D1479" s="3">
        <v>125.0</v>
      </c>
      <c r="E1479" s="3">
        <v>17.6</v>
      </c>
      <c r="F1479" s="3">
        <v>2.2</v>
      </c>
      <c r="G1479" s="3">
        <v>201.48</v>
      </c>
      <c r="H1479" s="3">
        <v>0.0</v>
      </c>
      <c r="I1479" s="3">
        <v>4079.93</v>
      </c>
      <c r="J1479" s="3">
        <v>0.0</v>
      </c>
      <c r="K1479" s="4">
        <f t="shared" si="1"/>
        <v>40599.0304</v>
      </c>
      <c r="L1479" s="4">
        <f t="shared" si="2"/>
        <v>0.3848614079</v>
      </c>
    </row>
    <row r="1480">
      <c r="A1480" s="3" t="s">
        <v>118</v>
      </c>
      <c r="B1480" s="3">
        <v>9.9</v>
      </c>
      <c r="C1480" s="3">
        <v>1.43</v>
      </c>
      <c r="D1480" s="3">
        <v>162.0</v>
      </c>
      <c r="E1480" s="3">
        <v>8.5</v>
      </c>
      <c r="F1480" s="3">
        <v>3.72</v>
      </c>
      <c r="G1480" s="3">
        <v>240.13</v>
      </c>
      <c r="H1480" s="3">
        <v>0.0</v>
      </c>
      <c r="I1480" s="3">
        <v>2087.92</v>
      </c>
      <c r="J1480" s="3">
        <v>0.0</v>
      </c>
      <c r="K1480" s="4">
        <f t="shared" si="1"/>
        <v>57676.2553</v>
      </c>
      <c r="L1480" s="4">
        <f t="shared" si="2"/>
        <v>0.4550226062</v>
      </c>
    </row>
    <row r="1481">
      <c r="A1481" s="3" t="s">
        <v>118</v>
      </c>
      <c r="B1481" s="3">
        <v>9.9</v>
      </c>
      <c r="C1481" s="3">
        <v>2.16</v>
      </c>
      <c r="D1481" s="3">
        <v>178.0</v>
      </c>
      <c r="E1481" s="3">
        <v>5.22</v>
      </c>
      <c r="F1481" s="3">
        <v>4.09</v>
      </c>
      <c r="G1481" s="3">
        <v>263.27</v>
      </c>
      <c r="H1481" s="3">
        <v>0.0</v>
      </c>
      <c r="I1481" s="3">
        <v>1497.11</v>
      </c>
      <c r="J1481" s="3">
        <v>0.0</v>
      </c>
      <c r="K1481" s="4">
        <f t="shared" si="1"/>
        <v>69327.821</v>
      </c>
      <c r="L1481" s="4">
        <f t="shared" si="2"/>
        <v>0.4570171043</v>
      </c>
    </row>
    <row r="1482">
      <c r="A1482" s="3" t="s">
        <v>118</v>
      </c>
      <c r="B1482" s="3">
        <v>9.9</v>
      </c>
      <c r="C1482" s="3">
        <v>2.87</v>
      </c>
      <c r="D1482" s="3">
        <v>193.0</v>
      </c>
      <c r="E1482" s="3">
        <v>1.88</v>
      </c>
      <c r="F1482" s="3">
        <v>5.34</v>
      </c>
      <c r="G1482" s="3">
        <v>280.74</v>
      </c>
      <c r="H1482" s="3">
        <v>0.0</v>
      </c>
      <c r="I1482" s="3">
        <v>897.98</v>
      </c>
      <c r="J1482" s="3">
        <v>0.0</v>
      </c>
      <c r="K1482" s="4">
        <f t="shared" si="1"/>
        <v>78843.4632</v>
      </c>
      <c r="L1482" s="4">
        <f t="shared" si="2"/>
        <v>0.4724424637</v>
      </c>
    </row>
    <row r="1483">
      <c r="A1483" s="3" t="s">
        <v>118</v>
      </c>
      <c r="B1483" s="3">
        <v>9.9</v>
      </c>
      <c r="C1483" s="3">
        <v>3.59</v>
      </c>
      <c r="D1483" s="3">
        <v>192.0</v>
      </c>
      <c r="E1483" s="3">
        <v>3.59</v>
      </c>
      <c r="F1483" s="3">
        <v>6.03</v>
      </c>
      <c r="G1483" s="3">
        <v>273.32</v>
      </c>
      <c r="H1483" s="3">
        <v>0.0</v>
      </c>
      <c r="I1483" s="3">
        <v>618.08</v>
      </c>
      <c r="J1483" s="3">
        <v>0.0</v>
      </c>
      <c r="K1483" s="4">
        <f t="shared" si="1"/>
        <v>74740.1833</v>
      </c>
      <c r="L1483" s="4">
        <f t="shared" si="2"/>
        <v>0.4932286539</v>
      </c>
    </row>
    <row r="1484">
      <c r="A1484" s="3" t="s">
        <v>118</v>
      </c>
      <c r="B1484" s="3">
        <v>9.9</v>
      </c>
      <c r="C1484" s="3">
        <v>4.3</v>
      </c>
      <c r="D1484" s="3">
        <v>190.0</v>
      </c>
      <c r="E1484" s="3">
        <v>0.97</v>
      </c>
      <c r="F1484" s="3">
        <v>5.11</v>
      </c>
      <c r="G1484" s="3">
        <v>272.18</v>
      </c>
      <c r="H1484" s="3">
        <v>0.0</v>
      </c>
      <c r="I1484" s="3">
        <v>518.18</v>
      </c>
      <c r="J1484" s="3">
        <v>0.0</v>
      </c>
      <c r="K1484" s="4">
        <f t="shared" si="1"/>
        <v>74108.0645</v>
      </c>
      <c r="L1484" s="4">
        <f t="shared" si="2"/>
        <v>0.4871264719</v>
      </c>
    </row>
    <row r="1485">
      <c r="A1485" s="3" t="s">
        <v>118</v>
      </c>
      <c r="B1485" s="3">
        <v>9.9</v>
      </c>
      <c r="C1485" s="3">
        <v>5.03</v>
      </c>
      <c r="D1485" s="3">
        <v>195.0</v>
      </c>
      <c r="E1485" s="3">
        <v>0.99</v>
      </c>
      <c r="F1485" s="3">
        <v>8.42</v>
      </c>
      <c r="G1485" s="3">
        <v>273.73</v>
      </c>
      <c r="H1485" s="3">
        <v>0.0</v>
      </c>
      <c r="I1485" s="3">
        <v>418.28</v>
      </c>
      <c r="J1485" s="3">
        <v>0.0</v>
      </c>
      <c r="K1485" s="4">
        <f t="shared" si="1"/>
        <v>74999.0093</v>
      </c>
      <c r="L1485" s="4">
        <f t="shared" si="2"/>
        <v>0.5070066972</v>
      </c>
    </row>
    <row r="1486">
      <c r="A1486" s="3" t="s">
        <v>118</v>
      </c>
      <c r="B1486" s="3">
        <v>9.9</v>
      </c>
      <c r="C1486" s="3">
        <v>5.75</v>
      </c>
      <c r="D1486" s="3">
        <v>201.0</v>
      </c>
      <c r="E1486" s="3">
        <v>0.45</v>
      </c>
      <c r="F1486" s="3">
        <v>14.42</v>
      </c>
      <c r="G1486" s="3">
        <v>276.2</v>
      </c>
      <c r="H1486" s="3">
        <v>0.0</v>
      </c>
      <c r="I1486" s="3">
        <v>347.11</v>
      </c>
      <c r="J1486" s="3">
        <v>0.0</v>
      </c>
      <c r="K1486" s="4">
        <f t="shared" si="1"/>
        <v>76494.3764</v>
      </c>
      <c r="L1486" s="4">
        <f t="shared" si="2"/>
        <v>0.5281564724</v>
      </c>
    </row>
    <row r="1487">
      <c r="A1487" s="3" t="s">
        <v>118</v>
      </c>
      <c r="B1487" s="3">
        <v>9.9</v>
      </c>
      <c r="C1487" s="3">
        <v>6.46</v>
      </c>
      <c r="D1487" s="3">
        <v>204.0</v>
      </c>
      <c r="E1487" s="3">
        <v>0.81</v>
      </c>
      <c r="F1487" s="3">
        <v>19.11</v>
      </c>
      <c r="G1487" s="3">
        <v>279.72</v>
      </c>
      <c r="H1487" s="3">
        <v>0.0</v>
      </c>
      <c r="I1487" s="3">
        <v>262.38</v>
      </c>
      <c r="J1487" s="3">
        <v>0.0</v>
      </c>
      <c r="K1487" s="4">
        <f t="shared" si="1"/>
        <v>78608.4705</v>
      </c>
      <c r="L1487" s="4">
        <f t="shared" si="2"/>
        <v>0.529408596</v>
      </c>
    </row>
    <row r="1488">
      <c r="A1488" s="3" t="s">
        <v>118</v>
      </c>
      <c r="B1488" s="3">
        <v>9.9</v>
      </c>
      <c r="C1488" s="3">
        <v>7.18</v>
      </c>
      <c r="D1488" s="3">
        <v>204.0</v>
      </c>
      <c r="E1488" s="3">
        <v>0.65</v>
      </c>
      <c r="F1488" s="3">
        <v>22.51</v>
      </c>
      <c r="G1488" s="3">
        <v>275.62</v>
      </c>
      <c r="H1488" s="3">
        <v>0.0</v>
      </c>
      <c r="I1488" s="3">
        <v>205.49</v>
      </c>
      <c r="J1488" s="3">
        <v>0.0</v>
      </c>
      <c r="K1488" s="4">
        <f t="shared" si="1"/>
        <v>76473.0845</v>
      </c>
      <c r="L1488" s="4">
        <f t="shared" si="2"/>
        <v>0.5441914665</v>
      </c>
    </row>
    <row r="1489">
      <c r="A1489" s="3" t="s">
        <v>118</v>
      </c>
      <c r="B1489" s="3">
        <v>9.9</v>
      </c>
      <c r="C1489" s="3">
        <v>7.91</v>
      </c>
      <c r="D1489" s="3">
        <v>206.0</v>
      </c>
      <c r="E1489" s="3">
        <v>0.66</v>
      </c>
      <c r="F1489" s="3">
        <v>25.8</v>
      </c>
      <c r="G1489" s="3">
        <v>271.43</v>
      </c>
      <c r="H1489" s="3">
        <v>0.0</v>
      </c>
      <c r="I1489" s="3">
        <v>160.87</v>
      </c>
      <c r="J1489" s="3">
        <v>0.0</v>
      </c>
      <c r="K1489" s="4">
        <f t="shared" si="1"/>
        <v>74339.8849</v>
      </c>
      <c r="L1489" s="4">
        <f t="shared" si="2"/>
        <v>0.5708375801</v>
      </c>
    </row>
    <row r="1490">
      <c r="A1490" s="3" t="s">
        <v>118</v>
      </c>
      <c r="B1490" s="3">
        <v>9.9</v>
      </c>
      <c r="C1490" s="3">
        <v>8.62</v>
      </c>
      <c r="D1490" s="3">
        <v>206.0</v>
      </c>
      <c r="E1490" s="3">
        <v>1.54</v>
      </c>
      <c r="F1490" s="3">
        <v>28.49</v>
      </c>
      <c r="G1490" s="3">
        <v>267.09</v>
      </c>
      <c r="H1490" s="3">
        <v>0.0</v>
      </c>
      <c r="I1490" s="3">
        <v>129.11</v>
      </c>
      <c r="J1490" s="3">
        <v>0.0</v>
      </c>
      <c r="K1490" s="4">
        <f t="shared" si="1"/>
        <v>72148.7482</v>
      </c>
      <c r="L1490" s="4">
        <f t="shared" si="2"/>
        <v>0.588173753</v>
      </c>
    </row>
    <row r="1491">
      <c r="A1491" s="3" t="s">
        <v>118</v>
      </c>
      <c r="B1491" s="3">
        <v>9.9</v>
      </c>
      <c r="C1491" s="3">
        <v>11.49</v>
      </c>
      <c r="D1491" s="3">
        <v>206.0</v>
      </c>
      <c r="E1491" s="3">
        <v>1.9</v>
      </c>
      <c r="F1491" s="3">
        <v>33.07</v>
      </c>
      <c r="G1491" s="3">
        <v>245.58</v>
      </c>
      <c r="H1491" s="3">
        <v>0.0</v>
      </c>
      <c r="I1491" s="3">
        <v>52.63</v>
      </c>
      <c r="J1491" s="3">
        <v>0.0</v>
      </c>
      <c r="K1491" s="4">
        <f t="shared" si="1"/>
        <v>61403.1613</v>
      </c>
      <c r="L1491" s="4">
        <f t="shared" si="2"/>
        <v>0.6911044823</v>
      </c>
    </row>
    <row r="1492">
      <c r="A1492" s="3" t="s">
        <v>118</v>
      </c>
      <c r="B1492" s="3">
        <v>9.9</v>
      </c>
      <c r="C1492" s="3">
        <v>14.3</v>
      </c>
      <c r="D1492" s="3">
        <v>206.0</v>
      </c>
      <c r="E1492" s="3">
        <v>0.42</v>
      </c>
      <c r="F1492" s="3">
        <v>45.73</v>
      </c>
      <c r="G1492" s="3">
        <v>225.03</v>
      </c>
      <c r="H1492" s="3">
        <v>0.0</v>
      </c>
      <c r="I1492" s="3">
        <v>25.15</v>
      </c>
      <c r="J1492" s="3">
        <v>0.0</v>
      </c>
      <c r="K1492" s="4">
        <f t="shared" si="1"/>
        <v>52729.7338</v>
      </c>
      <c r="L1492" s="4">
        <f t="shared" si="2"/>
        <v>0.804783126</v>
      </c>
    </row>
    <row r="1493">
      <c r="A1493" s="3" t="s">
        <v>118</v>
      </c>
      <c r="B1493" s="3">
        <v>9.9</v>
      </c>
      <c r="C1493" s="3">
        <v>17.19</v>
      </c>
      <c r="D1493" s="3">
        <v>203.0</v>
      </c>
      <c r="E1493" s="3">
        <v>4.19</v>
      </c>
      <c r="F1493" s="3">
        <v>47.26</v>
      </c>
      <c r="G1493" s="3">
        <v>208.52</v>
      </c>
      <c r="H1493" s="3">
        <v>0.0</v>
      </c>
      <c r="I1493" s="3">
        <v>9.46</v>
      </c>
      <c r="J1493" s="3">
        <v>0.0</v>
      </c>
      <c r="K1493" s="4">
        <f t="shared" si="1"/>
        <v>45714.098</v>
      </c>
      <c r="L1493" s="4">
        <f t="shared" si="2"/>
        <v>0.9014505766</v>
      </c>
    </row>
    <row r="1494">
      <c r="A1494" s="3" t="s">
        <v>118</v>
      </c>
      <c r="B1494" s="3">
        <v>9.9</v>
      </c>
      <c r="C1494" s="3">
        <v>20.07</v>
      </c>
      <c r="D1494" s="3">
        <v>200.0</v>
      </c>
      <c r="E1494" s="3">
        <v>1.23</v>
      </c>
      <c r="F1494" s="3">
        <v>44.56</v>
      </c>
      <c r="G1494" s="3">
        <v>190.41</v>
      </c>
      <c r="H1494" s="3">
        <v>0.0</v>
      </c>
      <c r="I1494" s="3">
        <v>3.58</v>
      </c>
      <c r="J1494" s="3">
        <v>0.0</v>
      </c>
      <c r="K1494" s="4">
        <f t="shared" si="1"/>
        <v>38241.5617</v>
      </c>
      <c r="L1494" s="4">
        <f t="shared" si="2"/>
        <v>1.045982387</v>
      </c>
    </row>
    <row r="1495">
      <c r="A1495" s="3" t="s">
        <v>118</v>
      </c>
      <c r="B1495" s="3">
        <v>9.9</v>
      </c>
      <c r="C1495" s="3">
        <v>22.96</v>
      </c>
      <c r="D1495" s="3">
        <v>194.0</v>
      </c>
      <c r="E1495" s="3">
        <v>4.09</v>
      </c>
      <c r="F1495" s="3">
        <v>40.45</v>
      </c>
      <c r="G1495" s="3">
        <v>175.86</v>
      </c>
      <c r="H1495" s="3">
        <v>0.0</v>
      </c>
      <c r="I1495" s="3">
        <v>1.78</v>
      </c>
      <c r="J1495" s="3">
        <v>0.0</v>
      </c>
      <c r="K1495" s="4">
        <f t="shared" si="1"/>
        <v>32562.9421</v>
      </c>
      <c r="L1495" s="4">
        <f t="shared" si="2"/>
        <v>1.155792369</v>
      </c>
    </row>
    <row r="1496">
      <c r="A1496" s="3" t="s">
        <v>118</v>
      </c>
      <c r="B1496" s="3">
        <v>9.9</v>
      </c>
      <c r="C1496" s="3">
        <v>25.85</v>
      </c>
      <c r="D1496" s="3">
        <v>188.0</v>
      </c>
      <c r="E1496" s="3">
        <v>5.2</v>
      </c>
      <c r="F1496" s="3">
        <v>37.41</v>
      </c>
      <c r="G1496" s="3">
        <v>164.23</v>
      </c>
      <c r="H1496" s="3">
        <v>0.0</v>
      </c>
      <c r="I1496" s="3">
        <v>0.59</v>
      </c>
      <c r="J1496" s="3">
        <v>0.0</v>
      </c>
      <c r="K1496" s="4">
        <f t="shared" si="1"/>
        <v>28371.001</v>
      </c>
      <c r="L1496" s="4">
        <f t="shared" si="2"/>
        <v>1.245779097</v>
      </c>
    </row>
    <row r="1497">
      <c r="A1497" s="3" t="s">
        <v>118</v>
      </c>
      <c r="B1497" s="3">
        <v>9.9</v>
      </c>
      <c r="C1497" s="3">
        <v>28.74</v>
      </c>
      <c r="D1497" s="3">
        <v>184.0</v>
      </c>
      <c r="E1497" s="3">
        <v>1.16</v>
      </c>
      <c r="F1497" s="3">
        <v>38.46</v>
      </c>
      <c r="G1497" s="3">
        <v>154.38</v>
      </c>
      <c r="H1497" s="3">
        <v>0.0</v>
      </c>
      <c r="I1497" s="3">
        <v>0.15</v>
      </c>
      <c r="J1497" s="3">
        <v>0.0</v>
      </c>
      <c r="K1497" s="4">
        <f t="shared" si="1"/>
        <v>25312.356</v>
      </c>
      <c r="L1497" s="4">
        <f t="shared" si="2"/>
        <v>1.337528597</v>
      </c>
    </row>
    <row r="1498">
      <c r="A1498" s="3" t="s">
        <v>118</v>
      </c>
      <c r="B1498" s="3">
        <v>9.9</v>
      </c>
      <c r="C1498" s="3">
        <v>31.62</v>
      </c>
      <c r="D1498" s="3">
        <v>182.0</v>
      </c>
      <c r="E1498" s="3">
        <v>2.47</v>
      </c>
      <c r="F1498" s="3">
        <v>40.22</v>
      </c>
      <c r="G1498" s="3">
        <v>146.2</v>
      </c>
      <c r="H1498" s="3">
        <v>0.0</v>
      </c>
      <c r="I1498" s="3">
        <v>0.09</v>
      </c>
      <c r="J1498" s="3">
        <v>0.0</v>
      </c>
      <c r="K1498" s="4">
        <f t="shared" si="1"/>
        <v>22992.0884</v>
      </c>
      <c r="L1498" s="4">
        <f t="shared" si="2"/>
        <v>1.440669478</v>
      </c>
    </row>
    <row r="1499">
      <c r="A1499" s="3" t="s">
        <v>118</v>
      </c>
      <c r="B1499" s="3">
        <v>9.9</v>
      </c>
      <c r="C1499" s="3">
        <v>34.51</v>
      </c>
      <c r="D1499" s="3">
        <v>180.0</v>
      </c>
      <c r="E1499" s="3">
        <v>3.85</v>
      </c>
      <c r="F1499" s="3">
        <v>42.57</v>
      </c>
      <c r="G1499" s="3">
        <v>139.3</v>
      </c>
      <c r="H1499" s="3">
        <v>0.0</v>
      </c>
      <c r="I1499" s="3">
        <v>0.04</v>
      </c>
      <c r="J1499" s="3">
        <v>0.0</v>
      </c>
      <c r="K1499" s="4">
        <f t="shared" si="1"/>
        <v>21216.6949</v>
      </c>
      <c r="L1499" s="4">
        <f t="shared" si="2"/>
        <v>1.527099303</v>
      </c>
    </row>
    <row r="1500">
      <c r="A1500" s="3" t="s">
        <v>118</v>
      </c>
      <c r="B1500" s="3">
        <v>9.9</v>
      </c>
      <c r="C1500" s="3">
        <v>37.4</v>
      </c>
      <c r="D1500" s="3">
        <v>181.0</v>
      </c>
      <c r="E1500" s="3">
        <v>8.43</v>
      </c>
      <c r="F1500" s="3">
        <v>40.57</v>
      </c>
      <c r="G1500" s="3">
        <v>133.34</v>
      </c>
      <c r="H1500" s="3">
        <v>0.0</v>
      </c>
      <c r="I1500" s="3">
        <v>0.01</v>
      </c>
      <c r="J1500" s="3">
        <v>0.0</v>
      </c>
      <c r="K1500" s="4">
        <f t="shared" si="1"/>
        <v>19425.4805</v>
      </c>
      <c r="L1500" s="4">
        <f t="shared" si="2"/>
        <v>1.686496249</v>
      </c>
    </row>
    <row r="1501">
      <c r="A1501" s="3" t="s">
        <v>118</v>
      </c>
      <c r="B1501" s="3">
        <v>9.9</v>
      </c>
      <c r="C1501" s="3">
        <v>40.29</v>
      </c>
      <c r="D1501" s="3">
        <v>180.0</v>
      </c>
      <c r="E1501" s="3">
        <v>4.55</v>
      </c>
      <c r="F1501" s="3">
        <v>41.86</v>
      </c>
      <c r="G1501" s="3">
        <v>128.12</v>
      </c>
      <c r="H1501" s="3">
        <v>0.0</v>
      </c>
      <c r="I1501" s="3">
        <v>0.01</v>
      </c>
      <c r="J1501" s="3">
        <v>0.0</v>
      </c>
      <c r="K1501" s="4">
        <f t="shared" si="1"/>
        <v>18166.994</v>
      </c>
      <c r="L1501" s="4">
        <f t="shared" si="2"/>
        <v>1.783454104</v>
      </c>
    </row>
    <row r="1502">
      <c r="A1502" s="3" t="s">
        <v>118</v>
      </c>
      <c r="B1502" s="3">
        <v>9.9</v>
      </c>
      <c r="C1502" s="3">
        <v>43.17</v>
      </c>
      <c r="D1502" s="3">
        <v>179.0</v>
      </c>
      <c r="E1502" s="3">
        <v>0.44</v>
      </c>
      <c r="F1502" s="3">
        <v>42.92</v>
      </c>
      <c r="G1502" s="3">
        <v>123.52</v>
      </c>
      <c r="H1502" s="3">
        <v>0.0</v>
      </c>
      <c r="I1502" s="3">
        <v>0.0</v>
      </c>
      <c r="J1502" s="3">
        <v>0.0</v>
      </c>
      <c r="K1502" s="4">
        <f t="shared" si="1"/>
        <v>17099.3168</v>
      </c>
      <c r="L1502" s="4">
        <f t="shared" si="2"/>
        <v>1.873817555</v>
      </c>
    </row>
    <row r="1503">
      <c r="A1503" s="3" t="s">
        <v>118</v>
      </c>
      <c r="B1503" s="3">
        <v>9.9</v>
      </c>
      <c r="C1503" s="3">
        <v>45.92</v>
      </c>
      <c r="D1503" s="3">
        <v>179.0</v>
      </c>
      <c r="E1503" s="3">
        <v>1.96</v>
      </c>
      <c r="F1503" s="3">
        <v>44.68</v>
      </c>
      <c r="G1503" s="3">
        <v>119.59</v>
      </c>
      <c r="H1503" s="3">
        <v>0.0</v>
      </c>
      <c r="I1503" s="3">
        <v>0.0</v>
      </c>
      <c r="J1503" s="3">
        <v>0.0</v>
      </c>
      <c r="K1503" s="4">
        <f t="shared" si="1"/>
        <v>16298.0705</v>
      </c>
      <c r="L1503" s="4">
        <f t="shared" si="2"/>
        <v>1.965938238</v>
      </c>
    </row>
    <row r="1504">
      <c r="A1504" s="3" t="s">
        <v>118</v>
      </c>
      <c r="B1504" s="3">
        <v>9.9</v>
      </c>
      <c r="C1504" s="3">
        <v>48.81</v>
      </c>
      <c r="D1504" s="3">
        <v>179.0</v>
      </c>
      <c r="E1504" s="3">
        <v>2.99</v>
      </c>
      <c r="F1504" s="3">
        <v>44.56</v>
      </c>
      <c r="G1504" s="3">
        <v>115.83</v>
      </c>
      <c r="H1504" s="3">
        <v>0.0</v>
      </c>
      <c r="I1504" s="3">
        <v>0.0</v>
      </c>
      <c r="J1504" s="3">
        <v>0.0</v>
      </c>
      <c r="K1504" s="4">
        <f t="shared" si="1"/>
        <v>15402.1825</v>
      </c>
      <c r="L1504" s="4">
        <f t="shared" si="2"/>
        <v>2.080289595</v>
      </c>
    </row>
    <row r="1505">
      <c r="A1505" s="3" t="s">
        <v>118</v>
      </c>
      <c r="B1505" s="3">
        <v>9.9</v>
      </c>
      <c r="C1505" s="3">
        <v>51.7</v>
      </c>
      <c r="D1505" s="3">
        <v>174.0</v>
      </c>
      <c r="E1505" s="3">
        <v>3.39</v>
      </c>
      <c r="F1505" s="3">
        <v>43.74</v>
      </c>
      <c r="G1505" s="3">
        <v>112.43</v>
      </c>
      <c r="H1505" s="3">
        <v>0.0</v>
      </c>
      <c r="I1505" s="3">
        <v>0.0</v>
      </c>
      <c r="J1505" s="3">
        <v>0.0</v>
      </c>
      <c r="K1505" s="4">
        <f t="shared" si="1"/>
        <v>14553.6925</v>
      </c>
      <c r="L1505" s="4">
        <f t="shared" si="2"/>
        <v>2.080296804</v>
      </c>
    </row>
    <row r="1506">
      <c r="A1506" s="3" t="s">
        <v>118</v>
      </c>
      <c r="B1506" s="3">
        <v>9.9</v>
      </c>
      <c r="C1506" s="3">
        <v>54.59</v>
      </c>
      <c r="D1506" s="3">
        <v>172.0</v>
      </c>
      <c r="E1506" s="3">
        <v>4.84</v>
      </c>
      <c r="F1506" s="3">
        <v>41.74</v>
      </c>
      <c r="G1506" s="3">
        <v>109.32</v>
      </c>
      <c r="H1506" s="3">
        <v>0.0</v>
      </c>
      <c r="I1506" s="3">
        <v>0.0</v>
      </c>
      <c r="J1506" s="3">
        <v>0.0</v>
      </c>
      <c r="K1506" s="4">
        <f t="shared" si="1"/>
        <v>13693.09</v>
      </c>
      <c r="L1506" s="4">
        <f t="shared" si="2"/>
        <v>2.160505773</v>
      </c>
    </row>
    <row r="1507">
      <c r="A1507" s="3" t="s">
        <v>119</v>
      </c>
      <c r="B1507" s="3">
        <v>39.7</v>
      </c>
      <c r="C1507" s="3">
        <v>1.45</v>
      </c>
      <c r="D1507" s="3">
        <v>216.0</v>
      </c>
      <c r="E1507" s="3">
        <v>10.0</v>
      </c>
      <c r="F1507" s="3">
        <v>0.0</v>
      </c>
      <c r="G1507" s="3">
        <v>240.9</v>
      </c>
      <c r="H1507" s="3">
        <v>0.0</v>
      </c>
      <c r="I1507" s="3">
        <v>1579.45</v>
      </c>
      <c r="J1507" s="3">
        <v>0.0</v>
      </c>
      <c r="K1507" s="4">
        <f t="shared" si="1"/>
        <v>58032.81</v>
      </c>
      <c r="L1507" s="4">
        <f t="shared" si="2"/>
        <v>0.8039590018</v>
      </c>
    </row>
    <row r="1508">
      <c r="A1508" s="3" t="s">
        <v>119</v>
      </c>
      <c r="B1508" s="3">
        <v>39.7</v>
      </c>
      <c r="C1508" s="3">
        <v>2.88</v>
      </c>
      <c r="D1508" s="3">
        <v>215.0</v>
      </c>
      <c r="E1508" s="3">
        <v>7.0</v>
      </c>
      <c r="F1508" s="3">
        <v>0.0</v>
      </c>
      <c r="G1508" s="3">
        <v>232.56</v>
      </c>
      <c r="H1508" s="3">
        <v>0.0</v>
      </c>
      <c r="I1508" s="3">
        <v>725.11</v>
      </c>
      <c r="J1508" s="3">
        <v>0.0</v>
      </c>
      <c r="K1508" s="4">
        <f t="shared" si="1"/>
        <v>54084.1536</v>
      </c>
      <c r="L1508" s="4">
        <f t="shared" si="2"/>
        <v>0.854686575</v>
      </c>
    </row>
    <row r="1509">
      <c r="A1509" s="3" t="s">
        <v>119</v>
      </c>
      <c r="B1509" s="3">
        <v>39.7</v>
      </c>
      <c r="C1509" s="3">
        <v>4.33</v>
      </c>
      <c r="D1509" s="3">
        <v>215.0</v>
      </c>
      <c r="E1509" s="3">
        <v>5.0</v>
      </c>
      <c r="F1509" s="3">
        <v>0.0</v>
      </c>
      <c r="G1509" s="3">
        <v>235.54</v>
      </c>
      <c r="H1509" s="3">
        <v>0.0</v>
      </c>
      <c r="I1509" s="3">
        <v>586.66</v>
      </c>
      <c r="J1509" s="3">
        <v>0.0</v>
      </c>
      <c r="K1509" s="4">
        <f t="shared" si="1"/>
        <v>55479.0916</v>
      </c>
      <c r="L1509" s="4">
        <f t="shared" si="2"/>
        <v>0.8331967714</v>
      </c>
    </row>
    <row r="1510">
      <c r="A1510" s="3" t="s">
        <v>119</v>
      </c>
      <c r="B1510" s="3">
        <v>39.7</v>
      </c>
      <c r="C1510" s="3">
        <v>5.78</v>
      </c>
      <c r="D1510" s="3">
        <v>214.0</v>
      </c>
      <c r="E1510" s="3">
        <v>4.0</v>
      </c>
      <c r="F1510" s="3">
        <v>0.0</v>
      </c>
      <c r="G1510" s="3">
        <v>243.76</v>
      </c>
      <c r="H1510" s="3">
        <v>0.0</v>
      </c>
      <c r="I1510" s="3">
        <v>431.16</v>
      </c>
      <c r="J1510" s="3">
        <v>0.0</v>
      </c>
      <c r="K1510" s="4">
        <f t="shared" si="1"/>
        <v>59418.9376</v>
      </c>
      <c r="L1510" s="4">
        <f t="shared" si="2"/>
        <v>0.7707307106</v>
      </c>
    </row>
    <row r="1511">
      <c r="A1511" s="3" t="s">
        <v>119</v>
      </c>
      <c r="B1511" s="3">
        <v>39.7</v>
      </c>
      <c r="C1511" s="3">
        <v>7.22</v>
      </c>
      <c r="D1511" s="3">
        <v>215.0</v>
      </c>
      <c r="E1511" s="3">
        <v>4.0</v>
      </c>
      <c r="F1511" s="3">
        <v>0.0</v>
      </c>
      <c r="G1511" s="3">
        <v>245.32</v>
      </c>
      <c r="H1511" s="3">
        <v>0.0</v>
      </c>
      <c r="I1511" s="3">
        <v>356.04</v>
      </c>
      <c r="J1511" s="3">
        <v>0.0</v>
      </c>
      <c r="K1511" s="4">
        <f t="shared" si="1"/>
        <v>60181.9024</v>
      </c>
      <c r="L1511" s="4">
        <f t="shared" si="2"/>
        <v>0.768088049</v>
      </c>
    </row>
    <row r="1512">
      <c r="A1512" s="3" t="s">
        <v>119</v>
      </c>
      <c r="B1512" s="3">
        <v>39.7</v>
      </c>
      <c r="C1512" s="3">
        <v>8.66</v>
      </c>
      <c r="D1512" s="3">
        <v>221.0</v>
      </c>
      <c r="E1512" s="3">
        <v>3.0</v>
      </c>
      <c r="F1512" s="3">
        <v>0.0</v>
      </c>
      <c r="G1512" s="3">
        <v>253.0</v>
      </c>
      <c r="H1512" s="3">
        <v>0.0</v>
      </c>
      <c r="I1512" s="3">
        <v>328.2</v>
      </c>
      <c r="J1512" s="3">
        <v>0.0</v>
      </c>
      <c r="K1512" s="4">
        <f t="shared" si="1"/>
        <v>64009</v>
      </c>
      <c r="L1512" s="4">
        <f t="shared" si="2"/>
        <v>0.7630333234</v>
      </c>
    </row>
    <row r="1513">
      <c r="A1513" s="3" t="s">
        <v>119</v>
      </c>
      <c r="B1513" s="3">
        <v>39.7</v>
      </c>
      <c r="C1513" s="3">
        <v>11.55</v>
      </c>
      <c r="D1513" s="3">
        <v>233.0</v>
      </c>
      <c r="E1513" s="3">
        <v>3.0</v>
      </c>
      <c r="F1513" s="3">
        <v>11.24</v>
      </c>
      <c r="G1513" s="3">
        <v>281.58</v>
      </c>
      <c r="H1513" s="3">
        <v>0.0</v>
      </c>
      <c r="I1513" s="3">
        <v>253.05</v>
      </c>
      <c r="J1513" s="3">
        <v>0.0</v>
      </c>
      <c r="K1513" s="4">
        <f t="shared" si="1"/>
        <v>79413.634</v>
      </c>
      <c r="L1513" s="4">
        <f t="shared" si="2"/>
        <v>0.6836231673</v>
      </c>
    </row>
    <row r="1514">
      <c r="A1514" s="3" t="s">
        <v>119</v>
      </c>
      <c r="B1514" s="3">
        <v>39.7</v>
      </c>
      <c r="C1514" s="3">
        <v>14.48</v>
      </c>
      <c r="D1514" s="3">
        <v>237.0</v>
      </c>
      <c r="E1514" s="3">
        <v>3.0</v>
      </c>
      <c r="F1514" s="3">
        <v>27.45</v>
      </c>
      <c r="G1514" s="3">
        <v>299.81</v>
      </c>
      <c r="H1514" s="3">
        <v>0.0</v>
      </c>
      <c r="I1514" s="3">
        <v>153.39</v>
      </c>
      <c r="J1514" s="3">
        <v>0.0</v>
      </c>
      <c r="K1514" s="4">
        <f t="shared" si="1"/>
        <v>90639.5386</v>
      </c>
      <c r="L1514" s="4">
        <f t="shared" si="2"/>
        <v>0.6196964467</v>
      </c>
    </row>
    <row r="1515">
      <c r="A1515" s="3" t="s">
        <v>119</v>
      </c>
      <c r="B1515" s="3">
        <v>39.7</v>
      </c>
      <c r="C1515" s="3">
        <v>17.28</v>
      </c>
      <c r="D1515" s="3">
        <v>242.0</v>
      </c>
      <c r="E1515" s="3">
        <v>3.0</v>
      </c>
      <c r="F1515" s="3">
        <v>40.74</v>
      </c>
      <c r="G1515" s="3">
        <v>295.15</v>
      </c>
      <c r="H1515" s="3">
        <v>0.0</v>
      </c>
      <c r="I1515" s="3">
        <v>98.5</v>
      </c>
      <c r="J1515" s="3">
        <v>0.0</v>
      </c>
      <c r="K1515" s="4">
        <f t="shared" si="1"/>
        <v>88773.2701</v>
      </c>
      <c r="L1515" s="4">
        <f t="shared" si="2"/>
        <v>0.6597030833</v>
      </c>
    </row>
    <row r="1516">
      <c r="A1516" s="3" t="s">
        <v>119</v>
      </c>
      <c r="B1516" s="3">
        <v>39.7</v>
      </c>
      <c r="C1516" s="3">
        <v>20.2</v>
      </c>
      <c r="D1516" s="3">
        <v>241.0</v>
      </c>
      <c r="E1516" s="3">
        <v>3.0</v>
      </c>
      <c r="F1516" s="3">
        <v>51.22</v>
      </c>
      <c r="G1516" s="3">
        <v>293.48</v>
      </c>
      <c r="H1516" s="3">
        <v>0.0</v>
      </c>
      <c r="I1516" s="3">
        <v>65.35</v>
      </c>
      <c r="J1516" s="3">
        <v>0.0</v>
      </c>
      <c r="K1516" s="4">
        <f t="shared" si="1"/>
        <v>88753.9988</v>
      </c>
      <c r="L1516" s="4">
        <f t="shared" si="2"/>
        <v>0.6544043174</v>
      </c>
    </row>
    <row r="1517">
      <c r="A1517" s="3" t="s">
        <v>119</v>
      </c>
      <c r="B1517" s="3">
        <v>39.7</v>
      </c>
      <c r="C1517" s="3">
        <v>23.12</v>
      </c>
      <c r="D1517" s="3">
        <v>240.0</v>
      </c>
      <c r="E1517" s="3">
        <v>3.0</v>
      </c>
      <c r="F1517" s="3">
        <v>57.81</v>
      </c>
      <c r="G1517" s="3">
        <v>284.89</v>
      </c>
      <c r="H1517" s="3">
        <v>0.0</v>
      </c>
      <c r="I1517" s="3">
        <v>32.44</v>
      </c>
      <c r="J1517" s="3">
        <v>0.0</v>
      </c>
      <c r="K1517" s="4">
        <f t="shared" si="1"/>
        <v>84504.3082</v>
      </c>
      <c r="L1517" s="4">
        <f t="shared" si="2"/>
        <v>0.6816220525</v>
      </c>
    </row>
    <row r="1518">
      <c r="A1518" s="3" t="s">
        <v>119</v>
      </c>
      <c r="B1518" s="3">
        <v>39.7</v>
      </c>
      <c r="C1518" s="3">
        <v>26.04</v>
      </c>
      <c r="D1518" s="3">
        <v>234.0</v>
      </c>
      <c r="E1518" s="3">
        <v>3.0</v>
      </c>
      <c r="F1518" s="3">
        <v>56.95</v>
      </c>
      <c r="G1518" s="3">
        <v>267.33</v>
      </c>
      <c r="H1518" s="3">
        <v>0.0</v>
      </c>
      <c r="I1518" s="3">
        <v>13.89</v>
      </c>
      <c r="J1518" s="3">
        <v>0.0</v>
      </c>
      <c r="K1518" s="4">
        <f t="shared" si="1"/>
        <v>74708.6314</v>
      </c>
      <c r="L1518" s="4">
        <f t="shared" si="2"/>
        <v>0.7329273603</v>
      </c>
    </row>
    <row r="1519">
      <c r="A1519" s="3" t="s">
        <v>119</v>
      </c>
      <c r="B1519" s="3">
        <v>39.7</v>
      </c>
      <c r="C1519" s="3">
        <v>28.84</v>
      </c>
      <c r="D1519" s="3">
        <v>226.0</v>
      </c>
      <c r="E1519" s="3">
        <v>3.0</v>
      </c>
      <c r="F1519" s="3">
        <v>55.22</v>
      </c>
      <c r="G1519" s="3">
        <v>249.73</v>
      </c>
      <c r="H1519" s="3">
        <v>0.0</v>
      </c>
      <c r="I1519" s="3">
        <v>7.22</v>
      </c>
      <c r="J1519" s="3">
        <v>0.0</v>
      </c>
      <c r="K1519" s="4">
        <f t="shared" si="1"/>
        <v>65414.3213</v>
      </c>
      <c r="L1519" s="4">
        <f t="shared" si="2"/>
        <v>0.7808076119</v>
      </c>
    </row>
    <row r="1520">
      <c r="A1520" s="3" t="s">
        <v>119</v>
      </c>
      <c r="B1520" s="3">
        <v>39.7</v>
      </c>
      <c r="C1520" s="3">
        <v>31.76</v>
      </c>
      <c r="D1520" s="3">
        <v>213.0</v>
      </c>
      <c r="E1520" s="3">
        <v>3.0</v>
      </c>
      <c r="F1520" s="3">
        <v>52.84</v>
      </c>
      <c r="G1520" s="3">
        <v>235.27</v>
      </c>
      <c r="H1520" s="3">
        <v>0.0</v>
      </c>
      <c r="I1520" s="3">
        <v>4.16</v>
      </c>
      <c r="J1520" s="3">
        <v>0.0</v>
      </c>
      <c r="K1520" s="4">
        <f t="shared" si="1"/>
        <v>58144.0385</v>
      </c>
      <c r="L1520" s="4">
        <f t="shared" si="2"/>
        <v>0.7802863573</v>
      </c>
    </row>
    <row r="1521">
      <c r="A1521" s="3" t="s">
        <v>119</v>
      </c>
      <c r="B1521" s="3">
        <v>39.7</v>
      </c>
      <c r="C1521" s="3">
        <v>34.68</v>
      </c>
      <c r="D1521" s="3">
        <v>207.0</v>
      </c>
      <c r="E1521" s="3">
        <v>3.0</v>
      </c>
      <c r="F1521" s="3">
        <v>50.68</v>
      </c>
      <c r="G1521" s="3">
        <v>223.76</v>
      </c>
      <c r="H1521" s="3">
        <v>0.0</v>
      </c>
      <c r="I1521" s="3">
        <v>1.44</v>
      </c>
      <c r="J1521" s="3">
        <v>0.0</v>
      </c>
      <c r="K1521" s="4">
        <f t="shared" si="1"/>
        <v>52637</v>
      </c>
      <c r="L1521" s="4">
        <f t="shared" si="2"/>
        <v>0.8140471531</v>
      </c>
    </row>
    <row r="1522">
      <c r="A1522" s="3" t="s">
        <v>119</v>
      </c>
      <c r="B1522" s="3">
        <v>39.7</v>
      </c>
      <c r="C1522" s="3">
        <v>37.48</v>
      </c>
      <c r="D1522" s="3">
        <v>208.0</v>
      </c>
      <c r="E1522" s="3">
        <v>4.0</v>
      </c>
      <c r="F1522" s="3">
        <v>48.19</v>
      </c>
      <c r="G1522" s="3">
        <v>210.28</v>
      </c>
      <c r="H1522" s="3">
        <v>0.0</v>
      </c>
      <c r="I1522" s="3">
        <v>0.0</v>
      </c>
      <c r="J1522" s="3">
        <v>0.0</v>
      </c>
      <c r="K1522" s="4">
        <f t="shared" si="1"/>
        <v>46539.9545</v>
      </c>
      <c r="L1522" s="4">
        <f t="shared" si="2"/>
        <v>0.9296098474</v>
      </c>
    </row>
    <row r="1523">
      <c r="A1523" s="3" t="s">
        <v>119</v>
      </c>
      <c r="B1523" s="3">
        <v>39.7</v>
      </c>
      <c r="C1523" s="3">
        <v>40.4</v>
      </c>
      <c r="D1523" s="3">
        <v>209.0</v>
      </c>
      <c r="E1523" s="3">
        <v>4.0</v>
      </c>
      <c r="F1523" s="3">
        <v>45.17</v>
      </c>
      <c r="G1523" s="3">
        <v>200.01</v>
      </c>
      <c r="H1523" s="3">
        <v>0.0</v>
      </c>
      <c r="I1523" s="3">
        <v>0.0</v>
      </c>
      <c r="J1523" s="3">
        <v>0.0</v>
      </c>
      <c r="K1523" s="4">
        <f t="shared" si="1"/>
        <v>42044.329</v>
      </c>
      <c r="L1523" s="4">
        <f t="shared" si="2"/>
        <v>1.038927271</v>
      </c>
    </row>
    <row r="1524">
      <c r="A1524" s="3" t="s">
        <v>119</v>
      </c>
      <c r="B1524" s="3">
        <v>39.7</v>
      </c>
      <c r="C1524" s="3">
        <v>43.32</v>
      </c>
      <c r="D1524" s="3">
        <v>207.0</v>
      </c>
      <c r="E1524" s="3">
        <v>4.0</v>
      </c>
      <c r="F1524" s="3">
        <v>42.57</v>
      </c>
      <c r="G1524" s="3">
        <v>191.48</v>
      </c>
      <c r="H1524" s="3">
        <v>0.0</v>
      </c>
      <c r="I1524" s="3">
        <v>0.0</v>
      </c>
      <c r="J1524" s="3">
        <v>0.0</v>
      </c>
      <c r="K1524" s="4">
        <f t="shared" si="1"/>
        <v>38476.7953</v>
      </c>
      <c r="L1524" s="4">
        <f t="shared" si="2"/>
        <v>1.113632247</v>
      </c>
    </row>
    <row r="1525">
      <c r="A1525" s="3" t="s">
        <v>119</v>
      </c>
      <c r="B1525" s="3">
        <v>39.7</v>
      </c>
      <c r="C1525" s="3">
        <v>46.24</v>
      </c>
      <c r="D1525" s="3">
        <v>213.0</v>
      </c>
      <c r="E1525" s="3">
        <v>6.0</v>
      </c>
      <c r="F1525" s="3">
        <v>40.95</v>
      </c>
      <c r="G1525" s="3">
        <v>184.17</v>
      </c>
      <c r="H1525" s="3">
        <v>0.0</v>
      </c>
      <c r="I1525" s="3">
        <v>0.0</v>
      </c>
      <c r="J1525" s="3">
        <v>0.0</v>
      </c>
      <c r="K1525" s="4">
        <f t="shared" si="1"/>
        <v>35595.4914</v>
      </c>
      <c r="L1525" s="4">
        <f t="shared" si="2"/>
        <v>1.274571532</v>
      </c>
    </row>
    <row r="1526">
      <c r="A1526" s="3" t="s">
        <v>120</v>
      </c>
      <c r="B1526" s="3">
        <v>7.06</v>
      </c>
      <c r="C1526" s="3">
        <v>0.09</v>
      </c>
      <c r="D1526" s="3">
        <v>11.2</v>
      </c>
      <c r="E1526" s="3">
        <v>2.02</v>
      </c>
      <c r="F1526" s="3">
        <v>0.32</v>
      </c>
      <c r="G1526" s="3">
        <v>12.72</v>
      </c>
      <c r="H1526" s="3">
        <v>0.0</v>
      </c>
      <c r="I1526" s="3">
        <v>658.83</v>
      </c>
      <c r="J1526" s="3">
        <v>0.0</v>
      </c>
      <c r="K1526" s="4">
        <f t="shared" si="1"/>
        <v>161.9008</v>
      </c>
      <c r="L1526" s="4">
        <f t="shared" si="2"/>
        <v>0.7747954303</v>
      </c>
    </row>
    <row r="1527">
      <c r="A1527" s="3" t="s">
        <v>120</v>
      </c>
      <c r="B1527" s="3">
        <v>7.06</v>
      </c>
      <c r="C1527" s="3">
        <v>0.26</v>
      </c>
      <c r="D1527" s="3">
        <v>26.5</v>
      </c>
      <c r="E1527" s="3">
        <v>1.03</v>
      </c>
      <c r="F1527" s="3">
        <v>0.96</v>
      </c>
      <c r="G1527" s="3">
        <v>26.94</v>
      </c>
      <c r="H1527" s="3">
        <v>0.0</v>
      </c>
      <c r="I1527" s="3">
        <v>391.72</v>
      </c>
      <c r="J1527" s="3">
        <v>0.0</v>
      </c>
      <c r="K1527" s="4">
        <f t="shared" si="1"/>
        <v>726.6852</v>
      </c>
      <c r="L1527" s="4">
        <f t="shared" si="2"/>
        <v>0.9663744356</v>
      </c>
    </row>
    <row r="1528">
      <c r="A1528" s="3" t="s">
        <v>120</v>
      </c>
      <c r="B1528" s="3">
        <v>7.06</v>
      </c>
      <c r="C1528" s="3">
        <v>0.43</v>
      </c>
      <c r="D1528" s="3">
        <v>33.7</v>
      </c>
      <c r="E1528" s="3">
        <v>1.03</v>
      </c>
      <c r="F1528" s="3">
        <v>1.6</v>
      </c>
      <c r="G1528" s="3">
        <v>35.34</v>
      </c>
      <c r="H1528" s="3">
        <v>0.0</v>
      </c>
      <c r="I1528" s="3">
        <v>269.11</v>
      </c>
      <c r="J1528" s="3">
        <v>0.0</v>
      </c>
      <c r="K1528" s="4">
        <f t="shared" si="1"/>
        <v>1251.4756</v>
      </c>
      <c r="L1528" s="4">
        <f t="shared" si="2"/>
        <v>0.9074807371</v>
      </c>
    </row>
    <row r="1529">
      <c r="A1529" s="3" t="s">
        <v>120</v>
      </c>
      <c r="B1529" s="3">
        <v>7.06</v>
      </c>
      <c r="C1529" s="3">
        <v>0.6</v>
      </c>
      <c r="D1529" s="3">
        <v>32.7</v>
      </c>
      <c r="E1529" s="3">
        <v>1.12</v>
      </c>
      <c r="F1529" s="3">
        <v>2.25</v>
      </c>
      <c r="G1529" s="3">
        <v>40.03</v>
      </c>
      <c r="H1529" s="3">
        <v>0.0</v>
      </c>
      <c r="I1529" s="3">
        <v>185.65</v>
      </c>
      <c r="J1529" s="3">
        <v>0.0</v>
      </c>
      <c r="K1529" s="4">
        <f t="shared" si="1"/>
        <v>1607.4634</v>
      </c>
      <c r="L1529" s="4">
        <f t="shared" si="2"/>
        <v>0.6652033259</v>
      </c>
    </row>
    <row r="1530">
      <c r="A1530" s="3" t="s">
        <v>120</v>
      </c>
      <c r="B1530" s="3">
        <v>7.06</v>
      </c>
      <c r="C1530" s="3">
        <v>0.77</v>
      </c>
      <c r="D1530" s="3">
        <v>33.7</v>
      </c>
      <c r="E1530" s="3">
        <v>1.03</v>
      </c>
      <c r="F1530" s="3">
        <v>2.89</v>
      </c>
      <c r="G1530" s="3">
        <v>43.26</v>
      </c>
      <c r="H1530" s="3">
        <v>0.0</v>
      </c>
      <c r="I1530" s="3">
        <v>148.52</v>
      </c>
      <c r="J1530" s="3">
        <v>0.0</v>
      </c>
      <c r="K1530" s="4">
        <f t="shared" si="1"/>
        <v>1879.7797</v>
      </c>
      <c r="L1530" s="4">
        <f t="shared" si="2"/>
        <v>0.6041612217</v>
      </c>
    </row>
    <row r="1531">
      <c r="A1531" s="3" t="s">
        <v>120</v>
      </c>
      <c r="B1531" s="3">
        <v>7.06</v>
      </c>
      <c r="C1531" s="3">
        <v>0.94</v>
      </c>
      <c r="D1531" s="3">
        <v>35.7</v>
      </c>
      <c r="E1531" s="3">
        <v>2.24</v>
      </c>
      <c r="F1531" s="3">
        <v>3.55</v>
      </c>
      <c r="G1531" s="3">
        <v>45.85</v>
      </c>
      <c r="H1531" s="3">
        <v>0.0</v>
      </c>
      <c r="I1531" s="3">
        <v>129.01</v>
      </c>
      <c r="J1531" s="3">
        <v>0.0</v>
      </c>
      <c r="K1531" s="4">
        <f t="shared" si="1"/>
        <v>2114.825</v>
      </c>
      <c r="L1531" s="4">
        <f t="shared" si="2"/>
        <v>0.602645609</v>
      </c>
    </row>
    <row r="1532">
      <c r="A1532" s="3" t="s">
        <v>120</v>
      </c>
      <c r="B1532" s="3">
        <v>7.06</v>
      </c>
      <c r="C1532" s="3">
        <v>1.11</v>
      </c>
      <c r="D1532" s="3">
        <v>37.8</v>
      </c>
      <c r="E1532" s="3">
        <v>3.35</v>
      </c>
      <c r="F1532" s="3">
        <v>4.2</v>
      </c>
      <c r="G1532" s="3">
        <v>48.05</v>
      </c>
      <c r="H1532" s="3">
        <v>0.0</v>
      </c>
      <c r="I1532" s="3">
        <v>100.97</v>
      </c>
      <c r="J1532" s="3">
        <v>0.0</v>
      </c>
      <c r="K1532" s="4">
        <f t="shared" si="1"/>
        <v>2326.4425</v>
      </c>
      <c r="L1532" s="4">
        <f t="shared" si="2"/>
        <v>0.6141737868</v>
      </c>
    </row>
    <row r="1533">
      <c r="A1533" s="3" t="s">
        <v>120</v>
      </c>
      <c r="B1533" s="3">
        <v>7.06</v>
      </c>
      <c r="C1533" s="3">
        <v>1.28</v>
      </c>
      <c r="D1533" s="3">
        <v>41.8</v>
      </c>
      <c r="E1533" s="3">
        <v>3.35</v>
      </c>
      <c r="F1533" s="3">
        <v>4.86</v>
      </c>
      <c r="G1533" s="3">
        <v>48.94</v>
      </c>
      <c r="H1533" s="3">
        <v>0.0</v>
      </c>
      <c r="I1533" s="3">
        <v>87.29</v>
      </c>
      <c r="J1533" s="3">
        <v>0.0</v>
      </c>
      <c r="K1533" s="4">
        <f t="shared" si="1"/>
        <v>2418.7432</v>
      </c>
      <c r="L1533" s="4">
        <f t="shared" si="2"/>
        <v>0.7223751575</v>
      </c>
    </row>
    <row r="1534">
      <c r="A1534" s="3" t="s">
        <v>120</v>
      </c>
      <c r="B1534" s="3">
        <v>7.06</v>
      </c>
      <c r="C1534" s="3">
        <v>1.46</v>
      </c>
      <c r="D1534" s="3">
        <v>43.9</v>
      </c>
      <c r="E1534" s="3">
        <v>2.14</v>
      </c>
      <c r="F1534" s="3">
        <v>5.23</v>
      </c>
      <c r="G1534" s="3">
        <v>50.17</v>
      </c>
      <c r="H1534" s="3">
        <v>0.0</v>
      </c>
      <c r="I1534" s="3">
        <v>78.88</v>
      </c>
      <c r="J1534" s="3">
        <v>0.0</v>
      </c>
      <c r="K1534" s="4">
        <f t="shared" si="1"/>
        <v>2544.3818</v>
      </c>
      <c r="L1534" s="4">
        <f t="shared" si="2"/>
        <v>0.7574374255</v>
      </c>
    </row>
    <row r="1535">
      <c r="A1535" s="3" t="s">
        <v>120</v>
      </c>
      <c r="B1535" s="3">
        <v>7.06</v>
      </c>
      <c r="C1535" s="3">
        <v>1.63</v>
      </c>
      <c r="D1535" s="3">
        <v>44.9</v>
      </c>
      <c r="E1535" s="3">
        <v>1.25</v>
      </c>
      <c r="F1535" s="3">
        <v>5.36</v>
      </c>
      <c r="G1535" s="3">
        <v>51.3</v>
      </c>
      <c r="H1535" s="3">
        <v>0.0</v>
      </c>
      <c r="I1535" s="3">
        <v>68.73</v>
      </c>
      <c r="J1535" s="3">
        <v>0.0</v>
      </c>
      <c r="K1535" s="4">
        <f t="shared" si="1"/>
        <v>2660.4196</v>
      </c>
      <c r="L1535" s="4">
        <f t="shared" si="2"/>
        <v>0.7577789609</v>
      </c>
    </row>
    <row r="1536">
      <c r="A1536" s="3" t="s">
        <v>120</v>
      </c>
      <c r="B1536" s="3">
        <v>7.06</v>
      </c>
      <c r="C1536" s="3">
        <v>2.05</v>
      </c>
      <c r="D1536" s="3">
        <v>53.2</v>
      </c>
      <c r="E1536" s="3">
        <v>1.6</v>
      </c>
      <c r="F1536" s="3">
        <v>5.65</v>
      </c>
      <c r="G1536" s="3">
        <v>53.95</v>
      </c>
      <c r="H1536" s="3">
        <v>0.0</v>
      </c>
      <c r="I1536" s="3">
        <v>54.74</v>
      </c>
      <c r="J1536" s="3">
        <v>0.0</v>
      </c>
      <c r="K1536" s="4">
        <f t="shared" si="1"/>
        <v>2942.525</v>
      </c>
      <c r="L1536" s="4">
        <f t="shared" si="2"/>
        <v>0.9618405961</v>
      </c>
    </row>
    <row r="1537">
      <c r="A1537" s="3" t="s">
        <v>120</v>
      </c>
      <c r="B1537" s="3">
        <v>7.06</v>
      </c>
      <c r="C1537" s="3">
        <v>2.74</v>
      </c>
      <c r="D1537" s="3">
        <v>64.3</v>
      </c>
      <c r="E1537" s="3">
        <v>0.9</v>
      </c>
      <c r="F1537" s="3">
        <v>9.45</v>
      </c>
      <c r="G1537" s="3">
        <v>56.61</v>
      </c>
      <c r="H1537" s="3">
        <v>0.0</v>
      </c>
      <c r="I1537" s="3">
        <v>33.95</v>
      </c>
      <c r="J1537" s="3">
        <v>0.0</v>
      </c>
      <c r="K1537" s="4">
        <f t="shared" si="1"/>
        <v>3293.9946</v>
      </c>
      <c r="L1537" s="4">
        <f t="shared" si="2"/>
        <v>1.25515992</v>
      </c>
    </row>
    <row r="1538">
      <c r="A1538" s="3" t="s">
        <v>120</v>
      </c>
      <c r="B1538" s="3">
        <v>7.06</v>
      </c>
      <c r="C1538" s="3">
        <v>3.42</v>
      </c>
      <c r="D1538" s="3">
        <v>73.1</v>
      </c>
      <c r="E1538" s="3">
        <v>2.4</v>
      </c>
      <c r="F1538" s="3">
        <v>11.66</v>
      </c>
      <c r="G1538" s="3">
        <v>56.83</v>
      </c>
      <c r="H1538" s="3">
        <v>0.0</v>
      </c>
      <c r="I1538" s="3">
        <v>23.05</v>
      </c>
      <c r="J1538" s="3">
        <v>0.0</v>
      </c>
      <c r="K1538" s="4">
        <f t="shared" si="1"/>
        <v>3365.6045</v>
      </c>
      <c r="L1538" s="4">
        <f t="shared" si="2"/>
        <v>1.587711806</v>
      </c>
    </row>
    <row r="1539">
      <c r="A1539" s="3" t="s">
        <v>120</v>
      </c>
      <c r="B1539" s="3">
        <v>7.06</v>
      </c>
      <c r="C1539" s="3">
        <v>4.11</v>
      </c>
      <c r="D1539" s="3">
        <v>76.2</v>
      </c>
      <c r="E1539" s="3">
        <v>4.4</v>
      </c>
      <c r="F1539" s="3">
        <v>15.23</v>
      </c>
      <c r="G1539" s="3">
        <v>58.16</v>
      </c>
      <c r="H1539" s="3">
        <v>0.0</v>
      </c>
      <c r="I1539" s="3">
        <v>15.08</v>
      </c>
      <c r="J1539" s="3">
        <v>0.0</v>
      </c>
      <c r="K1539" s="4">
        <f t="shared" si="1"/>
        <v>3614.5385</v>
      </c>
      <c r="L1539" s="4">
        <f t="shared" si="2"/>
        <v>1.606412548</v>
      </c>
    </row>
    <row r="1540">
      <c r="A1540" s="3" t="s">
        <v>120</v>
      </c>
      <c r="B1540" s="3">
        <v>7.06</v>
      </c>
      <c r="C1540" s="3">
        <v>4.79</v>
      </c>
      <c r="D1540" s="3">
        <v>78.4</v>
      </c>
      <c r="E1540" s="3">
        <v>3.8</v>
      </c>
      <c r="F1540" s="3">
        <v>19.76</v>
      </c>
      <c r="G1540" s="3">
        <v>56.9</v>
      </c>
      <c r="H1540" s="3">
        <v>0.0</v>
      </c>
      <c r="I1540" s="3">
        <v>8.6</v>
      </c>
      <c r="J1540" s="3">
        <v>0.0</v>
      </c>
      <c r="K1540" s="4">
        <f t="shared" si="1"/>
        <v>3628.0676</v>
      </c>
      <c r="L1540" s="4">
        <f t="shared" si="2"/>
        <v>1.694169094</v>
      </c>
    </row>
    <row r="1541">
      <c r="A1541" s="3" t="s">
        <v>120</v>
      </c>
      <c r="B1541" s="3">
        <v>7.06</v>
      </c>
      <c r="C1541" s="3">
        <v>5.48</v>
      </c>
      <c r="D1541" s="3">
        <v>83.1</v>
      </c>
      <c r="E1541" s="3">
        <v>3.1</v>
      </c>
      <c r="F1541" s="3">
        <v>23.04</v>
      </c>
      <c r="G1541" s="3">
        <v>53.88</v>
      </c>
      <c r="H1541" s="3">
        <v>0.0</v>
      </c>
      <c r="I1541" s="3">
        <v>3.37</v>
      </c>
      <c r="J1541" s="3">
        <v>0.0</v>
      </c>
      <c r="K1541" s="4">
        <f t="shared" si="1"/>
        <v>3433.896</v>
      </c>
      <c r="L1541" s="4">
        <f t="shared" si="2"/>
        <v>2.011013147</v>
      </c>
    </row>
    <row r="1542">
      <c r="A1542" s="3" t="s">
        <v>120</v>
      </c>
      <c r="B1542" s="3">
        <v>7.06</v>
      </c>
      <c r="C1542" s="3">
        <v>6.16</v>
      </c>
      <c r="D1542" s="3">
        <v>88.0</v>
      </c>
      <c r="E1542" s="3">
        <v>3.0</v>
      </c>
      <c r="F1542" s="3">
        <v>26.02</v>
      </c>
      <c r="G1542" s="3">
        <v>50.76</v>
      </c>
      <c r="H1542" s="3">
        <v>0.0</v>
      </c>
      <c r="I1542" s="3">
        <v>1.42</v>
      </c>
      <c r="J1542" s="3">
        <v>0.0</v>
      </c>
      <c r="K1542" s="4">
        <f t="shared" si="1"/>
        <v>3253.618</v>
      </c>
      <c r="L1542" s="4">
        <f t="shared" si="2"/>
        <v>2.380119608</v>
      </c>
    </row>
    <row r="1543">
      <c r="A1543" s="3" t="s">
        <v>120</v>
      </c>
      <c r="B1543" s="3">
        <v>7.06</v>
      </c>
      <c r="C1543" s="3">
        <v>6.85</v>
      </c>
      <c r="D1543" s="3">
        <v>89.9</v>
      </c>
      <c r="E1543" s="3">
        <v>2.4</v>
      </c>
      <c r="F1543" s="3">
        <v>27.47</v>
      </c>
      <c r="G1543" s="3">
        <v>47.3</v>
      </c>
      <c r="H1543" s="3">
        <v>0.0</v>
      </c>
      <c r="I1543" s="3">
        <v>0.0</v>
      </c>
      <c r="J1543" s="3">
        <v>0.0</v>
      </c>
      <c r="K1543" s="4">
        <f t="shared" si="1"/>
        <v>2991.8909</v>
      </c>
      <c r="L1543" s="4">
        <f t="shared" si="2"/>
        <v>2.701305051</v>
      </c>
    </row>
    <row r="1544">
      <c r="A1544" s="3" t="s">
        <v>120</v>
      </c>
      <c r="B1544" s="3">
        <v>7.06</v>
      </c>
      <c r="C1544" s="3">
        <v>7.53</v>
      </c>
      <c r="D1544" s="3">
        <v>90.6</v>
      </c>
      <c r="E1544" s="3">
        <v>2.8</v>
      </c>
      <c r="F1544" s="3">
        <v>29.11</v>
      </c>
      <c r="G1544" s="3">
        <v>43.89</v>
      </c>
      <c r="H1544" s="3">
        <v>0.0</v>
      </c>
      <c r="I1544" s="3">
        <v>0.0</v>
      </c>
      <c r="J1544" s="3">
        <v>0.0</v>
      </c>
      <c r="K1544" s="4">
        <f t="shared" si="1"/>
        <v>2773.7242</v>
      </c>
      <c r="L1544" s="4">
        <f t="shared" si="2"/>
        <v>2.959328112</v>
      </c>
    </row>
    <row r="1545">
      <c r="A1545" s="3" t="s">
        <v>120</v>
      </c>
      <c r="B1545" s="3">
        <v>7.06</v>
      </c>
      <c r="C1545" s="3">
        <v>8.21</v>
      </c>
      <c r="D1545" s="3">
        <v>91.6</v>
      </c>
      <c r="E1545" s="3">
        <v>2.6</v>
      </c>
      <c r="F1545" s="3">
        <v>31.03</v>
      </c>
      <c r="G1545" s="3">
        <v>41.41</v>
      </c>
      <c r="H1545" s="3">
        <v>0.0</v>
      </c>
      <c r="I1545" s="3">
        <v>0.0</v>
      </c>
      <c r="J1545" s="3">
        <v>0.0</v>
      </c>
      <c r="K1545" s="4">
        <f t="shared" si="1"/>
        <v>2677.649</v>
      </c>
      <c r="L1545" s="4">
        <f t="shared" si="2"/>
        <v>3.133554846</v>
      </c>
    </row>
    <row r="1546">
      <c r="A1546" s="3" t="s">
        <v>120</v>
      </c>
      <c r="B1546" s="3">
        <v>7.06</v>
      </c>
      <c r="C1546" s="3">
        <v>8.9</v>
      </c>
      <c r="D1546" s="3">
        <v>92.3</v>
      </c>
      <c r="E1546" s="3">
        <v>1.4</v>
      </c>
      <c r="F1546" s="3">
        <v>32.1</v>
      </c>
      <c r="G1546" s="3">
        <v>39.37</v>
      </c>
      <c r="H1546" s="3">
        <v>0.0</v>
      </c>
      <c r="I1546" s="3">
        <v>0.0</v>
      </c>
      <c r="J1546" s="3">
        <v>0.0</v>
      </c>
      <c r="K1546" s="4">
        <f t="shared" si="1"/>
        <v>2580.4069</v>
      </c>
      <c r="L1546" s="4">
        <f t="shared" si="2"/>
        <v>3.301529693</v>
      </c>
    </row>
    <row r="1547">
      <c r="A1547" s="3" t="s">
        <v>120</v>
      </c>
      <c r="B1547" s="3">
        <v>7.06</v>
      </c>
      <c r="C1547" s="3">
        <v>9.57</v>
      </c>
      <c r="D1547" s="3">
        <v>90.9</v>
      </c>
      <c r="E1547" s="3">
        <v>1.0</v>
      </c>
      <c r="F1547" s="3">
        <v>32.38</v>
      </c>
      <c r="G1547" s="3">
        <v>37.7</v>
      </c>
      <c r="H1547" s="3">
        <v>0.0</v>
      </c>
      <c r="I1547" s="3">
        <v>0.0</v>
      </c>
      <c r="J1547" s="3">
        <v>0.0</v>
      </c>
      <c r="K1547" s="4">
        <f t="shared" si="1"/>
        <v>2469.7544</v>
      </c>
      <c r="L1547" s="4">
        <f t="shared" si="2"/>
        <v>3.34559987</v>
      </c>
    </row>
    <row r="1548">
      <c r="A1548" s="3" t="s">
        <v>120</v>
      </c>
      <c r="B1548" s="3">
        <v>7.06</v>
      </c>
      <c r="C1548" s="3">
        <v>10.31</v>
      </c>
      <c r="D1548" s="3">
        <v>89.6</v>
      </c>
      <c r="E1548" s="3">
        <v>2.7</v>
      </c>
      <c r="F1548" s="3">
        <v>32.77</v>
      </c>
      <c r="G1548" s="3">
        <v>36.11</v>
      </c>
      <c r="H1548" s="3">
        <v>0.0</v>
      </c>
      <c r="I1548" s="3">
        <v>0.0</v>
      </c>
      <c r="J1548" s="3">
        <v>0.0</v>
      </c>
      <c r="K1548" s="4">
        <f t="shared" si="1"/>
        <v>2377.805</v>
      </c>
      <c r="L1548" s="4">
        <f t="shared" si="2"/>
        <v>3.376290318</v>
      </c>
    </row>
    <row r="1549">
      <c r="A1549" s="3" t="s">
        <v>120</v>
      </c>
      <c r="B1549" s="3">
        <v>7.06</v>
      </c>
      <c r="C1549" s="3">
        <v>10.96</v>
      </c>
      <c r="D1549" s="3">
        <v>89.4</v>
      </c>
      <c r="E1549" s="3">
        <v>2.7</v>
      </c>
      <c r="F1549" s="3">
        <v>32.48</v>
      </c>
      <c r="G1549" s="3">
        <v>34.88</v>
      </c>
      <c r="H1549" s="3">
        <v>0.0</v>
      </c>
      <c r="I1549" s="3">
        <v>0.0</v>
      </c>
      <c r="J1549" s="3">
        <v>0.0</v>
      </c>
      <c r="K1549" s="4">
        <f t="shared" si="1"/>
        <v>2271.5648</v>
      </c>
      <c r="L1549" s="4">
        <f t="shared" si="2"/>
        <v>3.518438039</v>
      </c>
    </row>
    <row r="1550">
      <c r="A1550" s="3" t="s">
        <v>121</v>
      </c>
      <c r="B1550" s="3">
        <v>17.3</v>
      </c>
      <c r="C1550" s="3">
        <v>5.03</v>
      </c>
      <c r="D1550" s="3">
        <v>214.0</v>
      </c>
      <c r="E1550" s="3">
        <v>6.0</v>
      </c>
      <c r="F1550" s="3">
        <v>0.0</v>
      </c>
      <c r="G1550" s="3">
        <v>178.85</v>
      </c>
      <c r="H1550" s="3">
        <v>0.0</v>
      </c>
      <c r="I1550" s="3">
        <v>374.65</v>
      </c>
      <c r="J1550" s="3">
        <v>0.0</v>
      </c>
      <c r="K1550" s="4">
        <f t="shared" si="1"/>
        <v>31987.3225</v>
      </c>
      <c r="L1550" s="4">
        <f t="shared" si="2"/>
        <v>1.431692196</v>
      </c>
    </row>
    <row r="1551">
      <c r="A1551" s="3" t="s">
        <v>121</v>
      </c>
      <c r="B1551" s="3">
        <v>17.3</v>
      </c>
      <c r="C1551" s="3">
        <v>7.55</v>
      </c>
      <c r="D1551" s="3">
        <v>220.0</v>
      </c>
      <c r="E1551" s="3">
        <v>6.0</v>
      </c>
      <c r="F1551" s="3">
        <v>0.0</v>
      </c>
      <c r="G1551" s="3">
        <v>207.41</v>
      </c>
      <c r="H1551" s="3">
        <v>0.0</v>
      </c>
      <c r="I1551" s="3">
        <v>244.19</v>
      </c>
      <c r="J1551" s="3">
        <v>0.0</v>
      </c>
      <c r="K1551" s="4">
        <f t="shared" si="1"/>
        <v>43018.9081</v>
      </c>
      <c r="L1551" s="4">
        <f t="shared" si="2"/>
        <v>1.125086669</v>
      </c>
    </row>
    <row r="1552">
      <c r="A1552" s="3" t="s">
        <v>121</v>
      </c>
      <c r="B1552" s="3">
        <v>17.3</v>
      </c>
      <c r="C1552" s="3">
        <v>10.07</v>
      </c>
      <c r="D1552" s="3">
        <v>235.0</v>
      </c>
      <c r="E1552" s="3">
        <v>4.0</v>
      </c>
      <c r="F1552" s="3">
        <v>0.0</v>
      </c>
      <c r="G1552" s="3">
        <v>227.06</v>
      </c>
      <c r="H1552" s="3">
        <v>0.0</v>
      </c>
      <c r="I1552" s="3">
        <v>167.7</v>
      </c>
      <c r="J1552" s="3">
        <v>0.0</v>
      </c>
      <c r="K1552" s="4">
        <f t="shared" si="1"/>
        <v>51556.2436</v>
      </c>
      <c r="L1552" s="4">
        <f t="shared" si="2"/>
        <v>1.071160274</v>
      </c>
    </row>
    <row r="1553">
      <c r="A1553" s="3" t="s">
        <v>121</v>
      </c>
      <c r="B1553" s="3">
        <v>17.3</v>
      </c>
      <c r="C1553" s="3">
        <v>12.58</v>
      </c>
      <c r="D1553" s="3">
        <v>235.0</v>
      </c>
      <c r="E1553" s="3">
        <v>4.0</v>
      </c>
      <c r="F1553" s="3">
        <v>16.93</v>
      </c>
      <c r="G1553" s="3">
        <v>232.81</v>
      </c>
      <c r="H1553" s="3">
        <v>0.0</v>
      </c>
      <c r="I1553" s="3">
        <v>90.71</v>
      </c>
      <c r="J1553" s="3">
        <v>0.0</v>
      </c>
      <c r="K1553" s="4">
        <f t="shared" si="1"/>
        <v>54487.121</v>
      </c>
      <c r="L1553" s="4">
        <f t="shared" si="2"/>
        <v>1.013542264</v>
      </c>
    </row>
    <row r="1554">
      <c r="A1554" s="3" t="s">
        <v>121</v>
      </c>
      <c r="B1554" s="3">
        <v>17.3</v>
      </c>
      <c r="C1554" s="3">
        <v>15.1</v>
      </c>
      <c r="D1554" s="3">
        <v>230.0</v>
      </c>
      <c r="E1554" s="3">
        <v>2.0</v>
      </c>
      <c r="F1554" s="3">
        <v>24.45</v>
      </c>
      <c r="G1554" s="3">
        <v>224.63</v>
      </c>
      <c r="H1554" s="3">
        <v>0.0</v>
      </c>
      <c r="I1554" s="3">
        <v>54.89</v>
      </c>
      <c r="J1554" s="3">
        <v>0.0</v>
      </c>
      <c r="K1554" s="4">
        <f t="shared" si="1"/>
        <v>51056.4394</v>
      </c>
      <c r="L1554" s="4">
        <f t="shared" si="2"/>
        <v>1.036108288</v>
      </c>
    </row>
    <row r="1555">
      <c r="A1555" s="3" t="s">
        <v>121</v>
      </c>
      <c r="B1555" s="3">
        <v>17.3</v>
      </c>
      <c r="C1555" s="3">
        <v>17.61</v>
      </c>
      <c r="D1555" s="3">
        <v>231.0</v>
      </c>
      <c r="E1555" s="3">
        <v>2.0</v>
      </c>
      <c r="F1555" s="3">
        <v>31.1</v>
      </c>
      <c r="G1555" s="3">
        <v>217.25</v>
      </c>
      <c r="H1555" s="3">
        <v>0.0</v>
      </c>
      <c r="I1555" s="3">
        <v>36.13</v>
      </c>
      <c r="J1555" s="3">
        <v>0.0</v>
      </c>
      <c r="K1555" s="4">
        <f t="shared" si="1"/>
        <v>48164.7725</v>
      </c>
      <c r="L1555" s="4">
        <f t="shared" si="2"/>
        <v>1.107884398</v>
      </c>
    </row>
    <row r="1556">
      <c r="A1556" s="3" t="s">
        <v>121</v>
      </c>
      <c r="B1556" s="3">
        <v>17.3</v>
      </c>
      <c r="C1556" s="3">
        <v>20.13</v>
      </c>
      <c r="D1556" s="3">
        <v>232.0</v>
      </c>
      <c r="E1556" s="3">
        <v>2.0</v>
      </c>
      <c r="F1556" s="3">
        <v>42.26</v>
      </c>
      <c r="G1556" s="3">
        <v>208.93</v>
      </c>
      <c r="H1556" s="3">
        <v>0.0</v>
      </c>
      <c r="I1556" s="3">
        <v>21.37</v>
      </c>
      <c r="J1556" s="3">
        <v>0.0</v>
      </c>
      <c r="K1556" s="4">
        <f t="shared" si="1"/>
        <v>45437.6525</v>
      </c>
      <c r="L1556" s="4">
        <f t="shared" si="2"/>
        <v>1.184568239</v>
      </c>
    </row>
    <row r="1557">
      <c r="A1557" s="3" t="s">
        <v>121</v>
      </c>
      <c r="B1557" s="3">
        <v>17.3</v>
      </c>
      <c r="C1557" s="3">
        <v>22.65</v>
      </c>
      <c r="D1557" s="3">
        <v>225.0</v>
      </c>
      <c r="E1557" s="3">
        <v>7.0</v>
      </c>
      <c r="F1557" s="3">
        <v>53.67</v>
      </c>
      <c r="G1557" s="3">
        <v>198.38</v>
      </c>
      <c r="H1557" s="3">
        <v>0.0</v>
      </c>
      <c r="I1557" s="3">
        <v>12.2</v>
      </c>
      <c r="J1557" s="3">
        <v>0.0</v>
      </c>
      <c r="K1557" s="4">
        <f t="shared" si="1"/>
        <v>42235.0933</v>
      </c>
      <c r="L1557" s="4">
        <f t="shared" si="2"/>
        <v>1.198647761</v>
      </c>
    </row>
    <row r="1558">
      <c r="A1558" s="3" t="s">
        <v>121</v>
      </c>
      <c r="B1558" s="3">
        <v>17.3</v>
      </c>
      <c r="C1558" s="3">
        <v>25.16</v>
      </c>
      <c r="D1558" s="3">
        <v>224.0</v>
      </c>
      <c r="E1558" s="3">
        <v>7.0</v>
      </c>
      <c r="F1558" s="3">
        <v>49.79</v>
      </c>
      <c r="G1558" s="3">
        <v>187.6</v>
      </c>
      <c r="H1558" s="3">
        <v>0.0</v>
      </c>
      <c r="I1558" s="3">
        <v>7.37</v>
      </c>
      <c r="J1558" s="3">
        <v>0.0</v>
      </c>
      <c r="K1558" s="4">
        <f t="shared" si="1"/>
        <v>37672.8041</v>
      </c>
      <c r="L1558" s="4">
        <f t="shared" si="2"/>
        <v>1.331889176</v>
      </c>
    </row>
    <row r="1559">
      <c r="A1559" s="3" t="s">
        <v>121</v>
      </c>
      <c r="B1559" s="3">
        <v>17.3</v>
      </c>
      <c r="C1559" s="3">
        <v>27.68</v>
      </c>
      <c r="D1559" s="3">
        <v>229.0</v>
      </c>
      <c r="E1559" s="3">
        <v>2.0</v>
      </c>
      <c r="F1559" s="3">
        <v>54.3</v>
      </c>
      <c r="G1559" s="3">
        <v>177.97</v>
      </c>
      <c r="H1559" s="3">
        <v>0.0</v>
      </c>
      <c r="I1559" s="3">
        <v>4.72</v>
      </c>
      <c r="J1559" s="3">
        <v>0.0</v>
      </c>
      <c r="K1559" s="4">
        <f t="shared" si="1"/>
        <v>34621.8109</v>
      </c>
      <c r="L1559" s="4">
        <f t="shared" si="2"/>
        <v>1.514681024</v>
      </c>
    </row>
    <row r="1560">
      <c r="A1560" s="3" t="s">
        <v>121</v>
      </c>
      <c r="B1560" s="3">
        <v>17.3</v>
      </c>
      <c r="C1560" s="3">
        <v>30.2</v>
      </c>
      <c r="D1560" s="3">
        <v>218.0</v>
      </c>
      <c r="E1560" s="3">
        <v>2.0</v>
      </c>
      <c r="F1560" s="3">
        <v>64.08</v>
      </c>
      <c r="G1560" s="3">
        <v>169.55</v>
      </c>
      <c r="H1560" s="3">
        <v>0.0</v>
      </c>
      <c r="I1560" s="3">
        <v>3.15</v>
      </c>
      <c r="J1560" s="3">
        <v>0.0</v>
      </c>
      <c r="K1560" s="4">
        <f t="shared" si="1"/>
        <v>32853.4489</v>
      </c>
      <c r="L1560" s="4">
        <f t="shared" si="2"/>
        <v>1.446545236</v>
      </c>
    </row>
    <row r="1561">
      <c r="A1561" s="3" t="s">
        <v>121</v>
      </c>
      <c r="B1561" s="3">
        <v>17.3</v>
      </c>
      <c r="C1561" s="3">
        <v>32.71</v>
      </c>
      <c r="D1561" s="3">
        <v>214.0</v>
      </c>
      <c r="E1561" s="3">
        <v>2.0</v>
      </c>
      <c r="F1561" s="3">
        <v>61.58</v>
      </c>
      <c r="G1561" s="3">
        <v>162.23</v>
      </c>
      <c r="H1561" s="3">
        <v>0.0</v>
      </c>
      <c r="I1561" s="3">
        <v>2.08</v>
      </c>
      <c r="J1561" s="3">
        <v>0.0</v>
      </c>
      <c r="K1561" s="4">
        <f t="shared" si="1"/>
        <v>30110.6693</v>
      </c>
      <c r="L1561" s="4">
        <f t="shared" si="2"/>
        <v>1.520922685</v>
      </c>
    </row>
    <row r="1562">
      <c r="A1562" s="3" t="s">
        <v>121</v>
      </c>
      <c r="B1562" s="3">
        <v>17.3</v>
      </c>
      <c r="C1562" s="3">
        <v>35.23</v>
      </c>
      <c r="D1562" s="3">
        <v>213.0</v>
      </c>
      <c r="E1562" s="3">
        <v>2.0</v>
      </c>
      <c r="F1562" s="3">
        <v>64.96</v>
      </c>
      <c r="G1562" s="3">
        <v>155.53</v>
      </c>
      <c r="H1562" s="3">
        <v>0.0</v>
      </c>
      <c r="I1562" s="3">
        <v>1.3</v>
      </c>
      <c r="J1562" s="3">
        <v>0.0</v>
      </c>
      <c r="K1562" s="4">
        <f t="shared" si="1"/>
        <v>28409.3825</v>
      </c>
      <c r="L1562" s="4">
        <f t="shared" si="2"/>
        <v>1.596972409</v>
      </c>
    </row>
    <row r="1563">
      <c r="A1563" s="3" t="s">
        <v>121</v>
      </c>
      <c r="B1563" s="3">
        <v>17.3</v>
      </c>
      <c r="C1563" s="3">
        <v>37.75</v>
      </c>
      <c r="D1563" s="3">
        <v>211.0</v>
      </c>
      <c r="E1563" s="3">
        <v>2.0</v>
      </c>
      <c r="F1563" s="3">
        <v>61.95</v>
      </c>
      <c r="G1563" s="3">
        <v>149.39</v>
      </c>
      <c r="H1563" s="3">
        <v>0.0</v>
      </c>
      <c r="I1563" s="3">
        <v>0.8</v>
      </c>
      <c r="J1563" s="3">
        <v>0.0</v>
      </c>
      <c r="K1563" s="4">
        <f t="shared" si="1"/>
        <v>26155.1746</v>
      </c>
      <c r="L1563" s="4">
        <f t="shared" si="2"/>
        <v>1.702187069</v>
      </c>
    </row>
    <row r="1564">
      <c r="A1564" s="3" t="s">
        <v>121</v>
      </c>
      <c r="B1564" s="3">
        <v>17.3</v>
      </c>
      <c r="C1564" s="3">
        <v>40.26</v>
      </c>
      <c r="D1564" s="3">
        <v>217.0</v>
      </c>
      <c r="E1564" s="3">
        <v>2.0</v>
      </c>
      <c r="F1564" s="3">
        <v>63.21</v>
      </c>
      <c r="G1564" s="3">
        <v>143.82</v>
      </c>
      <c r="H1564" s="3">
        <v>0.0</v>
      </c>
      <c r="I1564" s="3">
        <v>0.5</v>
      </c>
      <c r="J1564" s="3">
        <v>0.0</v>
      </c>
      <c r="K1564" s="4">
        <f t="shared" si="1"/>
        <v>24679.6965</v>
      </c>
      <c r="L1564" s="4">
        <f t="shared" si="2"/>
        <v>1.908005635</v>
      </c>
    </row>
    <row r="1565">
      <c r="A1565" s="3" t="s">
        <v>121</v>
      </c>
      <c r="B1565" s="3">
        <v>17.3</v>
      </c>
      <c r="C1565" s="3">
        <v>42.78</v>
      </c>
      <c r="D1565" s="3">
        <v>216.0</v>
      </c>
      <c r="E1565" s="3">
        <v>3.0</v>
      </c>
      <c r="F1565" s="3">
        <v>60.7</v>
      </c>
      <c r="G1565" s="3">
        <v>138.81</v>
      </c>
      <c r="H1565" s="3">
        <v>0.0</v>
      </c>
      <c r="I1565" s="3">
        <v>0.31</v>
      </c>
      <c r="J1565" s="3">
        <v>0.0</v>
      </c>
      <c r="K1565" s="4">
        <f t="shared" si="1"/>
        <v>22952.7061</v>
      </c>
      <c r="L1565" s="4">
        <f t="shared" si="2"/>
        <v>2.032701495</v>
      </c>
    </row>
    <row r="1566">
      <c r="A1566" s="3" t="s">
        <v>121</v>
      </c>
      <c r="B1566" s="3">
        <v>17.3</v>
      </c>
      <c r="C1566" s="3">
        <v>45.29</v>
      </c>
      <c r="D1566" s="3">
        <v>215.0</v>
      </c>
      <c r="E1566" s="3">
        <v>3.0</v>
      </c>
      <c r="F1566" s="3">
        <v>60.57</v>
      </c>
      <c r="G1566" s="3">
        <v>134.25</v>
      </c>
      <c r="H1566" s="3">
        <v>0.0</v>
      </c>
      <c r="I1566" s="3">
        <v>0.2</v>
      </c>
      <c r="J1566" s="3">
        <v>0.0</v>
      </c>
      <c r="K1566" s="4">
        <f t="shared" si="1"/>
        <v>21691.7874</v>
      </c>
      <c r="L1566" s="4">
        <f t="shared" si="2"/>
        <v>2.130990828</v>
      </c>
    </row>
    <row r="1567">
      <c r="A1567" s="3" t="s">
        <v>121</v>
      </c>
      <c r="B1567" s="3">
        <v>17.3</v>
      </c>
      <c r="C1567" s="3">
        <v>47.81</v>
      </c>
      <c r="D1567" s="3">
        <v>217.0</v>
      </c>
      <c r="E1567" s="3">
        <v>5.0</v>
      </c>
      <c r="F1567" s="3">
        <v>60.07</v>
      </c>
      <c r="G1567" s="3">
        <v>130.16</v>
      </c>
      <c r="H1567" s="3">
        <v>0.0</v>
      </c>
      <c r="I1567" s="3">
        <v>0.12</v>
      </c>
      <c r="J1567" s="3">
        <v>0.0</v>
      </c>
      <c r="K1567" s="4">
        <f t="shared" si="1"/>
        <v>20550.0305</v>
      </c>
      <c r="L1567" s="4">
        <f t="shared" si="2"/>
        <v>2.291432122</v>
      </c>
    </row>
    <row r="1568">
      <c r="A1568" s="3" t="s">
        <v>121</v>
      </c>
      <c r="B1568" s="3">
        <v>17.3</v>
      </c>
      <c r="C1568" s="3">
        <v>50.33</v>
      </c>
      <c r="D1568" s="3">
        <v>214.0</v>
      </c>
      <c r="E1568" s="3">
        <v>5.0</v>
      </c>
      <c r="F1568" s="3">
        <v>62.33</v>
      </c>
      <c r="G1568" s="3">
        <v>126.52</v>
      </c>
      <c r="H1568" s="3">
        <v>0.0</v>
      </c>
      <c r="I1568" s="3">
        <v>0.0</v>
      </c>
      <c r="J1568" s="3">
        <v>0.0</v>
      </c>
      <c r="K1568" s="4">
        <f t="shared" si="1"/>
        <v>19892.3393</v>
      </c>
      <c r="L1568" s="4">
        <f t="shared" si="2"/>
        <v>2.302192784</v>
      </c>
    </row>
    <row r="1569">
      <c r="A1569" s="3" t="s">
        <v>122</v>
      </c>
      <c r="B1569" s="3">
        <v>39.7</v>
      </c>
      <c r="C1569" s="3">
        <v>3.54</v>
      </c>
      <c r="D1569" s="3">
        <v>223.0</v>
      </c>
      <c r="E1569" s="3">
        <v>8.0</v>
      </c>
      <c r="F1569" s="3">
        <v>-9.23</v>
      </c>
      <c r="G1569" s="3">
        <v>117.85</v>
      </c>
      <c r="H1569" s="3">
        <v>111.1</v>
      </c>
      <c r="I1569" s="3">
        <v>339.07</v>
      </c>
      <c r="J1569" s="3">
        <v>0.95</v>
      </c>
      <c r="K1569" s="4">
        <f t="shared" si="1"/>
        <v>13973.8154</v>
      </c>
      <c r="L1569" s="4">
        <f t="shared" si="2"/>
        <v>3.558727418</v>
      </c>
    </row>
    <row r="1570">
      <c r="A1570" s="3" t="s">
        <v>122</v>
      </c>
      <c r="B1570" s="3">
        <v>39.7</v>
      </c>
      <c r="C1570" s="3">
        <v>4.23</v>
      </c>
      <c r="D1570" s="3">
        <v>230.0</v>
      </c>
      <c r="E1570" s="3">
        <v>6.13</v>
      </c>
      <c r="F1570" s="3">
        <v>-10.88</v>
      </c>
      <c r="G1570" s="3">
        <v>124.82</v>
      </c>
      <c r="H1570" s="3">
        <v>101.71</v>
      </c>
      <c r="I1570" s="3">
        <v>298.47</v>
      </c>
      <c r="J1570" s="3">
        <v>0.1</v>
      </c>
      <c r="K1570" s="4">
        <f t="shared" si="1"/>
        <v>15698.4068</v>
      </c>
      <c r="L1570" s="4">
        <f t="shared" si="2"/>
        <v>3.369768708</v>
      </c>
    </row>
    <row r="1571">
      <c r="A1571" s="3" t="s">
        <v>122</v>
      </c>
      <c r="B1571" s="3">
        <v>39.7</v>
      </c>
      <c r="C1571" s="3">
        <v>4.97</v>
      </c>
      <c r="D1571" s="3">
        <v>248.0</v>
      </c>
      <c r="E1571" s="3">
        <v>5.1</v>
      </c>
      <c r="F1571" s="3">
        <v>-12.52</v>
      </c>
      <c r="G1571" s="3">
        <v>131.42</v>
      </c>
      <c r="H1571" s="3">
        <v>93.86</v>
      </c>
      <c r="I1571" s="3">
        <v>286.51</v>
      </c>
      <c r="J1571" s="3">
        <v>0.01</v>
      </c>
      <c r="K1571" s="4">
        <f t="shared" si="1"/>
        <v>17427.9668</v>
      </c>
      <c r="L1571" s="4">
        <f t="shared" si="2"/>
        <v>3.529040462</v>
      </c>
    </row>
    <row r="1572">
      <c r="A1572" s="3" t="s">
        <v>122</v>
      </c>
      <c r="B1572" s="3">
        <v>39.7</v>
      </c>
      <c r="C1572" s="3">
        <v>5.74</v>
      </c>
      <c r="D1572" s="3">
        <v>258.0</v>
      </c>
      <c r="E1572" s="3">
        <v>6.6</v>
      </c>
      <c r="F1572" s="3">
        <v>-13.93</v>
      </c>
      <c r="G1572" s="3">
        <v>141.81</v>
      </c>
      <c r="H1572" s="3">
        <v>87.33</v>
      </c>
      <c r="I1572" s="3">
        <v>272.43</v>
      </c>
      <c r="J1572" s="3">
        <v>0.0</v>
      </c>
      <c r="K1572" s="4">
        <f t="shared" si="1"/>
        <v>20304.121</v>
      </c>
      <c r="L1572" s="4">
        <f t="shared" si="2"/>
        <v>3.278349257</v>
      </c>
    </row>
    <row r="1573">
      <c r="A1573" s="3" t="s">
        <v>122</v>
      </c>
      <c r="B1573" s="3">
        <v>39.7</v>
      </c>
      <c r="C1573" s="3">
        <v>6.47</v>
      </c>
      <c r="D1573" s="3">
        <v>263.0</v>
      </c>
      <c r="E1573" s="3">
        <v>7.0</v>
      </c>
      <c r="F1573" s="3">
        <v>-14.91</v>
      </c>
      <c r="G1573" s="3">
        <v>151.83</v>
      </c>
      <c r="H1573" s="3">
        <v>82.27</v>
      </c>
      <c r="I1573" s="3">
        <v>259.83</v>
      </c>
      <c r="J1573" s="3">
        <v>0.0</v>
      </c>
      <c r="K1573" s="4">
        <f t="shared" si="1"/>
        <v>23274.657</v>
      </c>
      <c r="L1573" s="4">
        <f t="shared" si="2"/>
        <v>2.971859048</v>
      </c>
    </row>
    <row r="1574">
      <c r="A1574" s="3" t="s">
        <v>122</v>
      </c>
      <c r="B1574" s="3">
        <v>39.7</v>
      </c>
      <c r="C1574" s="3">
        <v>7.22</v>
      </c>
      <c r="D1574" s="3">
        <v>272.0</v>
      </c>
      <c r="E1574" s="3">
        <v>6.25</v>
      </c>
      <c r="F1574" s="3">
        <v>-15.46</v>
      </c>
      <c r="G1574" s="3">
        <v>163.57</v>
      </c>
      <c r="H1574" s="3">
        <v>77.87</v>
      </c>
      <c r="I1574" s="3">
        <v>245.34</v>
      </c>
      <c r="J1574" s="3">
        <v>0.0</v>
      </c>
      <c r="K1574" s="4">
        <f t="shared" si="1"/>
        <v>26994.1565</v>
      </c>
      <c r="L1574" s="4">
        <f t="shared" si="2"/>
        <v>2.740741316</v>
      </c>
    </row>
    <row r="1575">
      <c r="A1575" s="3" t="s">
        <v>122</v>
      </c>
      <c r="B1575" s="3">
        <v>39.7</v>
      </c>
      <c r="C1575" s="3">
        <v>8.02</v>
      </c>
      <c r="D1575" s="3">
        <v>287.0</v>
      </c>
      <c r="E1575" s="3">
        <v>4.01</v>
      </c>
      <c r="F1575" s="3">
        <v>-16.0</v>
      </c>
      <c r="G1575" s="3">
        <v>173.43</v>
      </c>
      <c r="H1575" s="3">
        <v>73.88</v>
      </c>
      <c r="I1575" s="3">
        <v>221.13</v>
      </c>
      <c r="J1575" s="3">
        <v>0.0</v>
      </c>
      <c r="K1575" s="4">
        <f t="shared" si="1"/>
        <v>30333.9649</v>
      </c>
      <c r="L1575" s="4">
        <f t="shared" si="2"/>
        <v>2.715405001</v>
      </c>
    </row>
    <row r="1576">
      <c r="A1576" s="3" t="s">
        <v>122</v>
      </c>
      <c r="B1576" s="3">
        <v>39.7</v>
      </c>
      <c r="C1576" s="3">
        <v>8.79</v>
      </c>
      <c r="D1576" s="3">
        <v>289.0</v>
      </c>
      <c r="E1576" s="3">
        <v>7.25</v>
      </c>
      <c r="F1576" s="3">
        <v>-16.33</v>
      </c>
      <c r="G1576" s="3">
        <v>181.85</v>
      </c>
      <c r="H1576" s="3">
        <v>70.57</v>
      </c>
      <c r="I1576" s="3">
        <v>206.96</v>
      </c>
      <c r="J1576" s="3">
        <v>0.0</v>
      </c>
      <c r="K1576" s="4">
        <f t="shared" si="1"/>
        <v>33336.0914</v>
      </c>
      <c r="L1576" s="4">
        <f t="shared" si="2"/>
        <v>2.505422696</v>
      </c>
    </row>
    <row r="1577">
      <c r="A1577" s="3" t="s">
        <v>122</v>
      </c>
      <c r="B1577" s="3">
        <v>39.7</v>
      </c>
      <c r="C1577" s="3">
        <v>9.5</v>
      </c>
      <c r="D1577" s="3">
        <v>292.0</v>
      </c>
      <c r="E1577" s="3">
        <v>6.93</v>
      </c>
      <c r="F1577" s="3">
        <v>-16.22</v>
      </c>
      <c r="G1577" s="3">
        <v>190.1</v>
      </c>
      <c r="H1577" s="3">
        <v>67.89</v>
      </c>
      <c r="I1577" s="3">
        <v>195.87</v>
      </c>
      <c r="J1577" s="3">
        <v>0.0</v>
      </c>
      <c r="K1577" s="4">
        <f t="shared" si="1"/>
        <v>36401.0984</v>
      </c>
      <c r="L1577" s="4">
        <f t="shared" si="2"/>
        <v>2.3423469</v>
      </c>
    </row>
    <row r="1578">
      <c r="A1578" s="3" t="s">
        <v>122</v>
      </c>
      <c r="B1578" s="3">
        <v>39.7</v>
      </c>
      <c r="C1578" s="3">
        <v>10.27</v>
      </c>
      <c r="D1578" s="3">
        <v>302.0</v>
      </c>
      <c r="E1578" s="3">
        <v>10.4</v>
      </c>
      <c r="F1578" s="3">
        <v>-15.46</v>
      </c>
      <c r="G1578" s="3">
        <v>200.43</v>
      </c>
      <c r="H1578" s="3">
        <v>65.29</v>
      </c>
      <c r="I1578" s="3">
        <v>182.8</v>
      </c>
      <c r="J1578" s="3">
        <v>0.0</v>
      </c>
      <c r="K1578" s="4">
        <f t="shared" si="1"/>
        <v>40411.1965</v>
      </c>
      <c r="L1578" s="4">
        <f t="shared" si="2"/>
        <v>2.256899273</v>
      </c>
    </row>
    <row r="1579">
      <c r="A1579" s="3" t="s">
        <v>122</v>
      </c>
      <c r="B1579" s="3">
        <v>39.7</v>
      </c>
      <c r="C1579" s="3">
        <v>11.08</v>
      </c>
      <c r="D1579" s="3">
        <v>302.0</v>
      </c>
      <c r="E1579" s="3">
        <v>10.3</v>
      </c>
      <c r="F1579" s="3">
        <v>-13.5</v>
      </c>
      <c r="G1579" s="3">
        <v>209.52</v>
      </c>
      <c r="H1579" s="3">
        <v>62.86</v>
      </c>
      <c r="I1579" s="3">
        <v>157.0</v>
      </c>
      <c r="J1579" s="3">
        <v>0.0</v>
      </c>
      <c r="K1579" s="4">
        <f t="shared" si="1"/>
        <v>44080.8804</v>
      </c>
      <c r="L1579" s="4">
        <f t="shared" si="2"/>
        <v>2.069014937</v>
      </c>
    </row>
    <row r="1580">
      <c r="A1580" s="3" t="s">
        <v>122</v>
      </c>
      <c r="B1580" s="3">
        <v>39.7</v>
      </c>
      <c r="C1580" s="3">
        <v>11.82</v>
      </c>
      <c r="D1580" s="3">
        <v>304.0</v>
      </c>
      <c r="E1580" s="3">
        <v>10.4</v>
      </c>
      <c r="F1580" s="3">
        <v>-9.2</v>
      </c>
      <c r="G1580" s="3">
        <v>214.14</v>
      </c>
      <c r="H1580" s="3">
        <v>60.86</v>
      </c>
      <c r="I1580" s="3">
        <v>137.98</v>
      </c>
      <c r="J1580" s="3">
        <v>0.0</v>
      </c>
      <c r="K1580" s="4">
        <f t="shared" si="1"/>
        <v>45940.5796</v>
      </c>
      <c r="L1580" s="4">
        <f t="shared" si="2"/>
        <v>2.011642012</v>
      </c>
    </row>
    <row r="1581">
      <c r="A1581" s="3" t="s">
        <v>122</v>
      </c>
      <c r="B1581" s="3">
        <v>39.7</v>
      </c>
      <c r="C1581" s="3">
        <v>12.56</v>
      </c>
      <c r="D1581" s="3">
        <v>303.0</v>
      </c>
      <c r="E1581" s="3">
        <v>10.4</v>
      </c>
      <c r="F1581" s="3">
        <v>5.72</v>
      </c>
      <c r="G1581" s="3">
        <v>217.36</v>
      </c>
      <c r="H1581" s="3">
        <v>59.04</v>
      </c>
      <c r="I1581" s="3">
        <v>121.99</v>
      </c>
      <c r="J1581" s="3">
        <v>0.0</v>
      </c>
      <c r="K1581" s="4">
        <f t="shared" si="1"/>
        <v>47278.088</v>
      </c>
      <c r="L1581" s="4">
        <f t="shared" si="2"/>
        <v>1.941893251</v>
      </c>
    </row>
    <row r="1582">
      <c r="A1582" s="3" t="s">
        <v>122</v>
      </c>
      <c r="B1582" s="3">
        <v>39.7</v>
      </c>
      <c r="C1582" s="3">
        <v>13.39</v>
      </c>
      <c r="D1582" s="3">
        <v>305.0</v>
      </c>
      <c r="E1582" s="3">
        <v>10.1</v>
      </c>
      <c r="F1582" s="3">
        <v>13.39</v>
      </c>
      <c r="G1582" s="3">
        <v>220.24</v>
      </c>
      <c r="H1582" s="3">
        <v>57.18</v>
      </c>
      <c r="I1582" s="3">
        <v>107.78</v>
      </c>
      <c r="J1582" s="3">
        <v>0.0</v>
      </c>
      <c r="K1582" s="4">
        <f t="shared" si="1"/>
        <v>48684.9497</v>
      </c>
      <c r="L1582" s="4">
        <f t="shared" si="2"/>
        <v>1.910754773</v>
      </c>
    </row>
    <row r="1583">
      <c r="A1583" s="3" t="s">
        <v>122</v>
      </c>
      <c r="B1583" s="3">
        <v>39.7</v>
      </c>
      <c r="C1583" s="3">
        <v>14.1</v>
      </c>
      <c r="D1583" s="3">
        <v>300.0</v>
      </c>
      <c r="E1583" s="3">
        <v>8.78</v>
      </c>
      <c r="F1583" s="3">
        <v>17.64</v>
      </c>
      <c r="G1583" s="3">
        <v>222.33</v>
      </c>
      <c r="H1583" s="3">
        <v>55.72</v>
      </c>
      <c r="I1583" s="3">
        <v>94.35</v>
      </c>
      <c r="J1583" s="3">
        <v>0.0</v>
      </c>
      <c r="K1583" s="4">
        <f t="shared" si="1"/>
        <v>49741.7985</v>
      </c>
      <c r="L1583" s="4">
        <f t="shared" si="2"/>
        <v>1.809343504</v>
      </c>
    </row>
    <row r="1584">
      <c r="A1584" s="3" t="s">
        <v>122</v>
      </c>
      <c r="B1584" s="3">
        <v>39.7</v>
      </c>
      <c r="C1584" s="3">
        <v>14.93</v>
      </c>
      <c r="D1584" s="3">
        <v>295.0</v>
      </c>
      <c r="E1584" s="3">
        <v>9.72</v>
      </c>
      <c r="F1584" s="3">
        <v>21.66</v>
      </c>
      <c r="G1584" s="3">
        <v>222.27</v>
      </c>
      <c r="H1584" s="3">
        <v>54.15</v>
      </c>
      <c r="I1584" s="3">
        <v>78.95</v>
      </c>
      <c r="J1584" s="3">
        <v>0.0</v>
      </c>
      <c r="K1584" s="4">
        <f t="shared" si="1"/>
        <v>49873.1085</v>
      </c>
      <c r="L1584" s="4">
        <f t="shared" si="2"/>
        <v>1.744928331</v>
      </c>
    </row>
    <row r="1585">
      <c r="A1585" s="3" t="s">
        <v>122</v>
      </c>
      <c r="B1585" s="3">
        <v>39.7</v>
      </c>
      <c r="C1585" s="3">
        <v>15.64</v>
      </c>
      <c r="D1585" s="3">
        <v>294.0</v>
      </c>
      <c r="E1585" s="3">
        <v>5.32</v>
      </c>
      <c r="F1585" s="3">
        <v>24.38</v>
      </c>
      <c r="G1585" s="3">
        <v>221.26</v>
      </c>
      <c r="H1585" s="3">
        <v>52.91</v>
      </c>
      <c r="I1585" s="3">
        <v>70.86</v>
      </c>
      <c r="J1585" s="3">
        <v>0.0</v>
      </c>
      <c r="K1585" s="4">
        <f t="shared" si="1"/>
        <v>49550.372</v>
      </c>
      <c r="L1585" s="4">
        <f t="shared" si="2"/>
        <v>1.744406682</v>
      </c>
    </row>
    <row r="1586">
      <c r="A1586" s="3" t="s">
        <v>122</v>
      </c>
      <c r="B1586" s="3">
        <v>39.7</v>
      </c>
      <c r="C1586" s="3">
        <v>16.35</v>
      </c>
      <c r="D1586" s="3">
        <v>290.0</v>
      </c>
      <c r="E1586" s="3">
        <v>5.32</v>
      </c>
      <c r="F1586" s="3">
        <v>26.24</v>
      </c>
      <c r="G1586" s="3">
        <v>221.1</v>
      </c>
      <c r="H1586" s="3">
        <v>51.75</v>
      </c>
      <c r="I1586" s="3">
        <v>65.3</v>
      </c>
      <c r="J1586" s="3">
        <v>0.0</v>
      </c>
      <c r="K1586" s="4">
        <f t="shared" si="1"/>
        <v>49573.7476</v>
      </c>
      <c r="L1586" s="4">
        <f t="shared" si="2"/>
        <v>1.696462424</v>
      </c>
    </row>
    <row r="1587">
      <c r="A1587" s="3" t="s">
        <v>122</v>
      </c>
      <c r="B1587" s="3">
        <v>39.7</v>
      </c>
      <c r="C1587" s="3">
        <v>17.18</v>
      </c>
      <c r="D1587" s="3">
        <v>291.0</v>
      </c>
      <c r="E1587" s="3">
        <v>4.03</v>
      </c>
      <c r="F1587" s="3">
        <v>27.98</v>
      </c>
      <c r="G1587" s="3">
        <v>220.98</v>
      </c>
      <c r="H1587" s="3">
        <v>50.48</v>
      </c>
      <c r="I1587" s="3">
        <v>55.24</v>
      </c>
      <c r="J1587" s="3">
        <v>0.0</v>
      </c>
      <c r="K1587" s="4">
        <f t="shared" si="1"/>
        <v>49615.0408</v>
      </c>
      <c r="L1587" s="4">
        <f t="shared" si="2"/>
        <v>1.706760664</v>
      </c>
    </row>
    <row r="1588">
      <c r="A1588" s="3" t="s">
        <v>122</v>
      </c>
      <c r="B1588" s="3">
        <v>39.7</v>
      </c>
      <c r="C1588" s="3">
        <v>17.89</v>
      </c>
      <c r="D1588" s="3">
        <v>286.0</v>
      </c>
      <c r="E1588" s="3">
        <v>3.25</v>
      </c>
      <c r="F1588" s="3">
        <v>29.72</v>
      </c>
      <c r="G1588" s="3">
        <v>218.99</v>
      </c>
      <c r="H1588" s="3">
        <v>49.47</v>
      </c>
      <c r="I1588" s="3">
        <v>45.95</v>
      </c>
      <c r="J1588" s="3">
        <v>0.0</v>
      </c>
      <c r="K1588" s="4">
        <f t="shared" si="1"/>
        <v>48839.8985</v>
      </c>
      <c r="L1588" s="4">
        <f t="shared" si="2"/>
        <v>1.674778255</v>
      </c>
    </row>
    <row r="1589">
      <c r="A1589" s="3" t="s">
        <v>122</v>
      </c>
      <c r="B1589" s="3">
        <v>39.7</v>
      </c>
      <c r="C1589" s="3">
        <v>18.72</v>
      </c>
      <c r="D1589" s="3">
        <v>287.0</v>
      </c>
      <c r="E1589" s="3">
        <v>3.61</v>
      </c>
      <c r="F1589" s="3">
        <v>31.57</v>
      </c>
      <c r="G1589" s="3">
        <v>215.15</v>
      </c>
      <c r="H1589" s="3">
        <v>48.36</v>
      </c>
      <c r="I1589" s="3">
        <v>40.15</v>
      </c>
      <c r="J1589" s="3">
        <v>0.0</v>
      </c>
      <c r="K1589" s="4">
        <f t="shared" si="1"/>
        <v>47286.1874</v>
      </c>
      <c r="L1589" s="4">
        <f t="shared" si="2"/>
        <v>1.741925169</v>
      </c>
    </row>
    <row r="1590">
      <c r="A1590" s="3" t="s">
        <v>122</v>
      </c>
      <c r="B1590" s="3">
        <v>39.7</v>
      </c>
      <c r="C1590" s="3">
        <v>19.44</v>
      </c>
      <c r="D1590" s="3">
        <v>294.0</v>
      </c>
      <c r="E1590" s="3">
        <v>3.35</v>
      </c>
      <c r="F1590" s="3">
        <v>33.2</v>
      </c>
      <c r="G1590" s="3">
        <v>212.39</v>
      </c>
      <c r="H1590" s="3">
        <v>47.46</v>
      </c>
      <c r="I1590" s="3">
        <v>37.57</v>
      </c>
      <c r="J1590" s="3">
        <v>0.0</v>
      </c>
      <c r="K1590" s="4">
        <f t="shared" si="1"/>
        <v>46211.7521</v>
      </c>
      <c r="L1590" s="4">
        <f t="shared" si="2"/>
        <v>1.8704333</v>
      </c>
    </row>
    <row r="1591">
      <c r="A1591" s="3" t="s">
        <v>122</v>
      </c>
      <c r="B1591" s="3">
        <v>39.7</v>
      </c>
      <c r="C1591" s="3">
        <v>20.26</v>
      </c>
      <c r="D1591" s="3">
        <v>290.0</v>
      </c>
      <c r="E1591" s="3">
        <v>3.75</v>
      </c>
      <c r="F1591" s="3">
        <v>35.16</v>
      </c>
      <c r="G1591" s="3">
        <v>210.49</v>
      </c>
      <c r="H1591" s="3">
        <v>46.49</v>
      </c>
      <c r="I1591" s="3">
        <v>34.32</v>
      </c>
      <c r="J1591" s="3">
        <v>0.0</v>
      </c>
      <c r="K1591" s="4">
        <f t="shared" si="1"/>
        <v>45542.2657</v>
      </c>
      <c r="L1591" s="4">
        <f t="shared" si="2"/>
        <v>1.846636277</v>
      </c>
    </row>
    <row r="1592">
      <c r="A1592" s="3" t="s">
        <v>122</v>
      </c>
      <c r="B1592" s="3">
        <v>39.7</v>
      </c>
      <c r="C1592" s="3">
        <v>20.98</v>
      </c>
      <c r="D1592" s="3">
        <v>288.0</v>
      </c>
      <c r="E1592" s="3">
        <v>3.04</v>
      </c>
      <c r="F1592" s="3">
        <v>37.01</v>
      </c>
      <c r="G1592" s="3">
        <v>208.75</v>
      </c>
      <c r="H1592" s="3">
        <v>45.68</v>
      </c>
      <c r="I1592" s="3">
        <v>31.09</v>
      </c>
      <c r="J1592" s="3">
        <v>0.0</v>
      </c>
      <c r="K1592" s="4">
        <f t="shared" si="1"/>
        <v>44946.3026</v>
      </c>
      <c r="L1592" s="4">
        <f t="shared" si="2"/>
        <v>1.845402073</v>
      </c>
    </row>
    <row r="1593">
      <c r="A1593" s="3" t="s">
        <v>122</v>
      </c>
      <c r="B1593" s="3">
        <v>39.7</v>
      </c>
      <c r="C1593" s="3">
        <v>21.69</v>
      </c>
      <c r="D1593" s="3">
        <v>290.0</v>
      </c>
      <c r="E1593" s="3">
        <v>6.4</v>
      </c>
      <c r="F1593" s="3">
        <v>38.65</v>
      </c>
      <c r="G1593" s="3">
        <v>206.74</v>
      </c>
      <c r="H1593" s="3">
        <v>44.93</v>
      </c>
      <c r="I1593" s="3">
        <v>28.12</v>
      </c>
      <c r="J1593" s="3">
        <v>0.0</v>
      </c>
      <c r="K1593" s="4">
        <f t="shared" si="1"/>
        <v>44235.2501</v>
      </c>
      <c r="L1593" s="4">
        <f t="shared" si="2"/>
        <v>1.9011987</v>
      </c>
    </row>
    <row r="1594">
      <c r="A1594" s="3" t="s">
        <v>122</v>
      </c>
      <c r="B1594" s="3">
        <v>39.7</v>
      </c>
      <c r="C1594" s="3">
        <v>22.52</v>
      </c>
      <c r="D1594" s="3">
        <v>294.0</v>
      </c>
      <c r="E1594" s="3">
        <v>4.19</v>
      </c>
      <c r="F1594" s="3">
        <v>40.5</v>
      </c>
      <c r="G1594" s="3">
        <v>204.38</v>
      </c>
      <c r="H1594" s="3">
        <v>44.09</v>
      </c>
      <c r="I1594" s="3">
        <v>25.48</v>
      </c>
      <c r="J1594" s="3">
        <v>0.0</v>
      </c>
      <c r="K1594" s="4">
        <f t="shared" si="1"/>
        <v>43411.4344</v>
      </c>
      <c r="L1594" s="4">
        <f t="shared" si="2"/>
        <v>1.99108832</v>
      </c>
    </row>
    <row r="1595">
      <c r="A1595" s="3" t="s">
        <v>122</v>
      </c>
      <c r="B1595" s="3">
        <v>39.7</v>
      </c>
      <c r="C1595" s="3">
        <v>23.23</v>
      </c>
      <c r="D1595" s="3">
        <v>297.0</v>
      </c>
      <c r="E1595" s="3">
        <v>4.12</v>
      </c>
      <c r="F1595" s="3">
        <v>41.91</v>
      </c>
      <c r="G1595" s="3">
        <v>202.43</v>
      </c>
      <c r="H1595" s="3">
        <v>43.41</v>
      </c>
      <c r="I1595" s="3">
        <v>23.71</v>
      </c>
      <c r="J1595" s="3">
        <v>0.0</v>
      </c>
      <c r="K1595" s="4">
        <f t="shared" si="1"/>
        <v>42734.353</v>
      </c>
      <c r="L1595" s="4">
        <f t="shared" si="2"/>
        <v>2.064123915</v>
      </c>
    </row>
    <row r="1596">
      <c r="A1596" s="3" t="s">
        <v>122</v>
      </c>
      <c r="B1596" s="3">
        <v>39.7</v>
      </c>
      <c r="C1596" s="3">
        <v>24.06</v>
      </c>
      <c r="D1596" s="3">
        <v>293.0</v>
      </c>
      <c r="E1596" s="3">
        <v>5.15</v>
      </c>
      <c r="F1596" s="3">
        <v>43.22</v>
      </c>
      <c r="G1596" s="3">
        <v>200.72</v>
      </c>
      <c r="H1596" s="3">
        <v>42.66</v>
      </c>
      <c r="I1596" s="3">
        <v>22.0</v>
      </c>
      <c r="J1596" s="3">
        <v>0.0</v>
      </c>
      <c r="K1596" s="4">
        <f t="shared" si="1"/>
        <v>42156.4868</v>
      </c>
      <c r="L1596" s="4">
        <f t="shared" si="2"/>
        <v>2.0364363</v>
      </c>
    </row>
    <row r="1597">
      <c r="A1597" s="3" t="s">
        <v>122</v>
      </c>
      <c r="B1597" s="3">
        <v>39.7</v>
      </c>
      <c r="C1597" s="3">
        <v>24.77</v>
      </c>
      <c r="D1597" s="3">
        <v>291.0</v>
      </c>
      <c r="E1597" s="3">
        <v>6.21</v>
      </c>
      <c r="F1597" s="3">
        <v>44.2</v>
      </c>
      <c r="G1597" s="3">
        <v>199.42</v>
      </c>
      <c r="H1597" s="3">
        <v>42.04</v>
      </c>
      <c r="I1597" s="3">
        <v>20.53</v>
      </c>
      <c r="J1597" s="3">
        <v>0.0</v>
      </c>
      <c r="K1597" s="4">
        <f t="shared" si="1"/>
        <v>41721.9764</v>
      </c>
      <c r="L1597" s="4">
        <f t="shared" si="2"/>
        <v>2.029649775</v>
      </c>
    </row>
    <row r="1598">
      <c r="A1598" s="3" t="s">
        <v>122</v>
      </c>
      <c r="B1598" s="3">
        <v>39.7</v>
      </c>
      <c r="C1598" s="3">
        <v>25.95</v>
      </c>
      <c r="D1598" s="3">
        <v>297.0</v>
      </c>
      <c r="E1598" s="3">
        <v>4.0</v>
      </c>
      <c r="F1598" s="3">
        <v>45.18</v>
      </c>
      <c r="G1598" s="3">
        <v>197.86</v>
      </c>
      <c r="H1598" s="3">
        <v>41.07</v>
      </c>
      <c r="I1598" s="3">
        <v>18.46</v>
      </c>
      <c r="J1598" s="3">
        <v>0.0</v>
      </c>
      <c r="K1598" s="4">
        <f t="shared" si="1"/>
        <v>41189.812</v>
      </c>
      <c r="L1598" s="4">
        <f t="shared" si="2"/>
        <v>2.141524705</v>
      </c>
    </row>
    <row r="1599">
      <c r="A1599" s="3" t="s">
        <v>122</v>
      </c>
      <c r="B1599" s="3">
        <v>39.7</v>
      </c>
      <c r="C1599" s="3">
        <v>28.92</v>
      </c>
      <c r="D1599" s="3">
        <v>292.0</v>
      </c>
      <c r="E1599" s="3">
        <v>4.0</v>
      </c>
      <c r="F1599" s="3">
        <v>43.33</v>
      </c>
      <c r="G1599" s="3">
        <v>193.43</v>
      </c>
      <c r="H1599" s="3">
        <v>38.91</v>
      </c>
      <c r="I1599" s="3">
        <v>10.08</v>
      </c>
      <c r="J1599" s="3">
        <v>0.0</v>
      </c>
      <c r="K1599" s="4">
        <f t="shared" si="1"/>
        <v>39292.6538</v>
      </c>
      <c r="L1599" s="4">
        <f t="shared" si="2"/>
        <v>2.169973055</v>
      </c>
    </row>
    <row r="1600">
      <c r="A1600" s="3" t="s">
        <v>122</v>
      </c>
      <c r="B1600" s="3">
        <v>39.7</v>
      </c>
      <c r="C1600" s="3">
        <v>31.76</v>
      </c>
      <c r="D1600" s="3">
        <v>288.0</v>
      </c>
      <c r="E1600" s="3">
        <v>4.0</v>
      </c>
      <c r="F1600" s="3">
        <v>45.72</v>
      </c>
      <c r="G1600" s="3">
        <v>184.74</v>
      </c>
      <c r="H1600" s="3">
        <v>37.13</v>
      </c>
      <c r="I1600" s="3">
        <v>6.27</v>
      </c>
      <c r="J1600" s="3">
        <v>0.0</v>
      </c>
      <c r="K1600" s="4">
        <f t="shared" si="1"/>
        <v>36219.186</v>
      </c>
      <c r="L1600" s="4">
        <f t="shared" si="2"/>
        <v>2.290056988</v>
      </c>
    </row>
    <row r="1601">
      <c r="A1601" s="3" t="s">
        <v>122</v>
      </c>
      <c r="B1601" s="3">
        <v>39.7</v>
      </c>
      <c r="C1601" s="3">
        <v>34.72</v>
      </c>
      <c r="D1601" s="3">
        <v>285.0</v>
      </c>
      <c r="E1601" s="3">
        <v>4.0</v>
      </c>
      <c r="F1601" s="3">
        <v>47.57</v>
      </c>
      <c r="G1601" s="3">
        <v>180.34</v>
      </c>
      <c r="H1601" s="3">
        <v>35.51</v>
      </c>
      <c r="I1601" s="3">
        <v>3.62</v>
      </c>
      <c r="J1601" s="3">
        <v>0.0</v>
      </c>
      <c r="K1601" s="4">
        <f t="shared" si="1"/>
        <v>34785.4205</v>
      </c>
      <c r="L1601" s="4">
        <f t="shared" si="2"/>
        <v>2.335029988</v>
      </c>
    </row>
    <row r="1602">
      <c r="A1602" s="3" t="s">
        <v>123</v>
      </c>
      <c r="B1602" s="3">
        <v>17.0</v>
      </c>
      <c r="C1602" s="3">
        <v>0.34</v>
      </c>
      <c r="D1602" s="3">
        <v>35.5</v>
      </c>
      <c r="E1602" s="3">
        <v>2.1</v>
      </c>
      <c r="F1602" s="3">
        <v>-2.27</v>
      </c>
      <c r="G1602" s="3">
        <v>41.97</v>
      </c>
      <c r="H1602" s="3">
        <v>0.0</v>
      </c>
      <c r="I1602" s="3">
        <v>934.63</v>
      </c>
      <c r="J1602" s="3">
        <v>0.0</v>
      </c>
      <c r="K1602" s="4">
        <f t="shared" si="1"/>
        <v>1766.6338</v>
      </c>
      <c r="L1602" s="4">
        <f t="shared" si="2"/>
        <v>0.7133623278</v>
      </c>
    </row>
    <row r="1603">
      <c r="A1603" s="3" t="s">
        <v>123</v>
      </c>
      <c r="B1603" s="3">
        <v>17.0</v>
      </c>
      <c r="C1603" s="3">
        <v>0.67</v>
      </c>
      <c r="D1603" s="3">
        <v>62.4</v>
      </c>
      <c r="E1603" s="3">
        <v>4.2</v>
      </c>
      <c r="F1603" s="3">
        <v>-3.73</v>
      </c>
      <c r="G1603" s="3">
        <v>62.26</v>
      </c>
      <c r="H1603" s="3">
        <v>0.0</v>
      </c>
      <c r="I1603" s="3">
        <v>735.05</v>
      </c>
      <c r="J1603" s="3">
        <v>0.0</v>
      </c>
      <c r="K1603" s="4">
        <f t="shared" si="1"/>
        <v>3890.2205</v>
      </c>
      <c r="L1603" s="4">
        <f t="shared" si="2"/>
        <v>1.000909846</v>
      </c>
    </row>
    <row r="1604">
      <c r="A1604" s="3" t="s">
        <v>123</v>
      </c>
      <c r="B1604" s="3">
        <v>17.0</v>
      </c>
      <c r="C1604" s="3">
        <v>1.0</v>
      </c>
      <c r="D1604" s="3">
        <v>90.7</v>
      </c>
      <c r="E1604" s="3">
        <v>3.8</v>
      </c>
      <c r="F1604" s="3">
        <v>-5.02</v>
      </c>
      <c r="G1604" s="3">
        <v>80.4</v>
      </c>
      <c r="H1604" s="3">
        <v>0.0</v>
      </c>
      <c r="I1604" s="3">
        <v>565.71</v>
      </c>
      <c r="J1604" s="3">
        <v>0.0</v>
      </c>
      <c r="K1604" s="4">
        <f t="shared" si="1"/>
        <v>6489.3604</v>
      </c>
      <c r="L1604" s="4">
        <f t="shared" si="2"/>
        <v>1.267688877</v>
      </c>
    </row>
    <row r="1605">
      <c r="A1605" s="3" t="s">
        <v>123</v>
      </c>
      <c r="B1605" s="3">
        <v>17.0</v>
      </c>
      <c r="C1605" s="3">
        <v>1.32</v>
      </c>
      <c r="D1605" s="3">
        <v>104.0</v>
      </c>
      <c r="E1605" s="3">
        <v>2.0</v>
      </c>
      <c r="F1605" s="3">
        <v>-6.13</v>
      </c>
      <c r="G1605" s="3">
        <v>86.74</v>
      </c>
      <c r="H1605" s="3">
        <v>0.0</v>
      </c>
      <c r="I1605" s="3">
        <v>426.63</v>
      </c>
      <c r="J1605" s="3">
        <v>0.0</v>
      </c>
      <c r="K1605" s="4">
        <f t="shared" si="1"/>
        <v>7561.4045</v>
      </c>
      <c r="L1605" s="4">
        <f t="shared" si="2"/>
        <v>1.430422086</v>
      </c>
    </row>
    <row r="1606">
      <c r="A1606" s="3" t="s">
        <v>123</v>
      </c>
      <c r="B1606" s="3">
        <v>17.0</v>
      </c>
      <c r="C1606" s="3">
        <v>1.65</v>
      </c>
      <c r="D1606" s="3">
        <v>105.0</v>
      </c>
      <c r="E1606" s="3">
        <v>2.4</v>
      </c>
      <c r="F1606" s="3">
        <v>-7.07</v>
      </c>
      <c r="G1606" s="3">
        <v>92.13</v>
      </c>
      <c r="H1606" s="3">
        <v>0.0</v>
      </c>
      <c r="I1606" s="3">
        <v>379.56</v>
      </c>
      <c r="J1606" s="3">
        <v>0.0</v>
      </c>
      <c r="K1606" s="4">
        <f t="shared" si="1"/>
        <v>8537.9218</v>
      </c>
      <c r="L1606" s="4">
        <f t="shared" si="2"/>
        <v>1.291297843</v>
      </c>
    </row>
    <row r="1607">
      <c r="A1607" s="3" t="s">
        <v>123</v>
      </c>
      <c r="B1607" s="3">
        <v>17.0</v>
      </c>
      <c r="C1607" s="3">
        <v>1.98</v>
      </c>
      <c r="D1607" s="3">
        <v>108.0</v>
      </c>
      <c r="E1607" s="3">
        <v>2.0</v>
      </c>
      <c r="F1607" s="3">
        <v>-7.85</v>
      </c>
      <c r="G1607" s="3">
        <v>97.94</v>
      </c>
      <c r="H1607" s="3">
        <v>0.0</v>
      </c>
      <c r="I1607" s="3">
        <v>356.73</v>
      </c>
      <c r="J1607" s="3">
        <v>0.0</v>
      </c>
      <c r="K1607" s="4">
        <f t="shared" si="1"/>
        <v>9653.8661</v>
      </c>
      <c r="L1607" s="4">
        <f t="shared" si="2"/>
        <v>1.208220611</v>
      </c>
    </row>
    <row r="1608">
      <c r="A1608" s="3" t="s">
        <v>123</v>
      </c>
      <c r="B1608" s="3">
        <v>17.0</v>
      </c>
      <c r="C1608" s="3">
        <v>2.31</v>
      </c>
      <c r="D1608" s="3">
        <v>116.0</v>
      </c>
      <c r="E1608" s="3">
        <v>2.3</v>
      </c>
      <c r="F1608" s="3">
        <v>-8.46</v>
      </c>
      <c r="G1608" s="3">
        <v>104.95</v>
      </c>
      <c r="H1608" s="3">
        <v>0.0</v>
      </c>
      <c r="I1608" s="3">
        <v>324.56</v>
      </c>
      <c r="J1608" s="3">
        <v>0.0</v>
      </c>
      <c r="K1608" s="4">
        <f t="shared" si="1"/>
        <v>11086.0741</v>
      </c>
      <c r="L1608" s="4">
        <f t="shared" si="2"/>
        <v>1.213775037</v>
      </c>
    </row>
    <row r="1609">
      <c r="A1609" s="3" t="s">
        <v>123</v>
      </c>
      <c r="B1609" s="3">
        <v>17.0</v>
      </c>
      <c r="C1609" s="3">
        <v>2.63</v>
      </c>
      <c r="D1609" s="3">
        <v>130.0</v>
      </c>
      <c r="E1609" s="3">
        <v>3.3</v>
      </c>
      <c r="F1609" s="3">
        <v>-8.8</v>
      </c>
      <c r="G1609" s="3">
        <v>112.27</v>
      </c>
      <c r="H1609" s="3">
        <v>0.0</v>
      </c>
      <c r="I1609" s="3">
        <v>313.54</v>
      </c>
      <c r="J1609" s="3">
        <v>0.0</v>
      </c>
      <c r="K1609" s="4">
        <f t="shared" si="1"/>
        <v>12681.9929</v>
      </c>
      <c r="L1609" s="4">
        <f t="shared" si="2"/>
        <v>1.332598128</v>
      </c>
    </row>
    <row r="1610">
      <c r="A1610" s="3" t="s">
        <v>123</v>
      </c>
      <c r="B1610" s="3">
        <v>17.0</v>
      </c>
      <c r="C1610" s="3">
        <v>2.96</v>
      </c>
      <c r="D1610" s="3">
        <v>141.0</v>
      </c>
      <c r="E1610" s="3">
        <v>2.2</v>
      </c>
      <c r="F1610" s="3">
        <v>-8.85</v>
      </c>
      <c r="G1610" s="3">
        <v>120.94</v>
      </c>
      <c r="H1610" s="3">
        <v>0.0</v>
      </c>
      <c r="I1610" s="3">
        <v>291.35</v>
      </c>
      <c r="J1610" s="3">
        <v>0.0</v>
      </c>
      <c r="K1610" s="4">
        <f t="shared" si="1"/>
        <v>14704.8061</v>
      </c>
      <c r="L1610" s="4">
        <f t="shared" si="2"/>
        <v>1.352006947</v>
      </c>
    </row>
    <row r="1611">
      <c r="A1611" s="3" t="s">
        <v>123</v>
      </c>
      <c r="B1611" s="3">
        <v>17.0</v>
      </c>
      <c r="C1611" s="3">
        <v>3.28</v>
      </c>
      <c r="D1611" s="3">
        <v>146.0</v>
      </c>
      <c r="E1611" s="3">
        <v>1.6</v>
      </c>
      <c r="F1611" s="3">
        <v>-8.55</v>
      </c>
      <c r="G1611" s="3">
        <v>129.34</v>
      </c>
      <c r="H1611" s="3">
        <v>0.0</v>
      </c>
      <c r="I1611" s="3">
        <v>267.64</v>
      </c>
      <c r="J1611" s="3">
        <v>0.0</v>
      </c>
      <c r="K1611" s="4">
        <f t="shared" si="1"/>
        <v>16801.9381</v>
      </c>
      <c r="L1611" s="4">
        <f t="shared" si="2"/>
        <v>1.268663167</v>
      </c>
    </row>
    <row r="1612">
      <c r="A1612" s="3" t="s">
        <v>123</v>
      </c>
      <c r="B1612" s="3">
        <v>17.0</v>
      </c>
      <c r="C1612" s="3">
        <v>3.61</v>
      </c>
      <c r="D1612" s="3">
        <v>150.0</v>
      </c>
      <c r="E1612" s="3">
        <v>1.4</v>
      </c>
      <c r="F1612" s="3">
        <v>-7.82</v>
      </c>
      <c r="G1612" s="3">
        <v>137.29</v>
      </c>
      <c r="H1612" s="3">
        <v>0.0</v>
      </c>
      <c r="I1612" s="3">
        <v>237.08</v>
      </c>
      <c r="J1612" s="3">
        <v>0.0</v>
      </c>
      <c r="K1612" s="4">
        <f t="shared" si="1"/>
        <v>18909.6965</v>
      </c>
      <c r="L1612" s="4">
        <f t="shared" si="2"/>
        <v>1.189865739</v>
      </c>
    </row>
    <row r="1613">
      <c r="A1613" s="3" t="s">
        <v>123</v>
      </c>
      <c r="B1613" s="3">
        <v>17.0</v>
      </c>
      <c r="C1613" s="3">
        <v>3.94</v>
      </c>
      <c r="D1613" s="3">
        <v>152.0</v>
      </c>
      <c r="E1613" s="3">
        <v>1.1</v>
      </c>
      <c r="F1613" s="3">
        <v>-6.39</v>
      </c>
      <c r="G1613" s="3">
        <v>143.65</v>
      </c>
      <c r="H1613" s="3">
        <v>0.0</v>
      </c>
      <c r="I1613" s="3">
        <v>203.58</v>
      </c>
      <c r="J1613" s="3">
        <v>0.0</v>
      </c>
      <c r="K1613" s="4">
        <f t="shared" si="1"/>
        <v>20676.1546</v>
      </c>
      <c r="L1613" s="4">
        <f t="shared" si="2"/>
        <v>1.117422482</v>
      </c>
    </row>
    <row r="1614">
      <c r="A1614" s="3" t="s">
        <v>123</v>
      </c>
      <c r="B1614" s="3">
        <v>17.0</v>
      </c>
      <c r="C1614" s="3">
        <v>4.27</v>
      </c>
      <c r="D1614" s="3">
        <v>155.0</v>
      </c>
      <c r="E1614" s="3">
        <v>1.3</v>
      </c>
      <c r="F1614" s="3">
        <v>-3.64</v>
      </c>
      <c r="G1614" s="3">
        <v>148.22</v>
      </c>
      <c r="H1614" s="3">
        <v>0.0</v>
      </c>
      <c r="I1614" s="3">
        <v>167.76</v>
      </c>
      <c r="J1614" s="3">
        <v>0.0</v>
      </c>
      <c r="K1614" s="4">
        <f t="shared" si="1"/>
        <v>21982.418</v>
      </c>
      <c r="L1614" s="4">
        <f t="shared" si="2"/>
        <v>1.092918895</v>
      </c>
    </row>
    <row r="1615">
      <c r="A1615" s="3" t="s">
        <v>123</v>
      </c>
      <c r="B1615" s="3">
        <v>17.0</v>
      </c>
      <c r="C1615" s="3">
        <v>4.6</v>
      </c>
      <c r="D1615" s="3">
        <v>152.0</v>
      </c>
      <c r="E1615" s="3">
        <v>1.8</v>
      </c>
      <c r="F1615" s="3">
        <v>4.74</v>
      </c>
      <c r="G1615" s="3">
        <v>149.97</v>
      </c>
      <c r="H1615" s="3">
        <v>0.0</v>
      </c>
      <c r="I1615" s="3">
        <v>135.4</v>
      </c>
      <c r="J1615" s="3">
        <v>0.0</v>
      </c>
      <c r="K1615" s="4">
        <f t="shared" si="1"/>
        <v>22513.4685</v>
      </c>
      <c r="L1615" s="4">
        <f t="shared" si="2"/>
        <v>1.026230143</v>
      </c>
    </row>
    <row r="1616">
      <c r="A1616" s="3" t="s">
        <v>123</v>
      </c>
      <c r="B1616" s="3">
        <v>17.0</v>
      </c>
      <c r="C1616" s="3">
        <v>4.94</v>
      </c>
      <c r="D1616" s="3">
        <v>150.0</v>
      </c>
      <c r="E1616" s="3">
        <v>2.4</v>
      </c>
      <c r="F1616" s="3">
        <v>8.31</v>
      </c>
      <c r="G1616" s="3">
        <v>149.81</v>
      </c>
      <c r="H1616" s="3">
        <v>0.0</v>
      </c>
      <c r="I1616" s="3">
        <v>108.33</v>
      </c>
      <c r="J1616" s="3">
        <v>0.0</v>
      </c>
      <c r="K1616" s="4">
        <f t="shared" si="1"/>
        <v>22512.0922</v>
      </c>
      <c r="L1616" s="4">
        <f t="shared" si="2"/>
        <v>0.9994628576</v>
      </c>
    </row>
    <row r="1617">
      <c r="A1617" s="3" t="s">
        <v>123</v>
      </c>
      <c r="B1617" s="3">
        <v>17.0</v>
      </c>
      <c r="C1617" s="3">
        <v>5.3</v>
      </c>
      <c r="D1617" s="3">
        <v>147.0</v>
      </c>
      <c r="E1617" s="3">
        <v>5.5</v>
      </c>
      <c r="F1617" s="3">
        <v>11.17</v>
      </c>
      <c r="G1617" s="3">
        <v>147.82</v>
      </c>
      <c r="H1617" s="3">
        <v>0.0</v>
      </c>
      <c r="I1617" s="3">
        <v>88.44</v>
      </c>
      <c r="J1617" s="3">
        <v>0.0</v>
      </c>
      <c r="K1617" s="4">
        <f t="shared" si="1"/>
        <v>21975.5213</v>
      </c>
      <c r="L1617" s="4">
        <f t="shared" si="2"/>
        <v>0.9833213831</v>
      </c>
    </row>
    <row r="1618">
      <c r="A1618" s="3" t="s">
        <v>123</v>
      </c>
      <c r="B1618" s="3">
        <v>17.0</v>
      </c>
      <c r="C1618" s="3">
        <v>5.63</v>
      </c>
      <c r="D1618" s="3">
        <v>145.0</v>
      </c>
      <c r="E1618" s="3">
        <v>3.8</v>
      </c>
      <c r="F1618" s="3">
        <v>13.71</v>
      </c>
      <c r="G1618" s="3">
        <v>145.9</v>
      </c>
      <c r="H1618" s="3">
        <v>0.0</v>
      </c>
      <c r="I1618" s="3">
        <v>80.36</v>
      </c>
      <c r="J1618" s="3">
        <v>0.0</v>
      </c>
      <c r="K1618" s="4">
        <f t="shared" si="1"/>
        <v>21474.7741</v>
      </c>
      <c r="L1618" s="4">
        <f t="shared" si="2"/>
        <v>0.9790557005</v>
      </c>
    </row>
    <row r="1619">
      <c r="A1619" s="3" t="s">
        <v>123</v>
      </c>
      <c r="B1619" s="3">
        <v>17.0</v>
      </c>
      <c r="C1619" s="3">
        <v>5.96</v>
      </c>
      <c r="D1619" s="3">
        <v>152.0</v>
      </c>
      <c r="E1619" s="3">
        <v>4.1</v>
      </c>
      <c r="F1619" s="3">
        <v>15.93</v>
      </c>
      <c r="G1619" s="3">
        <v>145.72</v>
      </c>
      <c r="H1619" s="3">
        <v>0.0</v>
      </c>
      <c r="I1619" s="3">
        <v>73.42</v>
      </c>
      <c r="J1619" s="3">
        <v>0.0</v>
      </c>
      <c r="K1619" s="4">
        <f t="shared" si="1"/>
        <v>21488.0833</v>
      </c>
      <c r="L1619" s="4">
        <f t="shared" si="2"/>
        <v>1.075200597</v>
      </c>
    </row>
    <row r="1620">
      <c r="A1620" s="3" t="s">
        <v>123</v>
      </c>
      <c r="B1620" s="3">
        <v>17.0</v>
      </c>
      <c r="C1620" s="3">
        <v>6.27</v>
      </c>
      <c r="D1620" s="3">
        <v>149.0</v>
      </c>
      <c r="E1620" s="3">
        <v>1.4</v>
      </c>
      <c r="F1620" s="3">
        <v>18.03</v>
      </c>
      <c r="G1620" s="3">
        <v>145.22</v>
      </c>
      <c r="H1620" s="3">
        <v>0.0</v>
      </c>
      <c r="I1620" s="3">
        <v>63.15</v>
      </c>
      <c r="J1620" s="3">
        <v>0.0</v>
      </c>
      <c r="K1620" s="4">
        <f t="shared" si="1"/>
        <v>21413.9293</v>
      </c>
      <c r="L1620" s="4">
        <f t="shared" si="2"/>
        <v>1.036755081</v>
      </c>
    </row>
    <row r="1621">
      <c r="A1621" s="3" t="s">
        <v>123</v>
      </c>
      <c r="B1621" s="3">
        <v>17.0</v>
      </c>
      <c r="C1621" s="3">
        <v>8.24</v>
      </c>
      <c r="D1621" s="3">
        <v>149.0</v>
      </c>
      <c r="E1621" s="3">
        <v>4.0</v>
      </c>
      <c r="F1621" s="3">
        <v>27.98</v>
      </c>
      <c r="G1621" s="3">
        <v>136.77</v>
      </c>
      <c r="H1621" s="3">
        <v>0.0</v>
      </c>
      <c r="I1621" s="3">
        <v>23.82</v>
      </c>
      <c r="J1621" s="3">
        <v>0.0</v>
      </c>
      <c r="K1621" s="4">
        <f t="shared" si="1"/>
        <v>19488.9133</v>
      </c>
      <c r="L1621" s="4">
        <f t="shared" si="2"/>
        <v>1.139160489</v>
      </c>
    </row>
    <row r="1622">
      <c r="A1622" s="3" t="s">
        <v>123</v>
      </c>
      <c r="B1622" s="3">
        <v>17.0</v>
      </c>
      <c r="C1622" s="3">
        <v>10.3</v>
      </c>
      <c r="D1622" s="3">
        <v>146.0</v>
      </c>
      <c r="E1622" s="3">
        <v>4.0</v>
      </c>
      <c r="F1622" s="3">
        <v>36.61</v>
      </c>
      <c r="G1622" s="3">
        <v>123.8</v>
      </c>
      <c r="H1622" s="3">
        <v>0.0</v>
      </c>
      <c r="I1622" s="3">
        <v>11.23</v>
      </c>
      <c r="J1622" s="3">
        <v>0.0</v>
      </c>
      <c r="K1622" s="4">
        <f t="shared" si="1"/>
        <v>16666.7321</v>
      </c>
      <c r="L1622" s="4">
        <f t="shared" si="2"/>
        <v>1.278954979</v>
      </c>
    </row>
    <row r="1623">
      <c r="A1623" s="3" t="s">
        <v>123</v>
      </c>
      <c r="B1623" s="3">
        <v>17.0</v>
      </c>
      <c r="C1623" s="3">
        <v>11.13</v>
      </c>
      <c r="D1623" s="3">
        <v>149.0</v>
      </c>
      <c r="E1623" s="3">
        <v>3.2</v>
      </c>
      <c r="F1623" s="3">
        <v>39.92</v>
      </c>
      <c r="G1623" s="3">
        <v>119.88</v>
      </c>
      <c r="H1623" s="3">
        <v>0.0</v>
      </c>
      <c r="I1623" s="3">
        <v>8.66</v>
      </c>
      <c r="J1623" s="3">
        <v>0.0</v>
      </c>
      <c r="K1623" s="4">
        <f t="shared" si="1"/>
        <v>15964.8208</v>
      </c>
      <c r="L1623" s="4">
        <f t="shared" si="2"/>
        <v>1.390620056</v>
      </c>
    </row>
    <row r="1624">
      <c r="A1624" s="3" t="s">
        <v>123</v>
      </c>
      <c r="B1624" s="3">
        <v>17.0</v>
      </c>
      <c r="C1624" s="3">
        <v>11.95</v>
      </c>
      <c r="D1624" s="3">
        <v>152.0</v>
      </c>
      <c r="E1624" s="3">
        <v>2.8</v>
      </c>
      <c r="F1624" s="3">
        <v>43.13</v>
      </c>
      <c r="G1624" s="3">
        <v>116.47</v>
      </c>
      <c r="H1624" s="3">
        <v>0.0</v>
      </c>
      <c r="I1624" s="3">
        <v>5.98</v>
      </c>
      <c r="J1624" s="3">
        <v>0.0</v>
      </c>
      <c r="K1624" s="4">
        <f t="shared" si="1"/>
        <v>15425.4578</v>
      </c>
      <c r="L1624" s="4">
        <f t="shared" si="2"/>
        <v>1.497783748</v>
      </c>
    </row>
    <row r="1625">
      <c r="A1625" s="3" t="s">
        <v>123</v>
      </c>
      <c r="B1625" s="3">
        <v>17.0</v>
      </c>
      <c r="C1625" s="3">
        <v>12.72</v>
      </c>
      <c r="D1625" s="3">
        <v>153.0</v>
      </c>
      <c r="E1625" s="3">
        <v>2.4</v>
      </c>
      <c r="F1625" s="3">
        <v>45.67</v>
      </c>
      <c r="G1625" s="3">
        <v>112.55</v>
      </c>
      <c r="H1625" s="3">
        <v>0.0</v>
      </c>
      <c r="I1625" s="3">
        <v>3.85</v>
      </c>
      <c r="J1625" s="3">
        <v>0.0</v>
      </c>
      <c r="K1625" s="4">
        <f t="shared" si="1"/>
        <v>14753.2514</v>
      </c>
      <c r="L1625" s="4">
        <f t="shared" si="2"/>
        <v>1.586701085</v>
      </c>
    </row>
    <row r="1626">
      <c r="A1626" s="3" t="s">
        <v>123</v>
      </c>
      <c r="B1626" s="3">
        <v>17.0</v>
      </c>
      <c r="C1626" s="3">
        <v>13.58</v>
      </c>
      <c r="D1626" s="3">
        <v>156.0</v>
      </c>
      <c r="E1626" s="3">
        <v>2.2</v>
      </c>
      <c r="F1626" s="3">
        <v>47.33</v>
      </c>
      <c r="G1626" s="3">
        <v>108.33</v>
      </c>
      <c r="H1626" s="3">
        <v>0.0</v>
      </c>
      <c r="I1626" s="3">
        <v>2.84</v>
      </c>
      <c r="J1626" s="3">
        <v>0.0</v>
      </c>
      <c r="K1626" s="4">
        <f t="shared" si="1"/>
        <v>13975.5178</v>
      </c>
      <c r="L1626" s="4">
        <f t="shared" si="2"/>
        <v>1.741330829</v>
      </c>
    </row>
    <row r="1627">
      <c r="A1627" s="3" t="s">
        <v>123</v>
      </c>
      <c r="B1627" s="3">
        <v>17.0</v>
      </c>
      <c r="C1627" s="3">
        <v>14.43</v>
      </c>
      <c r="D1627" s="3">
        <v>158.0</v>
      </c>
      <c r="E1627" s="3">
        <v>2.8</v>
      </c>
      <c r="F1627" s="3">
        <v>48.11</v>
      </c>
      <c r="G1627" s="3">
        <v>104.74</v>
      </c>
      <c r="H1627" s="3">
        <v>0.0</v>
      </c>
      <c r="I1627" s="3">
        <v>2.01</v>
      </c>
      <c r="J1627" s="3">
        <v>0.0</v>
      </c>
      <c r="K1627" s="4">
        <f t="shared" si="1"/>
        <v>13285.0397</v>
      </c>
      <c r="L1627" s="4">
        <f t="shared" si="2"/>
        <v>1.879106165</v>
      </c>
    </row>
    <row r="1628">
      <c r="A1628" s="3" t="s">
        <v>123</v>
      </c>
      <c r="B1628" s="3">
        <v>17.0</v>
      </c>
      <c r="C1628" s="3">
        <v>15.29</v>
      </c>
      <c r="D1628" s="3">
        <v>158.0</v>
      </c>
      <c r="E1628" s="3">
        <v>3.1</v>
      </c>
      <c r="F1628" s="3">
        <v>48.44</v>
      </c>
      <c r="G1628" s="3">
        <v>101.4</v>
      </c>
      <c r="H1628" s="3">
        <v>0.0</v>
      </c>
      <c r="I1628" s="3">
        <v>1.41</v>
      </c>
      <c r="J1628" s="3">
        <v>0.0</v>
      </c>
      <c r="K1628" s="4">
        <f t="shared" si="1"/>
        <v>12628.3936</v>
      </c>
      <c r="L1628" s="4">
        <f t="shared" si="2"/>
        <v>1.976815167</v>
      </c>
    </row>
    <row r="1629">
      <c r="A1629" s="3" t="s">
        <v>123</v>
      </c>
      <c r="B1629" s="3">
        <v>17.0</v>
      </c>
      <c r="C1629" s="3">
        <v>16.02</v>
      </c>
      <c r="D1629" s="3">
        <v>159.0</v>
      </c>
      <c r="E1629" s="3">
        <v>3.8</v>
      </c>
      <c r="F1629" s="3">
        <v>48.44</v>
      </c>
      <c r="G1629" s="3">
        <v>98.71</v>
      </c>
      <c r="H1629" s="3">
        <v>0.0</v>
      </c>
      <c r="I1629" s="3">
        <v>0.96</v>
      </c>
      <c r="J1629" s="3">
        <v>0.0</v>
      </c>
      <c r="K1629" s="4">
        <f t="shared" si="1"/>
        <v>12090.0977</v>
      </c>
      <c r="L1629" s="4">
        <f t="shared" si="2"/>
        <v>2.0910501</v>
      </c>
    </row>
    <row r="1630">
      <c r="A1630" s="3" t="s">
        <v>123</v>
      </c>
      <c r="B1630" s="3">
        <v>17.0</v>
      </c>
      <c r="C1630" s="3">
        <v>16.88</v>
      </c>
      <c r="D1630" s="3">
        <v>161.0</v>
      </c>
      <c r="E1630" s="3">
        <v>3.6</v>
      </c>
      <c r="F1630" s="3">
        <v>48.11</v>
      </c>
      <c r="G1630" s="3">
        <v>95.6</v>
      </c>
      <c r="H1630" s="3">
        <v>0.0</v>
      </c>
      <c r="I1630" s="3">
        <v>0.61</v>
      </c>
      <c r="J1630" s="3">
        <v>0.0</v>
      </c>
      <c r="K1630" s="4">
        <f t="shared" si="1"/>
        <v>11453.9321</v>
      </c>
      <c r="L1630" s="4">
        <f t="shared" si="2"/>
        <v>2.263065624</v>
      </c>
    </row>
    <row r="1631">
      <c r="A1631" s="3" t="s">
        <v>123</v>
      </c>
      <c r="B1631" s="3">
        <v>17.0</v>
      </c>
      <c r="C1631" s="3">
        <v>17.73</v>
      </c>
      <c r="D1631" s="3">
        <v>163.0</v>
      </c>
      <c r="E1631" s="3">
        <v>4.0</v>
      </c>
      <c r="F1631" s="3">
        <v>47.66</v>
      </c>
      <c r="G1631" s="3">
        <v>92.8</v>
      </c>
      <c r="H1631" s="3">
        <v>0.0</v>
      </c>
      <c r="I1631" s="3">
        <v>0.44</v>
      </c>
      <c r="J1631" s="3">
        <v>0.0</v>
      </c>
      <c r="K1631" s="4">
        <f t="shared" si="1"/>
        <v>10883.3156</v>
      </c>
      <c r="L1631" s="4">
        <f t="shared" si="2"/>
        <v>2.441259721</v>
      </c>
    </row>
    <row r="1632">
      <c r="A1632" s="3" t="s">
        <v>123</v>
      </c>
      <c r="B1632" s="3">
        <v>17.0</v>
      </c>
      <c r="C1632" s="3">
        <v>18.59</v>
      </c>
      <c r="D1632" s="3">
        <v>162.0</v>
      </c>
      <c r="E1632" s="3">
        <v>4.8</v>
      </c>
      <c r="F1632" s="3">
        <v>47.0</v>
      </c>
      <c r="G1632" s="3">
        <v>90.22</v>
      </c>
      <c r="H1632" s="3">
        <v>0.0</v>
      </c>
      <c r="I1632" s="3">
        <v>0.3</v>
      </c>
      <c r="J1632" s="3">
        <v>0.0</v>
      </c>
      <c r="K1632" s="4">
        <f t="shared" si="1"/>
        <v>10348.6484</v>
      </c>
      <c r="L1632" s="4">
        <f t="shared" si="2"/>
        <v>2.535983346</v>
      </c>
    </row>
    <row r="1633">
      <c r="A1633" s="3" t="s">
        <v>123</v>
      </c>
      <c r="B1633" s="3">
        <v>17.0</v>
      </c>
      <c r="C1633" s="3">
        <v>19.32</v>
      </c>
      <c r="D1633" s="3">
        <v>164.0</v>
      </c>
      <c r="E1633" s="3">
        <v>5.7</v>
      </c>
      <c r="F1633" s="3">
        <v>46.67</v>
      </c>
      <c r="G1633" s="3">
        <v>88.2</v>
      </c>
      <c r="H1633" s="3">
        <v>0.0</v>
      </c>
      <c r="I1633" s="3">
        <v>0.22</v>
      </c>
      <c r="J1633" s="3">
        <v>0.0</v>
      </c>
      <c r="K1633" s="4">
        <f t="shared" si="1"/>
        <v>9957.3289</v>
      </c>
      <c r="L1633" s="4">
        <f t="shared" si="2"/>
        <v>2.701126002</v>
      </c>
    </row>
    <row r="1634">
      <c r="A1634" s="3" t="s">
        <v>123</v>
      </c>
      <c r="B1634" s="3">
        <v>17.0</v>
      </c>
      <c r="C1634" s="3">
        <v>20.18</v>
      </c>
      <c r="D1634" s="3">
        <v>165.0</v>
      </c>
      <c r="E1634" s="3">
        <v>7.0</v>
      </c>
      <c r="F1634" s="3">
        <v>46.56</v>
      </c>
      <c r="G1634" s="3">
        <v>85.97</v>
      </c>
      <c r="H1634" s="3">
        <v>0.0</v>
      </c>
      <c r="I1634" s="3">
        <v>0.15</v>
      </c>
      <c r="J1634" s="3">
        <v>0.0</v>
      </c>
      <c r="K1634" s="4">
        <f t="shared" si="1"/>
        <v>9558.6745</v>
      </c>
      <c r="L1634" s="4">
        <f t="shared" si="2"/>
        <v>2.848198252</v>
      </c>
    </row>
    <row r="1635">
      <c r="A1635" s="3" t="s">
        <v>123</v>
      </c>
      <c r="B1635" s="3">
        <v>17.0</v>
      </c>
      <c r="C1635" s="3">
        <v>21.04</v>
      </c>
      <c r="D1635" s="3">
        <v>166.0</v>
      </c>
      <c r="E1635" s="3">
        <v>6.3</v>
      </c>
      <c r="F1635" s="3">
        <v>46.12</v>
      </c>
      <c r="G1635" s="3">
        <v>83.92</v>
      </c>
      <c r="H1635" s="3">
        <v>0.0</v>
      </c>
      <c r="I1635" s="3">
        <v>0.1</v>
      </c>
      <c r="J1635" s="3">
        <v>0.0</v>
      </c>
      <c r="K1635" s="4">
        <f t="shared" si="1"/>
        <v>9169.6208</v>
      </c>
      <c r="L1635" s="4">
        <f t="shared" si="2"/>
        <v>3.005140627</v>
      </c>
    </row>
    <row r="1636">
      <c r="A1636" s="3" t="s">
        <v>123</v>
      </c>
      <c r="B1636" s="3">
        <v>17.0</v>
      </c>
      <c r="C1636" s="3">
        <v>21.89</v>
      </c>
      <c r="D1636" s="3">
        <v>163.0</v>
      </c>
      <c r="E1636" s="3">
        <v>7.0</v>
      </c>
      <c r="F1636" s="3">
        <v>45.56</v>
      </c>
      <c r="G1636" s="3">
        <v>82.02</v>
      </c>
      <c r="H1636" s="3">
        <v>0.0</v>
      </c>
      <c r="I1636" s="3">
        <v>0.07</v>
      </c>
      <c r="J1636" s="3">
        <v>0.0</v>
      </c>
      <c r="K1636" s="4">
        <f t="shared" si="1"/>
        <v>8802.994</v>
      </c>
      <c r="L1636" s="4">
        <f t="shared" si="2"/>
        <v>3.018177679</v>
      </c>
    </row>
    <row r="1637">
      <c r="A1637" s="3" t="s">
        <v>123</v>
      </c>
      <c r="B1637" s="3">
        <v>17.0</v>
      </c>
      <c r="C1637" s="3">
        <v>22.63</v>
      </c>
      <c r="D1637" s="3">
        <v>159.0</v>
      </c>
      <c r="E1637" s="3">
        <v>8.5</v>
      </c>
      <c r="F1637" s="3">
        <v>45.34</v>
      </c>
      <c r="G1637" s="3">
        <v>80.48</v>
      </c>
      <c r="H1637" s="3">
        <v>0.0</v>
      </c>
      <c r="I1637" s="3">
        <v>0.05</v>
      </c>
      <c r="J1637" s="3">
        <v>0.0</v>
      </c>
      <c r="K1637" s="4">
        <f t="shared" si="1"/>
        <v>8532.746</v>
      </c>
      <c r="L1637" s="4">
        <f t="shared" si="2"/>
        <v>2.962821113</v>
      </c>
    </row>
    <row r="1638">
      <c r="A1638" s="3" t="s">
        <v>123</v>
      </c>
      <c r="B1638" s="3">
        <v>17.0</v>
      </c>
      <c r="C1638" s="3">
        <v>23.48</v>
      </c>
      <c r="D1638" s="3">
        <v>155.0</v>
      </c>
      <c r="E1638" s="3">
        <v>9.1</v>
      </c>
      <c r="F1638" s="3">
        <v>45.12</v>
      </c>
      <c r="G1638" s="3">
        <v>78.82</v>
      </c>
      <c r="H1638" s="3">
        <v>0.0</v>
      </c>
      <c r="I1638" s="3">
        <v>0.04</v>
      </c>
      <c r="J1638" s="3">
        <v>0.0</v>
      </c>
      <c r="K1638" s="4">
        <f t="shared" si="1"/>
        <v>8248.4068</v>
      </c>
      <c r="L1638" s="4">
        <f t="shared" si="2"/>
        <v>2.912683695</v>
      </c>
    </row>
    <row r="1639">
      <c r="A1639" s="3" t="s">
        <v>123</v>
      </c>
      <c r="B1639" s="3">
        <v>17.0</v>
      </c>
      <c r="C1639" s="3">
        <v>24.34</v>
      </c>
      <c r="D1639" s="3">
        <v>154.0</v>
      </c>
      <c r="E1639" s="3">
        <v>8.0</v>
      </c>
      <c r="F1639" s="3">
        <v>44.68</v>
      </c>
      <c r="G1639" s="3">
        <v>77.25</v>
      </c>
      <c r="H1639" s="3">
        <v>0.0</v>
      </c>
      <c r="I1639" s="3">
        <v>0.03</v>
      </c>
      <c r="J1639" s="3">
        <v>0.0</v>
      </c>
      <c r="K1639" s="4">
        <f t="shared" si="1"/>
        <v>7963.8649</v>
      </c>
      <c r="L1639" s="4">
        <f t="shared" si="2"/>
        <v>2.97795107</v>
      </c>
    </row>
    <row r="1640">
      <c r="A1640" s="3" t="s">
        <v>123</v>
      </c>
      <c r="B1640" s="3">
        <v>17.0</v>
      </c>
      <c r="C1640" s="3">
        <v>25.19</v>
      </c>
      <c r="D1640" s="3">
        <v>149.0</v>
      </c>
      <c r="E1640" s="3">
        <v>5.4</v>
      </c>
      <c r="F1640" s="3">
        <v>44.57</v>
      </c>
      <c r="G1640" s="3">
        <v>75.79</v>
      </c>
      <c r="H1640" s="3">
        <v>0.0</v>
      </c>
      <c r="I1640" s="3">
        <v>0.02</v>
      </c>
      <c r="J1640" s="3">
        <v>0.0</v>
      </c>
      <c r="K1640" s="4">
        <f t="shared" si="1"/>
        <v>7730.609</v>
      </c>
      <c r="L1640" s="4">
        <f t="shared" si="2"/>
        <v>2.871830667</v>
      </c>
    </row>
    <row r="1641">
      <c r="A1641" s="3" t="s">
        <v>123</v>
      </c>
      <c r="B1641" s="3">
        <v>17.0</v>
      </c>
      <c r="C1641" s="3">
        <v>25.93</v>
      </c>
      <c r="D1641" s="3">
        <v>153.0</v>
      </c>
      <c r="E1641" s="3">
        <v>3.1</v>
      </c>
      <c r="F1641" s="3">
        <v>46.56</v>
      </c>
      <c r="G1641" s="3">
        <v>74.58</v>
      </c>
      <c r="H1641" s="3">
        <v>0.0</v>
      </c>
      <c r="I1641" s="3">
        <v>0.01</v>
      </c>
      <c r="J1641" s="3">
        <v>0.0</v>
      </c>
      <c r="K1641" s="4">
        <f t="shared" si="1"/>
        <v>7730.01</v>
      </c>
      <c r="L1641" s="4">
        <f t="shared" si="2"/>
        <v>3.02832726</v>
      </c>
    </row>
    <row r="1642">
      <c r="A1642" s="3" t="s">
        <v>123</v>
      </c>
      <c r="B1642" s="3">
        <v>17.0</v>
      </c>
      <c r="C1642" s="3">
        <v>26.78</v>
      </c>
      <c r="D1642" s="3">
        <v>156.0</v>
      </c>
      <c r="E1642" s="3">
        <v>3.0</v>
      </c>
      <c r="F1642" s="3">
        <v>42.58</v>
      </c>
      <c r="G1642" s="3">
        <v>73.28</v>
      </c>
      <c r="H1642" s="3">
        <v>0.0</v>
      </c>
      <c r="I1642" s="3">
        <v>0.01</v>
      </c>
      <c r="J1642" s="3">
        <v>0.0</v>
      </c>
      <c r="K1642" s="4">
        <f t="shared" si="1"/>
        <v>7183.0148</v>
      </c>
      <c r="L1642" s="4">
        <f t="shared" si="2"/>
        <v>3.387992462</v>
      </c>
    </row>
    <row r="1643">
      <c r="A1643" s="3" t="s">
        <v>123</v>
      </c>
      <c r="B1643" s="3">
        <v>17.0</v>
      </c>
      <c r="C1643" s="3">
        <v>27.64</v>
      </c>
      <c r="D1643" s="3">
        <v>151.0</v>
      </c>
      <c r="E1643" s="3">
        <v>9.4</v>
      </c>
      <c r="F1643" s="3">
        <v>40.7</v>
      </c>
      <c r="G1643" s="3">
        <v>72.03</v>
      </c>
      <c r="H1643" s="3">
        <v>0.0</v>
      </c>
      <c r="I1643" s="3">
        <v>0.01</v>
      </c>
      <c r="J1643" s="3">
        <v>0.0</v>
      </c>
      <c r="K1643" s="4">
        <f t="shared" si="1"/>
        <v>6844.8109</v>
      </c>
      <c r="L1643" s="4">
        <f t="shared" si="2"/>
        <v>3.331136584</v>
      </c>
    </row>
    <row r="1644">
      <c r="A1644" s="3" t="s">
        <v>123</v>
      </c>
      <c r="B1644" s="3">
        <v>17.0</v>
      </c>
      <c r="C1644" s="3">
        <v>28.37</v>
      </c>
      <c r="D1644" s="3">
        <v>158.0</v>
      </c>
      <c r="E1644" s="3">
        <v>7.7</v>
      </c>
      <c r="F1644" s="3">
        <v>39.26</v>
      </c>
      <c r="G1644" s="3">
        <v>71.03</v>
      </c>
      <c r="H1644" s="3">
        <v>0.0</v>
      </c>
      <c r="I1644" s="3">
        <v>0.0</v>
      </c>
      <c r="J1644" s="3">
        <v>0.0</v>
      </c>
      <c r="K1644" s="4">
        <f t="shared" si="1"/>
        <v>6586.6085</v>
      </c>
      <c r="L1644" s="4">
        <f t="shared" si="2"/>
        <v>3.790114442</v>
      </c>
    </row>
    <row r="1645">
      <c r="A1645" s="3" t="s">
        <v>123</v>
      </c>
      <c r="B1645" s="3">
        <v>17.0</v>
      </c>
      <c r="C1645" s="3">
        <v>29.23</v>
      </c>
      <c r="D1645" s="3">
        <v>152.0</v>
      </c>
      <c r="E1645" s="3">
        <v>3.4</v>
      </c>
      <c r="F1645" s="3">
        <v>38.26</v>
      </c>
      <c r="G1645" s="3">
        <v>69.88</v>
      </c>
      <c r="H1645" s="3">
        <v>0.0</v>
      </c>
      <c r="I1645" s="3">
        <v>0.0</v>
      </c>
      <c r="J1645" s="3">
        <v>0.0</v>
      </c>
      <c r="K1645" s="4">
        <f t="shared" si="1"/>
        <v>6347.042</v>
      </c>
      <c r="L1645" s="4">
        <f t="shared" si="2"/>
        <v>3.640120863</v>
      </c>
    </row>
    <row r="1646">
      <c r="A1646" s="3" t="s">
        <v>124</v>
      </c>
      <c r="B1646" s="3">
        <v>127.8</v>
      </c>
      <c r="C1646" s="3">
        <v>1.33</v>
      </c>
      <c r="D1646" s="3">
        <v>175.0</v>
      </c>
      <c r="E1646" s="3">
        <v>13.6</v>
      </c>
      <c r="F1646" s="3">
        <v>0.0</v>
      </c>
      <c r="G1646" s="3">
        <v>53.18</v>
      </c>
      <c r="H1646" s="3">
        <v>236.8</v>
      </c>
      <c r="I1646" s="3">
        <v>581.62</v>
      </c>
      <c r="J1646" s="3">
        <v>2991.9</v>
      </c>
      <c r="K1646" s="4">
        <f t="shared" si="1"/>
        <v>2828.1124</v>
      </c>
      <c r="L1646" s="4">
        <f t="shared" si="2"/>
        <v>10.82877753</v>
      </c>
    </row>
    <row r="1647">
      <c r="A1647" s="3" t="s">
        <v>124</v>
      </c>
      <c r="B1647" s="3">
        <v>127.8</v>
      </c>
      <c r="C1647" s="3">
        <v>2.34</v>
      </c>
      <c r="D1647" s="3">
        <v>237.0</v>
      </c>
      <c r="E1647" s="3">
        <v>3.65</v>
      </c>
      <c r="F1647" s="3">
        <v>0.0</v>
      </c>
      <c r="G1647" s="3">
        <v>84.9</v>
      </c>
      <c r="H1647" s="3">
        <v>258.48</v>
      </c>
      <c r="I1647" s="3">
        <v>514.34</v>
      </c>
      <c r="J1647" s="3">
        <v>1233.0</v>
      </c>
      <c r="K1647" s="4">
        <f t="shared" si="1"/>
        <v>7208.01</v>
      </c>
      <c r="L1647" s="4">
        <f t="shared" si="2"/>
        <v>7.792580754</v>
      </c>
    </row>
    <row r="1648">
      <c r="A1648" s="3" t="s">
        <v>124</v>
      </c>
      <c r="B1648" s="3">
        <v>127.8</v>
      </c>
      <c r="C1648" s="3">
        <v>3.33</v>
      </c>
      <c r="D1648" s="3">
        <v>247.0</v>
      </c>
      <c r="E1648" s="3">
        <v>3.81</v>
      </c>
      <c r="F1648" s="3">
        <v>0.0</v>
      </c>
      <c r="G1648" s="3">
        <v>110.89</v>
      </c>
      <c r="H1648" s="3">
        <v>258.69</v>
      </c>
      <c r="I1648" s="3">
        <v>455.95</v>
      </c>
      <c r="J1648" s="3">
        <v>695.85</v>
      </c>
      <c r="K1648" s="4">
        <f t="shared" si="1"/>
        <v>12296.5921</v>
      </c>
      <c r="L1648" s="4">
        <f t="shared" si="2"/>
        <v>4.961455947</v>
      </c>
    </row>
    <row r="1649">
      <c r="A1649" s="3" t="s">
        <v>124</v>
      </c>
      <c r="B1649" s="3">
        <v>127.8</v>
      </c>
      <c r="C1649" s="3">
        <v>4.34</v>
      </c>
      <c r="D1649" s="3">
        <v>242.0</v>
      </c>
      <c r="E1649" s="3">
        <v>3.56</v>
      </c>
      <c r="F1649" s="3">
        <v>0.0</v>
      </c>
      <c r="G1649" s="3">
        <v>133.39</v>
      </c>
      <c r="H1649" s="3">
        <v>255.32</v>
      </c>
      <c r="I1649" s="3">
        <v>403.21</v>
      </c>
      <c r="J1649" s="3">
        <v>384.39</v>
      </c>
      <c r="K1649" s="4">
        <f t="shared" si="1"/>
        <v>17792.8921</v>
      </c>
      <c r="L1649" s="4">
        <f t="shared" si="2"/>
        <v>3.291426693</v>
      </c>
    </row>
    <row r="1650">
      <c r="A1650" s="3" t="s">
        <v>124</v>
      </c>
      <c r="B1650" s="3">
        <v>127.8</v>
      </c>
      <c r="C1650" s="3">
        <v>5.35</v>
      </c>
      <c r="D1650" s="3">
        <v>240.0</v>
      </c>
      <c r="E1650" s="3">
        <v>4.2</v>
      </c>
      <c r="F1650" s="3">
        <v>0.11</v>
      </c>
      <c r="G1650" s="3">
        <v>152.34</v>
      </c>
      <c r="H1650" s="3">
        <v>247.96</v>
      </c>
      <c r="I1650" s="3">
        <v>356.56</v>
      </c>
      <c r="J1650" s="3">
        <v>251.03</v>
      </c>
      <c r="K1650" s="4">
        <f t="shared" si="1"/>
        <v>23207.4877</v>
      </c>
      <c r="L1650" s="4">
        <f t="shared" si="2"/>
        <v>2.48195758</v>
      </c>
    </row>
    <row r="1651">
      <c r="A1651" s="3" t="s">
        <v>124</v>
      </c>
      <c r="B1651" s="3">
        <v>127.8</v>
      </c>
      <c r="C1651" s="3">
        <v>6.34</v>
      </c>
      <c r="D1651" s="3">
        <v>233.0</v>
      </c>
      <c r="E1651" s="3">
        <v>4.59</v>
      </c>
      <c r="F1651" s="3">
        <v>0.0</v>
      </c>
      <c r="G1651" s="3">
        <v>168.35</v>
      </c>
      <c r="H1651" s="3">
        <v>242.98</v>
      </c>
      <c r="I1651" s="3">
        <v>316.08</v>
      </c>
      <c r="J1651" s="3">
        <v>149.16</v>
      </c>
      <c r="K1651" s="4">
        <f t="shared" si="1"/>
        <v>28341.7225</v>
      </c>
      <c r="L1651" s="4">
        <f t="shared" si="2"/>
        <v>1.915515191</v>
      </c>
    </row>
    <row r="1652">
      <c r="A1652" s="3" t="s">
        <v>124</v>
      </c>
      <c r="B1652" s="3">
        <v>127.8</v>
      </c>
      <c r="C1652" s="3">
        <v>7.34</v>
      </c>
      <c r="D1652" s="3">
        <v>233.0</v>
      </c>
      <c r="E1652" s="3">
        <v>4.63</v>
      </c>
      <c r="F1652" s="3">
        <v>0.0</v>
      </c>
      <c r="G1652" s="3">
        <v>182.51</v>
      </c>
      <c r="H1652" s="3">
        <v>235.83</v>
      </c>
      <c r="I1652" s="3">
        <v>279.86</v>
      </c>
      <c r="J1652" s="3">
        <v>69.12</v>
      </c>
      <c r="K1652" s="4">
        <f t="shared" si="1"/>
        <v>33309.9001</v>
      </c>
      <c r="L1652" s="4">
        <f t="shared" si="2"/>
        <v>1.629815756</v>
      </c>
    </row>
    <row r="1653">
      <c r="A1653" s="3" t="s">
        <v>124</v>
      </c>
      <c r="B1653" s="3">
        <v>127.8</v>
      </c>
      <c r="C1653" s="3">
        <v>8.32</v>
      </c>
      <c r="D1653" s="3">
        <v>247.0</v>
      </c>
      <c r="E1653" s="3">
        <v>6.41</v>
      </c>
      <c r="F1653" s="3">
        <v>1.96</v>
      </c>
      <c r="G1653" s="3">
        <v>192.78</v>
      </c>
      <c r="H1653" s="3">
        <v>226.67</v>
      </c>
      <c r="I1653" s="3">
        <v>230.3</v>
      </c>
      <c r="J1653" s="3">
        <v>32.44</v>
      </c>
      <c r="K1653" s="4">
        <f t="shared" si="1"/>
        <v>37167.97</v>
      </c>
      <c r="L1653" s="4">
        <f t="shared" si="2"/>
        <v>1.641440197</v>
      </c>
    </row>
    <row r="1654">
      <c r="A1654" s="3" t="s">
        <v>124</v>
      </c>
      <c r="B1654" s="3">
        <v>127.8</v>
      </c>
      <c r="C1654" s="3">
        <v>9.34</v>
      </c>
      <c r="D1654" s="3">
        <v>248.0</v>
      </c>
      <c r="E1654" s="3">
        <v>7.64</v>
      </c>
      <c r="F1654" s="3">
        <v>15.34</v>
      </c>
      <c r="G1654" s="3">
        <v>198.8</v>
      </c>
      <c r="H1654" s="3">
        <v>216.7</v>
      </c>
      <c r="I1654" s="3">
        <v>211.43</v>
      </c>
      <c r="J1654" s="3">
        <v>14.68</v>
      </c>
      <c r="K1654" s="4">
        <f t="shared" si="1"/>
        <v>39756.7556</v>
      </c>
      <c r="L1654" s="4">
        <f t="shared" si="2"/>
        <v>1.547007523</v>
      </c>
    </row>
    <row r="1655">
      <c r="A1655" s="3" t="s">
        <v>124</v>
      </c>
      <c r="B1655" s="3">
        <v>127.8</v>
      </c>
      <c r="C1655" s="3">
        <v>10.38</v>
      </c>
      <c r="D1655" s="3">
        <v>242.0</v>
      </c>
      <c r="E1655" s="3">
        <v>9.05</v>
      </c>
      <c r="F1655" s="3">
        <v>25.14</v>
      </c>
      <c r="G1655" s="3">
        <v>207.14</v>
      </c>
      <c r="H1655" s="3">
        <v>206.98</v>
      </c>
      <c r="I1655" s="3">
        <v>188.77</v>
      </c>
      <c r="J1655" s="3">
        <v>6.55</v>
      </c>
      <c r="K1655" s="4">
        <f t="shared" si="1"/>
        <v>43538.9992</v>
      </c>
      <c r="L1655" s="4">
        <f t="shared" si="2"/>
        <v>1.34509293</v>
      </c>
    </row>
    <row r="1656">
      <c r="A1656" s="3" t="s">
        <v>124</v>
      </c>
      <c r="B1656" s="3">
        <v>127.8</v>
      </c>
      <c r="C1656" s="3">
        <v>11.36</v>
      </c>
      <c r="D1656" s="3">
        <v>252.0</v>
      </c>
      <c r="E1656" s="3">
        <v>12.5</v>
      </c>
      <c r="F1656" s="3">
        <v>33.65</v>
      </c>
      <c r="G1656" s="3">
        <v>211.69</v>
      </c>
      <c r="H1656" s="3">
        <v>198.54</v>
      </c>
      <c r="I1656" s="3">
        <v>161.01</v>
      </c>
      <c r="J1656" s="3">
        <v>3.07</v>
      </c>
      <c r="K1656" s="4">
        <f t="shared" si="1"/>
        <v>45944.9786</v>
      </c>
      <c r="L1656" s="4">
        <f t="shared" si="2"/>
        <v>1.382174983</v>
      </c>
    </row>
    <row r="1657">
      <c r="A1657" s="3" t="s">
        <v>124</v>
      </c>
      <c r="B1657" s="3">
        <v>127.8</v>
      </c>
      <c r="C1657" s="3">
        <v>12.34</v>
      </c>
      <c r="D1657" s="3">
        <v>245.0</v>
      </c>
      <c r="E1657" s="3">
        <v>8.72</v>
      </c>
      <c r="F1657" s="3">
        <v>41.56</v>
      </c>
      <c r="G1657" s="3">
        <v>213.57</v>
      </c>
      <c r="H1657" s="3">
        <v>190.81</v>
      </c>
      <c r="I1657" s="3">
        <v>145.9</v>
      </c>
      <c r="J1657" s="3">
        <v>1.44</v>
      </c>
      <c r="K1657" s="4">
        <f t="shared" si="1"/>
        <v>47339.3785</v>
      </c>
      <c r="L1657" s="4">
        <f t="shared" si="2"/>
        <v>1.267971864</v>
      </c>
    </row>
    <row r="1658">
      <c r="A1658" s="3" t="s">
        <v>124</v>
      </c>
      <c r="B1658" s="3">
        <v>127.8</v>
      </c>
      <c r="C1658" s="3">
        <v>13.32</v>
      </c>
      <c r="D1658" s="3">
        <v>247.0</v>
      </c>
      <c r="E1658" s="3">
        <v>4.44</v>
      </c>
      <c r="F1658" s="3">
        <v>48.79</v>
      </c>
      <c r="G1658" s="3">
        <v>217.57</v>
      </c>
      <c r="H1658" s="3">
        <v>183.83</v>
      </c>
      <c r="I1658" s="3">
        <v>140.98</v>
      </c>
      <c r="J1658" s="3">
        <v>0.68</v>
      </c>
      <c r="K1658" s="4">
        <f t="shared" si="1"/>
        <v>49717.169</v>
      </c>
      <c r="L1658" s="4">
        <f t="shared" si="2"/>
        <v>1.227121359</v>
      </c>
    </row>
    <row r="1659">
      <c r="A1659" s="3" t="s">
        <v>124</v>
      </c>
      <c r="B1659" s="3">
        <v>127.8</v>
      </c>
      <c r="C1659" s="3">
        <v>14.3</v>
      </c>
      <c r="D1659" s="3">
        <v>238.0</v>
      </c>
      <c r="E1659" s="3">
        <v>9.29</v>
      </c>
      <c r="F1659" s="3">
        <v>54.63</v>
      </c>
      <c r="G1659" s="3">
        <v>223.69</v>
      </c>
      <c r="H1659" s="3">
        <v>177.48</v>
      </c>
      <c r="I1659" s="3">
        <v>132.1</v>
      </c>
      <c r="J1659" s="3">
        <v>0.32</v>
      </c>
      <c r="K1659" s="4">
        <f t="shared" si="1"/>
        <v>53021.653</v>
      </c>
      <c r="L1659" s="4">
        <f t="shared" si="2"/>
        <v>1.068318259</v>
      </c>
    </row>
    <row r="1660">
      <c r="A1660" s="3" t="s">
        <v>124</v>
      </c>
      <c r="B1660" s="3">
        <v>127.8</v>
      </c>
      <c r="C1660" s="3">
        <v>15.47</v>
      </c>
      <c r="D1660" s="3">
        <v>249.0</v>
      </c>
      <c r="E1660" s="3">
        <v>9.98</v>
      </c>
      <c r="F1660" s="3">
        <v>60.46</v>
      </c>
      <c r="G1660" s="3">
        <v>231.69</v>
      </c>
      <c r="H1660" s="3">
        <v>170.69</v>
      </c>
      <c r="I1660" s="3">
        <v>115.4</v>
      </c>
      <c r="J1660" s="3">
        <v>0.13</v>
      </c>
      <c r="K1660" s="4">
        <f t="shared" si="1"/>
        <v>57335.6677</v>
      </c>
      <c r="L1660" s="4">
        <f t="shared" si="2"/>
        <v>1.081368762</v>
      </c>
    </row>
    <row r="1661">
      <c r="A1661" s="3" t="s">
        <v>124</v>
      </c>
      <c r="B1661" s="3">
        <v>127.8</v>
      </c>
      <c r="C1661" s="3">
        <v>16.35</v>
      </c>
      <c r="D1661" s="3">
        <v>250.0</v>
      </c>
      <c r="E1661" s="3">
        <v>6.15</v>
      </c>
      <c r="F1661" s="3">
        <v>63.83</v>
      </c>
      <c r="G1661" s="3">
        <v>234.56</v>
      </c>
      <c r="H1661" s="3">
        <v>166.06</v>
      </c>
      <c r="I1661" s="3">
        <v>99.41</v>
      </c>
      <c r="J1661" s="3">
        <v>0.06</v>
      </c>
      <c r="K1661" s="4">
        <f t="shared" si="1"/>
        <v>59092.6625</v>
      </c>
      <c r="L1661" s="4">
        <f t="shared" si="2"/>
        <v>1.057660924</v>
      </c>
    </row>
    <row r="1662">
      <c r="A1662" s="3" t="s">
        <v>124</v>
      </c>
      <c r="B1662" s="3">
        <v>127.8</v>
      </c>
      <c r="C1662" s="3">
        <v>17.92</v>
      </c>
      <c r="D1662" s="3">
        <v>253.0</v>
      </c>
      <c r="E1662" s="3">
        <v>6.96</v>
      </c>
      <c r="F1662" s="3">
        <v>68.08</v>
      </c>
      <c r="G1662" s="3">
        <v>238.09</v>
      </c>
      <c r="H1662" s="3">
        <v>158.63</v>
      </c>
      <c r="I1662" s="3">
        <v>84.92</v>
      </c>
      <c r="J1662" s="3">
        <v>0.02</v>
      </c>
      <c r="K1662" s="4">
        <f t="shared" si="1"/>
        <v>61321.7345</v>
      </c>
      <c r="L1662" s="4">
        <f t="shared" si="2"/>
        <v>1.043822399</v>
      </c>
    </row>
    <row r="1663">
      <c r="A1663" s="3" t="s">
        <v>124</v>
      </c>
      <c r="B1663" s="3">
        <v>127.8</v>
      </c>
      <c r="C1663" s="3">
        <v>19.1</v>
      </c>
      <c r="D1663" s="3">
        <v>258.0</v>
      </c>
      <c r="E1663" s="3">
        <v>15.4</v>
      </c>
      <c r="F1663" s="3">
        <v>69.27</v>
      </c>
      <c r="G1663" s="3">
        <v>241.54</v>
      </c>
      <c r="H1663" s="3">
        <v>153.66</v>
      </c>
      <c r="I1663" s="3">
        <v>72.44</v>
      </c>
      <c r="J1663" s="3">
        <v>0.01</v>
      </c>
      <c r="K1663" s="4">
        <f t="shared" si="1"/>
        <v>63139.9045</v>
      </c>
      <c r="L1663" s="4">
        <f t="shared" si="2"/>
        <v>1.054230293</v>
      </c>
    </row>
    <row r="1664">
      <c r="A1664" s="3" t="s">
        <v>124</v>
      </c>
      <c r="B1664" s="3">
        <v>127.8</v>
      </c>
      <c r="C1664" s="3">
        <v>22.52</v>
      </c>
      <c r="D1664" s="3">
        <v>254.0</v>
      </c>
      <c r="E1664" s="3">
        <v>6.51</v>
      </c>
      <c r="F1664" s="3">
        <v>67.69</v>
      </c>
      <c r="G1664" s="3">
        <v>240.74</v>
      </c>
      <c r="H1664" s="3">
        <v>141.52</v>
      </c>
      <c r="I1664" s="3">
        <v>36.49</v>
      </c>
      <c r="J1664" s="3">
        <v>0.0</v>
      </c>
      <c r="K1664" s="4">
        <f t="shared" si="1"/>
        <v>62537.6837</v>
      </c>
      <c r="L1664" s="4">
        <f t="shared" si="2"/>
        <v>1.031633987</v>
      </c>
    </row>
    <row r="1665">
      <c r="A1665" s="3" t="s">
        <v>124</v>
      </c>
      <c r="B1665" s="3">
        <v>127.8</v>
      </c>
      <c r="C1665" s="3">
        <v>26.05</v>
      </c>
      <c r="D1665" s="3">
        <v>256.0</v>
      </c>
      <c r="E1665" s="3">
        <v>7.73</v>
      </c>
      <c r="F1665" s="3">
        <v>66.4</v>
      </c>
      <c r="G1665" s="3">
        <v>225.1</v>
      </c>
      <c r="H1665" s="3">
        <v>131.58</v>
      </c>
      <c r="I1665" s="3">
        <v>17.4</v>
      </c>
      <c r="J1665" s="3">
        <v>0.0</v>
      </c>
      <c r="K1665" s="4">
        <f t="shared" si="1"/>
        <v>55078.97</v>
      </c>
      <c r="L1665" s="4">
        <f t="shared" si="2"/>
        <v>1.189855221</v>
      </c>
    </row>
    <row r="1666">
      <c r="A1666" s="3" t="s">
        <v>124</v>
      </c>
      <c r="B1666" s="3">
        <v>127.8</v>
      </c>
      <c r="C1666" s="3">
        <v>29.48</v>
      </c>
      <c r="D1666" s="3">
        <v>255.0</v>
      </c>
      <c r="E1666" s="3">
        <v>8.5</v>
      </c>
      <c r="F1666" s="3">
        <v>63.14</v>
      </c>
      <c r="G1666" s="3">
        <v>208.87</v>
      </c>
      <c r="H1666" s="3">
        <v>123.68</v>
      </c>
      <c r="I1666" s="3">
        <v>9.64</v>
      </c>
      <c r="J1666" s="3">
        <v>0.0</v>
      </c>
      <c r="K1666" s="4">
        <f t="shared" si="1"/>
        <v>47613.3365</v>
      </c>
      <c r="L1666" s="4">
        <f t="shared" si="2"/>
        <v>1.365688792</v>
      </c>
    </row>
    <row r="1667">
      <c r="A1667" s="3" t="s">
        <v>124</v>
      </c>
      <c r="B1667" s="3">
        <v>127.8</v>
      </c>
      <c r="C1667" s="3">
        <v>33.0</v>
      </c>
      <c r="D1667" s="3">
        <v>244.0</v>
      </c>
      <c r="E1667" s="3">
        <v>5.75</v>
      </c>
      <c r="F1667" s="3">
        <v>61.55</v>
      </c>
      <c r="G1667" s="3">
        <v>195.11</v>
      </c>
      <c r="H1667" s="3">
        <v>116.89</v>
      </c>
      <c r="I1667" s="3">
        <v>7.64</v>
      </c>
      <c r="J1667" s="3">
        <v>0.0</v>
      </c>
      <c r="K1667" s="4">
        <f t="shared" si="1"/>
        <v>41856.3146</v>
      </c>
      <c r="L1667" s="4">
        <f t="shared" si="2"/>
        <v>1.422389921</v>
      </c>
    </row>
    <row r="1668">
      <c r="A1668" s="3" t="s">
        <v>124</v>
      </c>
      <c r="B1668" s="3">
        <v>127.8</v>
      </c>
      <c r="C1668" s="3">
        <v>36.43</v>
      </c>
      <c r="D1668" s="3">
        <v>246.0</v>
      </c>
      <c r="E1668" s="3">
        <v>4.24</v>
      </c>
      <c r="F1668" s="3">
        <v>65.91</v>
      </c>
      <c r="G1668" s="3">
        <v>185.57</v>
      </c>
      <c r="H1668" s="3">
        <v>111.25</v>
      </c>
      <c r="I1668" s="3">
        <v>6.5</v>
      </c>
      <c r="J1668" s="3">
        <v>0.0</v>
      </c>
      <c r="K1668" s="4">
        <f t="shared" si="1"/>
        <v>38780.353</v>
      </c>
      <c r="L1668" s="4">
        <f t="shared" si="2"/>
        <v>1.560480896</v>
      </c>
    </row>
    <row r="1669">
      <c r="A1669" s="3" t="s">
        <v>125</v>
      </c>
      <c r="B1669" s="3">
        <v>6.26</v>
      </c>
      <c r="C1669" s="3">
        <v>0.76</v>
      </c>
      <c r="D1669" s="3">
        <v>77.0</v>
      </c>
      <c r="E1669" s="3">
        <v>10.0</v>
      </c>
      <c r="F1669" s="3">
        <v>4.04</v>
      </c>
      <c r="G1669" s="3">
        <v>70.72</v>
      </c>
      <c r="H1669" s="3">
        <v>0.0</v>
      </c>
      <c r="I1669" s="3">
        <v>834.73</v>
      </c>
      <c r="J1669" s="3">
        <v>0.0</v>
      </c>
      <c r="K1669" s="4">
        <f t="shared" si="1"/>
        <v>5017.64</v>
      </c>
      <c r="L1669" s="4">
        <f t="shared" si="2"/>
        <v>1.181631205</v>
      </c>
    </row>
    <row r="1670">
      <c r="A1670" s="3" t="s">
        <v>125</v>
      </c>
      <c r="B1670" s="3">
        <v>6.26</v>
      </c>
      <c r="C1670" s="3">
        <v>1.52</v>
      </c>
      <c r="D1670" s="3">
        <v>100.0</v>
      </c>
      <c r="E1670" s="3">
        <v>5.0</v>
      </c>
      <c r="F1670" s="3">
        <v>7.62</v>
      </c>
      <c r="G1670" s="3">
        <v>123.17</v>
      </c>
      <c r="H1670" s="3">
        <v>0.0</v>
      </c>
      <c r="I1670" s="3">
        <v>563.29</v>
      </c>
      <c r="J1670" s="3">
        <v>0.0</v>
      </c>
      <c r="K1670" s="4">
        <f t="shared" si="1"/>
        <v>15228.9133</v>
      </c>
      <c r="L1670" s="4">
        <f t="shared" si="2"/>
        <v>0.6566456715</v>
      </c>
    </row>
    <row r="1671">
      <c r="A1671" s="3" t="s">
        <v>125</v>
      </c>
      <c r="B1671" s="3">
        <v>6.26</v>
      </c>
      <c r="C1671" s="3">
        <v>2.28</v>
      </c>
      <c r="D1671" s="3">
        <v>110.0</v>
      </c>
      <c r="E1671" s="3">
        <v>2.0</v>
      </c>
      <c r="F1671" s="3">
        <v>9.72</v>
      </c>
      <c r="G1671" s="3">
        <v>142.64</v>
      </c>
      <c r="H1671" s="3">
        <v>0.0</v>
      </c>
      <c r="I1671" s="3">
        <v>225.6</v>
      </c>
      <c r="J1671" s="3">
        <v>0.0</v>
      </c>
      <c r="K1671" s="4">
        <f t="shared" si="1"/>
        <v>20440.648</v>
      </c>
      <c r="L1671" s="4">
        <f t="shared" si="2"/>
        <v>0.5919577501</v>
      </c>
    </row>
    <row r="1672">
      <c r="A1672" s="3" t="s">
        <v>125</v>
      </c>
      <c r="B1672" s="3">
        <v>6.26</v>
      </c>
      <c r="C1672" s="3">
        <v>3.04</v>
      </c>
      <c r="D1672" s="3">
        <v>118.0</v>
      </c>
      <c r="E1672" s="3">
        <v>2.0</v>
      </c>
      <c r="F1672" s="3">
        <v>12.42</v>
      </c>
      <c r="G1672" s="3">
        <v>134.42</v>
      </c>
      <c r="H1672" s="3">
        <v>0.0</v>
      </c>
      <c r="I1672" s="3">
        <v>66.48</v>
      </c>
      <c r="J1672" s="3">
        <v>0.0</v>
      </c>
      <c r="K1672" s="4">
        <f t="shared" si="1"/>
        <v>18222.9928</v>
      </c>
      <c r="L1672" s="4">
        <f t="shared" si="2"/>
        <v>0.7640896395</v>
      </c>
    </row>
    <row r="1673">
      <c r="A1673" s="3" t="s">
        <v>125</v>
      </c>
      <c r="B1673" s="3">
        <v>6.26</v>
      </c>
      <c r="C1673" s="3">
        <v>3.79</v>
      </c>
      <c r="D1673" s="3">
        <v>121.0</v>
      </c>
      <c r="E1673" s="3">
        <v>2.0</v>
      </c>
      <c r="F1673" s="3">
        <v>13.35</v>
      </c>
      <c r="G1673" s="3">
        <v>121.97</v>
      </c>
      <c r="H1673" s="3">
        <v>0.0</v>
      </c>
      <c r="I1673" s="3">
        <v>28.63</v>
      </c>
      <c r="J1673" s="3">
        <v>0.0</v>
      </c>
      <c r="K1673" s="4">
        <f t="shared" si="1"/>
        <v>15054.9034</v>
      </c>
      <c r="L1673" s="4">
        <f t="shared" si="2"/>
        <v>0.9725070704</v>
      </c>
    </row>
    <row r="1674">
      <c r="A1674" s="3" t="s">
        <v>125</v>
      </c>
      <c r="B1674" s="3">
        <v>6.26</v>
      </c>
      <c r="C1674" s="3">
        <v>4.55</v>
      </c>
      <c r="D1674" s="3">
        <v>121.0</v>
      </c>
      <c r="E1674" s="3">
        <v>2.0</v>
      </c>
      <c r="F1674" s="3">
        <v>14.78</v>
      </c>
      <c r="G1674" s="3">
        <v>111.53</v>
      </c>
      <c r="H1674" s="3">
        <v>0.0</v>
      </c>
      <c r="I1674" s="3">
        <v>14.64</v>
      </c>
      <c r="J1674" s="3">
        <v>0.0</v>
      </c>
      <c r="K1674" s="4">
        <f t="shared" si="1"/>
        <v>12657.3893</v>
      </c>
      <c r="L1674" s="4">
        <f t="shared" si="2"/>
        <v>1.156715627</v>
      </c>
    </row>
    <row r="1675">
      <c r="A1675" s="3" t="s">
        <v>125</v>
      </c>
      <c r="B1675" s="3">
        <v>6.26</v>
      </c>
      <c r="C1675" s="3">
        <v>5.31</v>
      </c>
      <c r="D1675" s="3">
        <v>117.0</v>
      </c>
      <c r="E1675" s="3">
        <v>2.0</v>
      </c>
      <c r="F1675" s="3">
        <v>17.55</v>
      </c>
      <c r="G1675" s="3">
        <v>103.23</v>
      </c>
      <c r="H1675" s="3">
        <v>0.0</v>
      </c>
      <c r="I1675" s="3">
        <v>8.92</v>
      </c>
      <c r="J1675" s="3">
        <v>0.0</v>
      </c>
      <c r="K1675" s="4">
        <f t="shared" si="1"/>
        <v>10964.4354</v>
      </c>
      <c r="L1675" s="4">
        <f t="shared" si="2"/>
        <v>1.248491099</v>
      </c>
    </row>
    <row r="1676">
      <c r="A1676" s="3" t="s">
        <v>125</v>
      </c>
      <c r="B1676" s="3">
        <v>6.26</v>
      </c>
      <c r="C1676" s="3">
        <v>6.07</v>
      </c>
      <c r="D1676" s="3">
        <v>116.0</v>
      </c>
      <c r="E1676" s="3">
        <v>2.0</v>
      </c>
      <c r="F1676" s="3">
        <v>19.2</v>
      </c>
      <c r="G1676" s="3">
        <v>96.65</v>
      </c>
      <c r="H1676" s="3">
        <v>0.0</v>
      </c>
      <c r="I1676" s="3">
        <v>6.87</v>
      </c>
      <c r="J1676" s="3">
        <v>0.0</v>
      </c>
      <c r="K1676" s="4">
        <f t="shared" si="1"/>
        <v>9709.8625</v>
      </c>
      <c r="L1676" s="4">
        <f t="shared" si="2"/>
        <v>1.385807472</v>
      </c>
    </row>
    <row r="1677">
      <c r="A1677" s="3" t="s">
        <v>125</v>
      </c>
      <c r="B1677" s="3">
        <v>6.26</v>
      </c>
      <c r="C1677" s="3">
        <v>6.83</v>
      </c>
      <c r="D1677" s="3">
        <v>116.0</v>
      </c>
      <c r="E1677" s="3">
        <v>2.0</v>
      </c>
      <c r="F1677" s="3">
        <v>20.33</v>
      </c>
      <c r="G1677" s="3">
        <v>91.96</v>
      </c>
      <c r="H1677" s="3">
        <v>0.0</v>
      </c>
      <c r="I1677" s="3">
        <v>5.31</v>
      </c>
      <c r="J1677" s="3">
        <v>0.0</v>
      </c>
      <c r="K1677" s="4">
        <f t="shared" si="1"/>
        <v>8869.9505</v>
      </c>
      <c r="L1677" s="4">
        <f t="shared" si="2"/>
        <v>1.517032141</v>
      </c>
    </row>
    <row r="1678">
      <c r="A1678" s="3" t="s">
        <v>125</v>
      </c>
      <c r="B1678" s="3">
        <v>6.26</v>
      </c>
      <c r="C1678" s="3">
        <v>7.59</v>
      </c>
      <c r="D1678" s="3">
        <v>116.0</v>
      </c>
      <c r="E1678" s="3">
        <v>2.0</v>
      </c>
      <c r="F1678" s="3">
        <v>21.66</v>
      </c>
      <c r="G1678" s="3">
        <v>87.62</v>
      </c>
      <c r="H1678" s="3">
        <v>0.0</v>
      </c>
      <c r="I1678" s="3">
        <v>2.98</v>
      </c>
      <c r="J1678" s="3">
        <v>0.0</v>
      </c>
      <c r="K1678" s="4">
        <f t="shared" si="1"/>
        <v>8146.42</v>
      </c>
      <c r="L1678" s="4">
        <f t="shared" si="2"/>
        <v>1.651768507</v>
      </c>
    </row>
    <row r="1679">
      <c r="A1679" s="3" t="s">
        <v>125</v>
      </c>
      <c r="B1679" s="3">
        <v>6.26</v>
      </c>
      <c r="C1679" s="3">
        <v>8.35</v>
      </c>
      <c r="D1679" s="3">
        <v>115.0</v>
      </c>
      <c r="E1679" s="3">
        <v>1.0</v>
      </c>
      <c r="F1679" s="3">
        <v>22.79</v>
      </c>
      <c r="G1679" s="3">
        <v>83.25</v>
      </c>
      <c r="H1679" s="3">
        <v>0.0</v>
      </c>
      <c r="I1679" s="3">
        <v>1.95</v>
      </c>
      <c r="J1679" s="3">
        <v>0.0</v>
      </c>
      <c r="K1679" s="4">
        <f t="shared" si="1"/>
        <v>7449.9466</v>
      </c>
      <c r="L1679" s="4">
        <f t="shared" si="2"/>
        <v>1.775180509</v>
      </c>
    </row>
    <row r="1680">
      <c r="A1680" s="3" t="s">
        <v>125</v>
      </c>
      <c r="B1680" s="3">
        <v>6.26</v>
      </c>
      <c r="C1680" s="3">
        <v>9.11</v>
      </c>
      <c r="D1680" s="3">
        <v>115.0</v>
      </c>
      <c r="E1680" s="3">
        <v>1.0</v>
      </c>
      <c r="F1680" s="3">
        <v>23.92</v>
      </c>
      <c r="G1680" s="3">
        <v>79.58</v>
      </c>
      <c r="H1680" s="3">
        <v>0.0</v>
      </c>
      <c r="I1680" s="3">
        <v>1.74</v>
      </c>
      <c r="J1680" s="3">
        <v>0.0</v>
      </c>
      <c r="K1680" s="4">
        <f t="shared" si="1"/>
        <v>6905.1428</v>
      </c>
      <c r="L1680" s="4">
        <f t="shared" si="2"/>
        <v>1.915239175</v>
      </c>
    </row>
    <row r="1681">
      <c r="A1681" s="3" t="s">
        <v>125</v>
      </c>
      <c r="B1681" s="3">
        <v>6.26</v>
      </c>
      <c r="C1681" s="3">
        <v>9.86</v>
      </c>
      <c r="D1681" s="3">
        <v>116.0</v>
      </c>
      <c r="E1681" s="3">
        <v>1.0</v>
      </c>
      <c r="F1681" s="3">
        <v>24.84</v>
      </c>
      <c r="G1681" s="3">
        <v>76.81</v>
      </c>
      <c r="H1681" s="3">
        <v>0.0</v>
      </c>
      <c r="I1681" s="3">
        <v>1.53</v>
      </c>
      <c r="J1681" s="3">
        <v>0.0</v>
      </c>
      <c r="K1681" s="4">
        <f t="shared" si="1"/>
        <v>6516.8017</v>
      </c>
      <c r="L1681" s="4">
        <f t="shared" si="2"/>
        <v>2.06481655</v>
      </c>
    </row>
    <row r="1682">
      <c r="A1682" s="3" t="s">
        <v>125</v>
      </c>
      <c r="B1682" s="3">
        <v>6.26</v>
      </c>
      <c r="C1682" s="3">
        <v>10.64</v>
      </c>
      <c r="D1682" s="3">
        <v>117.0</v>
      </c>
      <c r="E1682" s="3">
        <v>1.0</v>
      </c>
      <c r="F1682" s="3">
        <v>25.46</v>
      </c>
      <c r="G1682" s="3">
        <v>74.18</v>
      </c>
      <c r="H1682" s="3">
        <v>0.0</v>
      </c>
      <c r="I1682" s="3">
        <v>0.83</v>
      </c>
      <c r="J1682" s="3">
        <v>0.0</v>
      </c>
      <c r="K1682" s="4">
        <f t="shared" si="1"/>
        <v>6150.884</v>
      </c>
      <c r="L1682" s="4">
        <f t="shared" si="2"/>
        <v>2.225533761</v>
      </c>
    </row>
    <row r="1683">
      <c r="A1683" s="3" t="s">
        <v>125</v>
      </c>
      <c r="B1683" s="3">
        <v>6.26</v>
      </c>
      <c r="C1683" s="3">
        <v>11.38</v>
      </c>
      <c r="D1683" s="3">
        <v>117.0</v>
      </c>
      <c r="E1683" s="3">
        <v>1.0</v>
      </c>
      <c r="F1683" s="3">
        <v>26.38</v>
      </c>
      <c r="G1683" s="3">
        <v>71.5</v>
      </c>
      <c r="H1683" s="3">
        <v>0.0</v>
      </c>
      <c r="I1683" s="3">
        <v>0.58</v>
      </c>
      <c r="J1683" s="3">
        <v>0.0</v>
      </c>
      <c r="K1683" s="4">
        <f t="shared" si="1"/>
        <v>5808.1544</v>
      </c>
      <c r="L1683" s="4">
        <f t="shared" si="2"/>
        <v>2.356858833</v>
      </c>
    </row>
    <row r="1684">
      <c r="A1684" s="3" t="s">
        <v>125</v>
      </c>
      <c r="B1684" s="3">
        <v>6.26</v>
      </c>
      <c r="C1684" s="3">
        <v>12.12</v>
      </c>
      <c r="D1684" s="3">
        <v>118.0</v>
      </c>
      <c r="E1684" s="3">
        <v>1.0</v>
      </c>
      <c r="F1684" s="3">
        <v>27.2</v>
      </c>
      <c r="G1684" s="3">
        <v>69.18</v>
      </c>
      <c r="H1684" s="3">
        <v>0.0</v>
      </c>
      <c r="I1684" s="3">
        <v>0.42</v>
      </c>
      <c r="J1684" s="3">
        <v>0.0</v>
      </c>
      <c r="K1684" s="4">
        <f t="shared" si="1"/>
        <v>5525.7124</v>
      </c>
      <c r="L1684" s="4">
        <f t="shared" si="2"/>
        <v>2.519856082</v>
      </c>
    </row>
    <row r="1685">
      <c r="A1685" s="3" t="s">
        <v>125</v>
      </c>
      <c r="B1685" s="3">
        <v>6.26</v>
      </c>
      <c r="C1685" s="3">
        <v>12.86</v>
      </c>
      <c r="D1685" s="3">
        <v>117.0</v>
      </c>
      <c r="E1685" s="3">
        <v>1.0</v>
      </c>
      <c r="F1685" s="3">
        <v>28.13</v>
      </c>
      <c r="G1685" s="3">
        <v>67.04</v>
      </c>
      <c r="H1685" s="3">
        <v>0.0</v>
      </c>
      <c r="I1685" s="3">
        <v>0.3</v>
      </c>
      <c r="J1685" s="3">
        <v>0.0</v>
      </c>
      <c r="K1685" s="4">
        <f t="shared" si="1"/>
        <v>5285.6585</v>
      </c>
      <c r="L1685" s="4">
        <f t="shared" si="2"/>
        <v>2.589838144</v>
      </c>
    </row>
    <row r="1686">
      <c r="A1686" s="3" t="s">
        <v>125</v>
      </c>
      <c r="B1686" s="3">
        <v>6.26</v>
      </c>
      <c r="C1686" s="3">
        <v>13.7</v>
      </c>
      <c r="D1686" s="3">
        <v>116.0</v>
      </c>
      <c r="E1686" s="3">
        <v>1.0</v>
      </c>
      <c r="F1686" s="3">
        <v>28.74</v>
      </c>
      <c r="G1686" s="3">
        <v>64.84</v>
      </c>
      <c r="H1686" s="3">
        <v>0.0</v>
      </c>
      <c r="I1686" s="3">
        <v>0.2</v>
      </c>
      <c r="J1686" s="3">
        <v>0.0</v>
      </c>
      <c r="K1686" s="4">
        <f t="shared" si="1"/>
        <v>5030.2132</v>
      </c>
      <c r="L1686" s="4">
        <f t="shared" si="2"/>
        <v>2.675035722</v>
      </c>
    </row>
    <row r="1687">
      <c r="A1687" s="3" t="s">
        <v>125</v>
      </c>
      <c r="B1687" s="3">
        <v>6.26</v>
      </c>
      <c r="C1687" s="3">
        <v>14.44</v>
      </c>
      <c r="D1687" s="3">
        <v>115.0</v>
      </c>
      <c r="E1687" s="3">
        <v>1.0</v>
      </c>
      <c r="F1687" s="3">
        <v>28.64</v>
      </c>
      <c r="G1687" s="3">
        <v>63.05</v>
      </c>
      <c r="H1687" s="3">
        <v>0.0</v>
      </c>
      <c r="I1687" s="3">
        <v>0.14</v>
      </c>
      <c r="J1687" s="3">
        <v>0.0</v>
      </c>
      <c r="K1687" s="4">
        <f t="shared" si="1"/>
        <v>4795.5521</v>
      </c>
      <c r="L1687" s="4">
        <f t="shared" si="2"/>
        <v>2.757763804</v>
      </c>
    </row>
    <row r="1688">
      <c r="A1688" s="3" t="s">
        <v>125</v>
      </c>
      <c r="B1688" s="3">
        <v>6.26</v>
      </c>
      <c r="C1688" s="3">
        <v>15.18</v>
      </c>
      <c r="D1688" s="3">
        <v>117.0</v>
      </c>
      <c r="E1688" s="3">
        <v>1.0</v>
      </c>
      <c r="F1688" s="3">
        <v>28.33</v>
      </c>
      <c r="G1688" s="3">
        <v>61.39</v>
      </c>
      <c r="H1688" s="3">
        <v>0.0</v>
      </c>
      <c r="I1688" s="3">
        <v>0.1</v>
      </c>
      <c r="J1688" s="3">
        <v>0.0</v>
      </c>
      <c r="K1688" s="4">
        <f t="shared" si="1"/>
        <v>4571.321</v>
      </c>
      <c r="L1688" s="4">
        <f t="shared" si="2"/>
        <v>2.994539215</v>
      </c>
    </row>
    <row r="1689">
      <c r="A1689" s="3" t="s">
        <v>125</v>
      </c>
      <c r="B1689" s="3">
        <v>6.26</v>
      </c>
      <c r="C1689" s="3">
        <v>15.91</v>
      </c>
      <c r="D1689" s="3">
        <v>116.0</v>
      </c>
      <c r="E1689" s="3">
        <v>1.0</v>
      </c>
      <c r="F1689" s="3">
        <v>28.13</v>
      </c>
      <c r="G1689" s="3">
        <v>59.88</v>
      </c>
      <c r="H1689" s="3">
        <v>0.0</v>
      </c>
      <c r="I1689" s="3">
        <v>0.07</v>
      </c>
      <c r="J1689" s="3">
        <v>0.0</v>
      </c>
      <c r="K1689" s="4">
        <f t="shared" si="1"/>
        <v>4376.9113</v>
      </c>
      <c r="L1689" s="4">
        <f t="shared" si="2"/>
        <v>3.074314072</v>
      </c>
    </row>
    <row r="1690">
      <c r="A1690" s="3" t="s">
        <v>125</v>
      </c>
      <c r="B1690" s="3">
        <v>6.26</v>
      </c>
      <c r="C1690" s="3">
        <v>16.65</v>
      </c>
      <c r="D1690" s="3">
        <v>115.0</v>
      </c>
      <c r="E1690" s="3">
        <v>2.0</v>
      </c>
      <c r="F1690" s="3">
        <v>28.33</v>
      </c>
      <c r="G1690" s="3">
        <v>58.45</v>
      </c>
      <c r="H1690" s="3">
        <v>0.0</v>
      </c>
      <c r="I1690" s="3">
        <v>0.05</v>
      </c>
      <c r="J1690" s="3">
        <v>0.0</v>
      </c>
      <c r="K1690" s="4">
        <f t="shared" si="1"/>
        <v>4218.9914</v>
      </c>
      <c r="L1690" s="4">
        <f t="shared" si="2"/>
        <v>3.134635449</v>
      </c>
    </row>
    <row r="1691">
      <c r="A1691" s="3" t="s">
        <v>125</v>
      </c>
      <c r="B1691" s="3">
        <v>6.26</v>
      </c>
      <c r="C1691" s="3">
        <v>17.49</v>
      </c>
      <c r="D1691" s="3">
        <v>115.0</v>
      </c>
      <c r="E1691" s="3">
        <v>2.0</v>
      </c>
      <c r="F1691" s="3">
        <v>28.23</v>
      </c>
      <c r="G1691" s="3">
        <v>56.93</v>
      </c>
      <c r="H1691" s="3">
        <v>0.0</v>
      </c>
      <c r="I1691" s="3">
        <v>0.03</v>
      </c>
      <c r="J1691" s="3">
        <v>0.0</v>
      </c>
      <c r="K1691" s="4">
        <f t="shared" si="1"/>
        <v>4037.9578</v>
      </c>
      <c r="L1691" s="4">
        <f t="shared" si="2"/>
        <v>3.275170434</v>
      </c>
    </row>
    <row r="1692">
      <c r="A1692" s="3" t="s">
        <v>125</v>
      </c>
      <c r="B1692" s="3">
        <v>6.26</v>
      </c>
      <c r="C1692" s="3">
        <v>18.23</v>
      </c>
      <c r="D1692" s="3">
        <v>115.0</v>
      </c>
      <c r="E1692" s="3">
        <v>2.0</v>
      </c>
      <c r="F1692" s="3">
        <v>27.82</v>
      </c>
      <c r="G1692" s="3">
        <v>55.71</v>
      </c>
      <c r="H1692" s="3">
        <v>0.0</v>
      </c>
      <c r="I1692" s="3">
        <v>0.02</v>
      </c>
      <c r="J1692" s="3">
        <v>0.0</v>
      </c>
      <c r="K1692" s="4">
        <f t="shared" si="1"/>
        <v>3877.5565</v>
      </c>
      <c r="L1692" s="4">
        <f t="shared" si="2"/>
        <v>3.410653075</v>
      </c>
    </row>
    <row r="1693">
      <c r="A1693" s="3" t="s">
        <v>125</v>
      </c>
      <c r="B1693" s="3">
        <v>6.26</v>
      </c>
      <c r="C1693" s="3">
        <v>18.97</v>
      </c>
      <c r="D1693" s="3">
        <v>114.0</v>
      </c>
      <c r="E1693" s="3">
        <v>2.0</v>
      </c>
      <c r="F1693" s="3">
        <v>27.2</v>
      </c>
      <c r="G1693" s="3">
        <v>54.55</v>
      </c>
      <c r="H1693" s="3">
        <v>0.0</v>
      </c>
      <c r="I1693" s="3">
        <v>0.02</v>
      </c>
      <c r="J1693" s="3">
        <v>0.0</v>
      </c>
      <c r="K1693" s="4">
        <f t="shared" si="1"/>
        <v>3715.5425</v>
      </c>
      <c r="L1693" s="4">
        <f t="shared" si="2"/>
        <v>3.497739563</v>
      </c>
    </row>
    <row r="1694">
      <c r="A1694" s="3" t="s">
        <v>125</v>
      </c>
      <c r="B1694" s="3">
        <v>6.26</v>
      </c>
      <c r="C1694" s="3">
        <v>19.71</v>
      </c>
      <c r="D1694" s="3">
        <v>115.0</v>
      </c>
      <c r="E1694" s="3">
        <v>2.0</v>
      </c>
      <c r="F1694" s="3">
        <v>26.9</v>
      </c>
      <c r="G1694" s="3">
        <v>53.46</v>
      </c>
      <c r="H1694" s="3">
        <v>0.0</v>
      </c>
      <c r="I1694" s="3">
        <v>0.01</v>
      </c>
      <c r="J1694" s="3">
        <v>0.0</v>
      </c>
      <c r="K1694" s="4">
        <f t="shared" si="1"/>
        <v>3581.5816</v>
      </c>
      <c r="L1694" s="4">
        <f t="shared" si="2"/>
        <v>3.692502776</v>
      </c>
    </row>
    <row r="1695">
      <c r="A1695" s="3" t="s">
        <v>125</v>
      </c>
      <c r="B1695" s="3">
        <v>6.26</v>
      </c>
      <c r="C1695" s="3">
        <v>20.45</v>
      </c>
      <c r="D1695" s="3">
        <v>114.0</v>
      </c>
      <c r="E1695" s="3">
        <v>2.0</v>
      </c>
      <c r="F1695" s="3">
        <v>26.69</v>
      </c>
      <c r="G1695" s="3">
        <v>52.44</v>
      </c>
      <c r="H1695" s="3">
        <v>0.0</v>
      </c>
      <c r="I1695" s="3">
        <v>0.01</v>
      </c>
      <c r="J1695" s="3">
        <v>0.0</v>
      </c>
      <c r="K1695" s="4">
        <f t="shared" si="1"/>
        <v>3462.3097</v>
      </c>
      <c r="L1695" s="4">
        <f t="shared" si="2"/>
        <v>3.753563698</v>
      </c>
    </row>
    <row r="1696">
      <c r="A1696" s="3" t="s">
        <v>125</v>
      </c>
      <c r="B1696" s="3">
        <v>6.26</v>
      </c>
      <c r="C1696" s="3">
        <v>21.29</v>
      </c>
      <c r="D1696" s="3">
        <v>116.0</v>
      </c>
      <c r="E1696" s="3">
        <v>2.0</v>
      </c>
      <c r="F1696" s="3">
        <v>26.49</v>
      </c>
      <c r="G1696" s="3">
        <v>51.35</v>
      </c>
      <c r="H1696" s="3">
        <v>0.0</v>
      </c>
      <c r="I1696" s="3">
        <v>0.01</v>
      </c>
      <c r="J1696" s="3">
        <v>0.0</v>
      </c>
      <c r="K1696" s="4">
        <f t="shared" si="1"/>
        <v>3338.5426</v>
      </c>
      <c r="L1696" s="4">
        <f t="shared" si="2"/>
        <v>4.030501213</v>
      </c>
    </row>
    <row r="1697">
      <c r="A1697" s="3" t="s">
        <v>125</v>
      </c>
      <c r="B1697" s="3">
        <v>6.26</v>
      </c>
      <c r="C1697" s="3">
        <v>22.03</v>
      </c>
      <c r="D1697" s="3">
        <v>115.0</v>
      </c>
      <c r="E1697" s="3">
        <v>3.0</v>
      </c>
      <c r="F1697" s="3">
        <v>26.18</v>
      </c>
      <c r="G1697" s="3">
        <v>50.44</v>
      </c>
      <c r="H1697" s="3">
        <v>0.0</v>
      </c>
      <c r="I1697" s="3">
        <v>0.0</v>
      </c>
      <c r="J1697" s="3">
        <v>0.0</v>
      </c>
      <c r="K1697" s="4">
        <f t="shared" si="1"/>
        <v>3229.586</v>
      </c>
      <c r="L1697" s="4">
        <f t="shared" si="2"/>
        <v>4.094952108</v>
      </c>
    </row>
    <row r="1698">
      <c r="A1698" s="3" t="s">
        <v>125</v>
      </c>
      <c r="B1698" s="3">
        <v>6.26</v>
      </c>
      <c r="C1698" s="3">
        <v>22.76</v>
      </c>
      <c r="D1698" s="3">
        <v>118.0</v>
      </c>
      <c r="E1698" s="3">
        <v>4.0</v>
      </c>
      <c r="F1698" s="3">
        <v>25.87</v>
      </c>
      <c r="G1698" s="3">
        <v>49.61</v>
      </c>
      <c r="H1698" s="3">
        <v>0.0</v>
      </c>
      <c r="I1698" s="3">
        <v>0.0</v>
      </c>
      <c r="J1698" s="3">
        <v>0.0</v>
      </c>
      <c r="K1698" s="4">
        <f t="shared" si="1"/>
        <v>3130.409</v>
      </c>
      <c r="L1698" s="4">
        <f t="shared" si="2"/>
        <v>4.447981079</v>
      </c>
    </row>
    <row r="1699">
      <c r="A1699" s="3" t="s">
        <v>125</v>
      </c>
      <c r="B1699" s="3">
        <v>6.26</v>
      </c>
      <c r="C1699" s="3">
        <v>23.5</v>
      </c>
      <c r="D1699" s="3">
        <v>115.0</v>
      </c>
      <c r="E1699" s="3">
        <v>10.0</v>
      </c>
      <c r="F1699" s="3">
        <v>25.46</v>
      </c>
      <c r="G1699" s="3">
        <v>48.79</v>
      </c>
      <c r="H1699" s="3">
        <v>0.0</v>
      </c>
      <c r="I1699" s="3">
        <v>0.0</v>
      </c>
      <c r="J1699" s="3">
        <v>0.0</v>
      </c>
      <c r="K1699" s="4">
        <f t="shared" si="1"/>
        <v>3028.6757</v>
      </c>
      <c r="L1699" s="4">
        <f t="shared" si="2"/>
        <v>4.366594944</v>
      </c>
    </row>
    <row r="1700">
      <c r="A1700" s="3" t="s">
        <v>126</v>
      </c>
      <c r="B1700" s="3">
        <v>51.2</v>
      </c>
      <c r="C1700" s="3">
        <v>2.5</v>
      </c>
      <c r="D1700" s="3">
        <v>206.0</v>
      </c>
      <c r="E1700" s="3">
        <v>75.0</v>
      </c>
      <c r="F1700" s="3">
        <v>0.0</v>
      </c>
      <c r="G1700" s="3">
        <v>122.77</v>
      </c>
      <c r="H1700" s="3">
        <v>171.6</v>
      </c>
      <c r="I1700" s="3">
        <v>669.71</v>
      </c>
      <c r="J1700" s="3">
        <v>11.84</v>
      </c>
      <c r="K1700" s="4">
        <f t="shared" si="1"/>
        <v>15072.4729</v>
      </c>
      <c r="L1700" s="4">
        <f t="shared" si="2"/>
        <v>2.815463679</v>
      </c>
    </row>
    <row r="1701">
      <c r="A1701" s="3" t="s">
        <v>126</v>
      </c>
      <c r="B1701" s="3">
        <v>51.2</v>
      </c>
      <c r="C1701" s="3">
        <v>7.49</v>
      </c>
      <c r="D1701" s="3">
        <v>285.0</v>
      </c>
      <c r="E1701" s="3">
        <v>8.0</v>
      </c>
      <c r="F1701" s="3">
        <v>0.0</v>
      </c>
      <c r="G1701" s="3">
        <v>218.15</v>
      </c>
      <c r="H1701" s="3">
        <v>99.53</v>
      </c>
      <c r="I1701" s="3">
        <v>282.14</v>
      </c>
      <c r="J1701" s="3">
        <v>0.0</v>
      </c>
      <c r="K1701" s="4">
        <f t="shared" si="1"/>
        <v>47589.4225</v>
      </c>
      <c r="L1701" s="4">
        <f t="shared" si="2"/>
        <v>1.706786839</v>
      </c>
    </row>
    <row r="1702">
      <c r="A1702" s="3" t="s">
        <v>126</v>
      </c>
      <c r="B1702" s="3">
        <v>51.2</v>
      </c>
      <c r="C1702" s="3">
        <v>12.54</v>
      </c>
      <c r="D1702" s="3">
        <v>291.0</v>
      </c>
      <c r="E1702" s="3">
        <v>7.0</v>
      </c>
      <c r="F1702" s="3">
        <v>0.0</v>
      </c>
      <c r="G1702" s="3">
        <v>234.07</v>
      </c>
      <c r="H1702" s="3">
        <v>76.92</v>
      </c>
      <c r="I1702" s="3">
        <v>106.66</v>
      </c>
      <c r="J1702" s="3">
        <v>0.0</v>
      </c>
      <c r="K1702" s="4">
        <f t="shared" si="1"/>
        <v>54788.7649</v>
      </c>
      <c r="L1702" s="4">
        <f t="shared" si="2"/>
        <v>1.5455906</v>
      </c>
    </row>
    <row r="1703">
      <c r="A1703" s="3" t="s">
        <v>126</v>
      </c>
      <c r="B1703" s="3">
        <v>51.2</v>
      </c>
      <c r="C1703" s="3">
        <v>17.45</v>
      </c>
      <c r="D1703" s="3">
        <v>274.0</v>
      </c>
      <c r="E1703" s="3">
        <v>5.0</v>
      </c>
      <c r="F1703" s="3">
        <v>0.0</v>
      </c>
      <c r="G1703" s="3">
        <v>221.55</v>
      </c>
      <c r="H1703" s="3">
        <v>65.21</v>
      </c>
      <c r="I1703" s="3">
        <v>40.36</v>
      </c>
      <c r="J1703" s="3">
        <v>0.0</v>
      </c>
      <c r="K1703" s="4">
        <f t="shared" si="1"/>
        <v>49084.4025</v>
      </c>
      <c r="L1703" s="4">
        <f t="shared" si="2"/>
        <v>1.529528652</v>
      </c>
    </row>
    <row r="1704">
      <c r="A1704" s="3" t="s">
        <v>126</v>
      </c>
      <c r="B1704" s="3">
        <v>51.2</v>
      </c>
      <c r="C1704" s="3">
        <v>22.47</v>
      </c>
      <c r="D1704" s="3">
        <v>266.0</v>
      </c>
      <c r="E1704" s="3">
        <v>4.0</v>
      </c>
      <c r="F1704" s="3">
        <v>23.41</v>
      </c>
      <c r="G1704" s="3">
        <v>205.25</v>
      </c>
      <c r="H1704" s="3">
        <v>57.46</v>
      </c>
      <c r="I1704" s="3">
        <v>19.71</v>
      </c>
      <c r="J1704" s="3">
        <v>0.0</v>
      </c>
      <c r="K1704" s="4">
        <f t="shared" si="1"/>
        <v>42675.5906</v>
      </c>
      <c r="L1704" s="4">
        <f t="shared" si="2"/>
        <v>1.657996972</v>
      </c>
    </row>
    <row r="1705">
      <c r="A1705" s="3" t="s">
        <v>126</v>
      </c>
      <c r="B1705" s="3">
        <v>51.2</v>
      </c>
      <c r="C1705" s="3">
        <v>27.48</v>
      </c>
      <c r="D1705" s="3">
        <v>255.0</v>
      </c>
      <c r="E1705" s="3">
        <v>2.0</v>
      </c>
      <c r="F1705" s="3">
        <v>35.47</v>
      </c>
      <c r="G1705" s="3">
        <v>190.15</v>
      </c>
      <c r="H1705" s="3">
        <v>51.96</v>
      </c>
      <c r="I1705" s="3">
        <v>8.34</v>
      </c>
      <c r="J1705" s="3">
        <v>0.0</v>
      </c>
      <c r="K1705" s="4">
        <f t="shared" si="1"/>
        <v>37415.1434</v>
      </c>
      <c r="L1705" s="4">
        <f t="shared" si="2"/>
        <v>1.737932668</v>
      </c>
    </row>
    <row r="1706">
      <c r="A1706" s="3" t="s">
        <v>126</v>
      </c>
      <c r="B1706" s="3">
        <v>51.2</v>
      </c>
      <c r="C1706" s="3">
        <v>32.5</v>
      </c>
      <c r="D1706" s="3">
        <v>250.0</v>
      </c>
      <c r="E1706" s="3">
        <v>2.0</v>
      </c>
      <c r="F1706" s="3">
        <v>42.22</v>
      </c>
      <c r="G1706" s="3">
        <v>174.2</v>
      </c>
      <c r="H1706" s="3">
        <v>47.78</v>
      </c>
      <c r="I1706" s="3">
        <v>3.62</v>
      </c>
      <c r="J1706" s="3">
        <v>0.0</v>
      </c>
      <c r="K1706" s="4">
        <f t="shared" si="1"/>
        <v>32128.1684</v>
      </c>
      <c r="L1706" s="4">
        <f t="shared" si="2"/>
        <v>1.945333429</v>
      </c>
    </row>
    <row r="1707">
      <c r="A1707" s="3" t="s">
        <v>126</v>
      </c>
      <c r="B1707" s="3">
        <v>51.2</v>
      </c>
      <c r="C1707" s="3">
        <v>37.51</v>
      </c>
      <c r="D1707" s="3">
        <v>242.0</v>
      </c>
      <c r="E1707" s="3">
        <v>2.0</v>
      </c>
      <c r="F1707" s="3">
        <v>45.59</v>
      </c>
      <c r="G1707" s="3">
        <v>160.68</v>
      </c>
      <c r="H1707" s="3">
        <v>44.48</v>
      </c>
      <c r="I1707" s="3">
        <v>1.58</v>
      </c>
      <c r="J1707" s="3">
        <v>0.0</v>
      </c>
      <c r="K1707" s="4">
        <f t="shared" si="1"/>
        <v>27896.5105</v>
      </c>
      <c r="L1707" s="4">
        <f t="shared" si="2"/>
        <v>2.099330667</v>
      </c>
    </row>
    <row r="1708">
      <c r="A1708" s="3" t="s">
        <v>126</v>
      </c>
      <c r="B1708" s="3">
        <v>51.2</v>
      </c>
      <c r="C1708" s="3">
        <v>42.42</v>
      </c>
      <c r="D1708" s="3">
        <v>237.0</v>
      </c>
      <c r="E1708" s="3">
        <v>2.0</v>
      </c>
      <c r="F1708" s="3">
        <v>49.68</v>
      </c>
      <c r="G1708" s="3">
        <v>149.48</v>
      </c>
      <c r="H1708" s="3">
        <v>41.82</v>
      </c>
      <c r="I1708" s="3">
        <v>0.7</v>
      </c>
      <c r="J1708" s="3">
        <v>0.0</v>
      </c>
      <c r="K1708" s="4">
        <f t="shared" si="1"/>
        <v>24812.3728</v>
      </c>
      <c r="L1708" s="4">
        <f t="shared" si="2"/>
        <v>2.26374964</v>
      </c>
    </row>
    <row r="1709">
      <c r="A1709" s="3" t="s">
        <v>126</v>
      </c>
      <c r="B1709" s="3">
        <v>51.2</v>
      </c>
      <c r="C1709" s="3">
        <v>47.44</v>
      </c>
      <c r="D1709" s="3">
        <v>235.0</v>
      </c>
      <c r="E1709" s="3">
        <v>2.0</v>
      </c>
      <c r="F1709" s="3">
        <v>50.91</v>
      </c>
      <c r="G1709" s="3">
        <v>139.94</v>
      </c>
      <c r="H1709" s="3">
        <v>39.55</v>
      </c>
      <c r="I1709" s="3">
        <v>0.3</v>
      </c>
      <c r="J1709" s="3">
        <v>0.0</v>
      </c>
      <c r="K1709" s="4">
        <f t="shared" si="1"/>
        <v>22175.0317</v>
      </c>
      <c r="L1709" s="4">
        <f t="shared" si="2"/>
        <v>2.490413576</v>
      </c>
    </row>
    <row r="1710">
      <c r="A1710" s="3" t="s">
        <v>126</v>
      </c>
      <c r="B1710" s="3">
        <v>51.2</v>
      </c>
      <c r="C1710" s="3">
        <v>52.45</v>
      </c>
      <c r="D1710" s="3">
        <v>236.0</v>
      </c>
      <c r="E1710" s="3">
        <v>2.0</v>
      </c>
      <c r="F1710" s="3">
        <v>48.66</v>
      </c>
      <c r="G1710" s="3">
        <v>131.98</v>
      </c>
      <c r="H1710" s="3">
        <v>37.61</v>
      </c>
      <c r="I1710" s="3">
        <v>0.13</v>
      </c>
      <c r="J1710" s="3">
        <v>0.0</v>
      </c>
      <c r="K1710" s="4">
        <f t="shared" si="1"/>
        <v>19786.516</v>
      </c>
      <c r="L1710" s="4">
        <f t="shared" si="2"/>
        <v>2.814846232</v>
      </c>
    </row>
    <row r="1711">
      <c r="A1711" s="3" t="s">
        <v>126</v>
      </c>
      <c r="B1711" s="3">
        <v>51.2</v>
      </c>
      <c r="C1711" s="3">
        <v>57.47</v>
      </c>
      <c r="D1711" s="3">
        <v>242.0</v>
      </c>
      <c r="E1711" s="3">
        <v>2.0</v>
      </c>
      <c r="F1711" s="3">
        <v>50.7</v>
      </c>
      <c r="G1711" s="3">
        <v>125.25</v>
      </c>
      <c r="H1711" s="3">
        <v>35.93</v>
      </c>
      <c r="I1711" s="3">
        <v>0.06</v>
      </c>
      <c r="J1711" s="3">
        <v>0.0</v>
      </c>
      <c r="K1711" s="4">
        <f t="shared" si="1"/>
        <v>18258.0525</v>
      </c>
      <c r="L1711" s="4">
        <f t="shared" si="2"/>
        <v>3.207571016</v>
      </c>
    </row>
    <row r="1712">
      <c r="A1712" s="3" t="s">
        <v>126</v>
      </c>
      <c r="B1712" s="3">
        <v>51.2</v>
      </c>
      <c r="C1712" s="3">
        <v>62.48</v>
      </c>
      <c r="D1712" s="3">
        <v>246.0</v>
      </c>
      <c r="E1712" s="3">
        <v>2.0</v>
      </c>
      <c r="F1712" s="3">
        <v>51.01</v>
      </c>
      <c r="G1712" s="3">
        <v>119.5</v>
      </c>
      <c r="H1712" s="3">
        <v>34.46</v>
      </c>
      <c r="I1712" s="3">
        <v>0.03</v>
      </c>
      <c r="J1712" s="3">
        <v>0.0</v>
      </c>
      <c r="K1712" s="4">
        <f t="shared" si="1"/>
        <v>16882.2701</v>
      </c>
      <c r="L1712" s="4">
        <f t="shared" si="2"/>
        <v>3.584589018</v>
      </c>
    </row>
    <row r="1713">
      <c r="A1713" s="3" t="s">
        <v>126</v>
      </c>
      <c r="B1713" s="3">
        <v>51.2</v>
      </c>
      <c r="C1713" s="3">
        <v>67.4</v>
      </c>
      <c r="D1713" s="3">
        <v>242.0</v>
      </c>
      <c r="E1713" s="3">
        <v>4.0</v>
      </c>
      <c r="F1713" s="3">
        <v>48.35</v>
      </c>
      <c r="G1713" s="3">
        <v>114.62</v>
      </c>
      <c r="H1713" s="3">
        <v>33.18</v>
      </c>
      <c r="I1713" s="3">
        <v>0.01</v>
      </c>
      <c r="J1713" s="3">
        <v>0.0</v>
      </c>
      <c r="K1713" s="4">
        <f t="shared" si="1"/>
        <v>15475.4669</v>
      </c>
      <c r="L1713" s="4">
        <f t="shared" si="2"/>
        <v>3.784312317</v>
      </c>
    </row>
    <row r="1714">
      <c r="A1714" s="3" t="s">
        <v>126</v>
      </c>
      <c r="B1714" s="3">
        <v>51.2</v>
      </c>
      <c r="C1714" s="3">
        <v>72.41</v>
      </c>
      <c r="D1714" s="3">
        <v>242.0</v>
      </c>
      <c r="E1714" s="3">
        <v>5.0</v>
      </c>
      <c r="F1714" s="3">
        <v>44.77</v>
      </c>
      <c r="G1714" s="3">
        <v>110.24</v>
      </c>
      <c r="H1714" s="3">
        <v>32.01</v>
      </c>
      <c r="I1714" s="3">
        <v>0.0</v>
      </c>
      <c r="J1714" s="3">
        <v>0.0</v>
      </c>
      <c r="K1714" s="4">
        <f t="shared" si="1"/>
        <v>14157.2105</v>
      </c>
      <c r="L1714" s="4">
        <f t="shared" si="2"/>
        <v>4.136690628</v>
      </c>
    </row>
    <row r="1715">
      <c r="A1715" s="3" t="s">
        <v>20</v>
      </c>
      <c r="B1715" s="3">
        <v>3.52</v>
      </c>
      <c r="C1715" s="3">
        <v>0.1</v>
      </c>
      <c r="D1715" s="3">
        <v>13.9</v>
      </c>
      <c r="E1715" s="3">
        <v>3.84</v>
      </c>
      <c r="F1715" s="3">
        <v>2.8</v>
      </c>
      <c r="G1715" s="3">
        <v>7.62</v>
      </c>
      <c r="H1715" s="3">
        <v>0.0</v>
      </c>
      <c r="I1715" s="3">
        <v>126.29</v>
      </c>
      <c r="J1715" s="3">
        <v>0.0</v>
      </c>
      <c r="K1715" s="4">
        <f t="shared" si="1"/>
        <v>65.9044</v>
      </c>
      <c r="L1715" s="4">
        <f t="shared" si="2"/>
        <v>2.931670723</v>
      </c>
    </row>
    <row r="1716">
      <c r="A1716" s="3" t="s">
        <v>20</v>
      </c>
      <c r="B1716" s="3">
        <v>3.52</v>
      </c>
      <c r="C1716" s="3">
        <v>0.3</v>
      </c>
      <c r="D1716" s="3">
        <v>29.9</v>
      </c>
      <c r="E1716" s="3">
        <v>3.92</v>
      </c>
      <c r="F1716" s="3">
        <v>7.72</v>
      </c>
      <c r="G1716" s="3">
        <v>17.26</v>
      </c>
      <c r="H1716" s="3">
        <v>0.0</v>
      </c>
      <c r="I1716" s="3">
        <v>62.07</v>
      </c>
      <c r="J1716" s="3">
        <v>0.0</v>
      </c>
      <c r="K1716" s="4">
        <f t="shared" si="1"/>
        <v>357.506</v>
      </c>
      <c r="L1716" s="4">
        <f t="shared" si="2"/>
        <v>2.500685303</v>
      </c>
    </row>
    <row r="1717">
      <c r="A1717" s="3" t="s">
        <v>20</v>
      </c>
      <c r="B1717" s="3">
        <v>3.52</v>
      </c>
      <c r="C1717" s="3">
        <v>0.51</v>
      </c>
      <c r="D1717" s="3">
        <v>46.7</v>
      </c>
      <c r="E1717" s="3">
        <v>4.1</v>
      </c>
      <c r="F1717" s="3">
        <v>11.07</v>
      </c>
      <c r="G1717" s="3">
        <v>20.43</v>
      </c>
      <c r="H1717" s="3">
        <v>0.0</v>
      </c>
      <c r="I1717" s="3">
        <v>30.5</v>
      </c>
      <c r="J1717" s="3">
        <v>0.0</v>
      </c>
      <c r="K1717" s="4">
        <f t="shared" si="1"/>
        <v>539.9298</v>
      </c>
      <c r="L1717" s="4">
        <f t="shared" si="2"/>
        <v>4.039210283</v>
      </c>
    </row>
    <row r="1718">
      <c r="A1718" s="3" t="s">
        <v>20</v>
      </c>
      <c r="B1718" s="3">
        <v>3.52</v>
      </c>
      <c r="C1718" s="3">
        <v>0.71</v>
      </c>
      <c r="D1718" s="3">
        <v>60.4</v>
      </c>
      <c r="E1718" s="3">
        <v>9.4</v>
      </c>
      <c r="F1718" s="3">
        <v>11.87</v>
      </c>
      <c r="G1718" s="3">
        <v>21.37</v>
      </c>
      <c r="H1718" s="3">
        <v>0.0</v>
      </c>
      <c r="I1718" s="3">
        <v>16.58</v>
      </c>
      <c r="J1718" s="3">
        <v>0.0</v>
      </c>
      <c r="K1718" s="4">
        <f t="shared" si="1"/>
        <v>597.5738</v>
      </c>
      <c r="L1718" s="4">
        <f t="shared" si="2"/>
        <v>6.104953062</v>
      </c>
    </row>
    <row r="1719">
      <c r="A1719" s="3" t="s">
        <v>127</v>
      </c>
      <c r="B1719" s="3">
        <v>5.52</v>
      </c>
      <c r="C1719" s="3">
        <v>0.19</v>
      </c>
      <c r="D1719" s="3">
        <v>153.0</v>
      </c>
      <c r="E1719" s="3">
        <v>8.0</v>
      </c>
      <c r="F1719" s="3">
        <v>0.96</v>
      </c>
      <c r="G1719" s="3">
        <v>24.4</v>
      </c>
      <c r="H1719" s="3">
        <v>233.17</v>
      </c>
      <c r="I1719" s="3">
        <v>1609.94</v>
      </c>
      <c r="J1719" s="3">
        <v>5052.7</v>
      </c>
      <c r="K1719" s="4">
        <f t="shared" si="1"/>
        <v>596.2816</v>
      </c>
      <c r="L1719" s="4">
        <f t="shared" si="2"/>
        <v>39.25829675</v>
      </c>
    </row>
    <row r="1720">
      <c r="A1720" s="3" t="s">
        <v>127</v>
      </c>
      <c r="B1720" s="3">
        <v>5.52</v>
      </c>
      <c r="C1720" s="3">
        <v>0.56</v>
      </c>
      <c r="D1720" s="3">
        <v>130.0</v>
      </c>
      <c r="E1720" s="3">
        <v>9.0</v>
      </c>
      <c r="F1720" s="3">
        <v>2.86</v>
      </c>
      <c r="G1720" s="3">
        <v>62.52</v>
      </c>
      <c r="H1720" s="3">
        <v>168.53</v>
      </c>
      <c r="I1720" s="3">
        <v>1346.02</v>
      </c>
      <c r="J1720" s="3">
        <v>485.78</v>
      </c>
      <c r="K1720" s="4">
        <f t="shared" si="1"/>
        <v>3916.93</v>
      </c>
      <c r="L1720" s="4">
        <f t="shared" si="2"/>
        <v>4.314603529</v>
      </c>
    </row>
    <row r="1721">
      <c r="A1721" s="3" t="s">
        <v>127</v>
      </c>
      <c r="B1721" s="3">
        <v>5.52</v>
      </c>
      <c r="C1721" s="3">
        <v>0.94</v>
      </c>
      <c r="D1721" s="3">
        <v>128.0</v>
      </c>
      <c r="E1721" s="3">
        <v>3.0</v>
      </c>
      <c r="F1721" s="3">
        <v>4.5</v>
      </c>
      <c r="G1721" s="3">
        <v>91.94</v>
      </c>
      <c r="H1721" s="3">
        <v>137.01</v>
      </c>
      <c r="I1721" s="3">
        <v>1105.63</v>
      </c>
      <c r="J1721" s="3">
        <v>4.79</v>
      </c>
      <c r="K1721" s="4">
        <f t="shared" si="1"/>
        <v>8473.2136</v>
      </c>
      <c r="L1721" s="4">
        <f t="shared" si="2"/>
        <v>1.933622917</v>
      </c>
    </row>
    <row r="1722">
      <c r="A1722" s="3" t="s">
        <v>127</v>
      </c>
      <c r="B1722" s="3">
        <v>5.52</v>
      </c>
      <c r="C1722" s="3">
        <v>1.22</v>
      </c>
      <c r="D1722" s="3">
        <v>134.0</v>
      </c>
      <c r="E1722" s="3">
        <v>3.0</v>
      </c>
      <c r="F1722" s="3">
        <v>5.34</v>
      </c>
      <c r="G1722" s="3">
        <v>109.48</v>
      </c>
      <c r="H1722" s="3">
        <v>120.39</v>
      </c>
      <c r="I1722" s="3">
        <v>984.97</v>
      </c>
      <c r="J1722" s="3">
        <v>0.11</v>
      </c>
      <c r="K1722" s="4">
        <f t="shared" si="1"/>
        <v>12014.386</v>
      </c>
      <c r="L1722" s="4">
        <f t="shared" si="2"/>
        <v>1.494541627</v>
      </c>
    </row>
    <row r="1723">
      <c r="A1723" s="3" t="s">
        <v>127</v>
      </c>
      <c r="B1723" s="3">
        <v>5.52</v>
      </c>
      <c r="C1723" s="3">
        <v>1.59</v>
      </c>
      <c r="D1723" s="3">
        <v>129.0</v>
      </c>
      <c r="E1723" s="3">
        <v>4.0</v>
      </c>
      <c r="F1723" s="3">
        <v>6.46</v>
      </c>
      <c r="G1723" s="3">
        <v>127.82</v>
      </c>
      <c r="H1723" s="3">
        <v>105.47</v>
      </c>
      <c r="I1723" s="3">
        <v>802.43</v>
      </c>
      <c r="J1723" s="3">
        <v>0.0</v>
      </c>
      <c r="K1723" s="4">
        <f t="shared" si="1"/>
        <v>16379.684</v>
      </c>
      <c r="L1723" s="4">
        <f t="shared" si="2"/>
        <v>1.015953666</v>
      </c>
    </row>
    <row r="1724">
      <c r="A1724" s="3" t="s">
        <v>127</v>
      </c>
      <c r="B1724" s="3">
        <v>5.52</v>
      </c>
      <c r="C1724" s="3">
        <v>1.96</v>
      </c>
      <c r="D1724" s="3">
        <v>131.0</v>
      </c>
      <c r="E1724" s="3">
        <v>7.0</v>
      </c>
      <c r="F1724" s="3">
        <v>6.51</v>
      </c>
      <c r="G1724" s="3">
        <v>138.39</v>
      </c>
      <c r="H1724" s="3">
        <v>94.99</v>
      </c>
      <c r="I1724" s="3">
        <v>679.4</v>
      </c>
      <c r="J1724" s="3">
        <v>0.0</v>
      </c>
      <c r="K1724" s="4">
        <f t="shared" si="1"/>
        <v>19194.1722</v>
      </c>
      <c r="L1724" s="4">
        <f t="shared" si="2"/>
        <v>0.8940734626</v>
      </c>
    </row>
    <row r="1725">
      <c r="A1725" s="3" t="s">
        <v>127</v>
      </c>
      <c r="B1725" s="3">
        <v>5.52</v>
      </c>
      <c r="C1725" s="3">
        <v>2.34</v>
      </c>
      <c r="D1725" s="3">
        <v>138.0</v>
      </c>
      <c r="E1725" s="3">
        <v>8.0</v>
      </c>
      <c r="F1725" s="3">
        <v>6.51</v>
      </c>
      <c r="G1725" s="3">
        <v>151.17</v>
      </c>
      <c r="H1725" s="3">
        <v>86.94</v>
      </c>
      <c r="I1725" s="3">
        <v>641.26</v>
      </c>
      <c r="J1725" s="3">
        <v>0.0</v>
      </c>
      <c r="K1725" s="4">
        <f t="shared" si="1"/>
        <v>22894.749</v>
      </c>
      <c r="L1725" s="4">
        <f t="shared" si="2"/>
        <v>0.8318064548</v>
      </c>
    </row>
    <row r="1726">
      <c r="A1726" s="3" t="s">
        <v>127</v>
      </c>
      <c r="B1726" s="3">
        <v>5.52</v>
      </c>
      <c r="C1726" s="3">
        <v>2.71</v>
      </c>
      <c r="D1726" s="3">
        <v>139.0</v>
      </c>
      <c r="E1726" s="3">
        <v>5.0</v>
      </c>
      <c r="F1726" s="3">
        <v>6.44</v>
      </c>
      <c r="G1726" s="3">
        <v>166.55</v>
      </c>
      <c r="H1726" s="3">
        <v>80.79</v>
      </c>
      <c r="I1726" s="3">
        <v>529.81</v>
      </c>
      <c r="J1726" s="3">
        <v>0.0</v>
      </c>
      <c r="K1726" s="4">
        <f t="shared" si="1"/>
        <v>27780.3761</v>
      </c>
      <c r="L1726" s="4">
        <f t="shared" si="2"/>
        <v>0.6954909441</v>
      </c>
    </row>
    <row r="1727">
      <c r="A1727" s="3" t="s">
        <v>127</v>
      </c>
      <c r="B1727" s="3">
        <v>5.52</v>
      </c>
      <c r="C1727" s="3">
        <v>2.99</v>
      </c>
      <c r="D1727" s="3">
        <v>143.0</v>
      </c>
      <c r="E1727" s="3">
        <v>3.0</v>
      </c>
      <c r="F1727" s="3">
        <v>6.38</v>
      </c>
      <c r="G1727" s="3">
        <v>170.5</v>
      </c>
      <c r="H1727" s="3">
        <v>76.91</v>
      </c>
      <c r="I1727" s="3">
        <v>471.62</v>
      </c>
      <c r="J1727" s="3">
        <v>0.0</v>
      </c>
      <c r="K1727" s="4">
        <f t="shared" si="1"/>
        <v>29110.9544</v>
      </c>
      <c r="L1727" s="4">
        <f t="shared" si="2"/>
        <v>0.7024503463</v>
      </c>
    </row>
    <row r="1728">
      <c r="A1728" s="3" t="s">
        <v>127</v>
      </c>
      <c r="B1728" s="3">
        <v>5.52</v>
      </c>
      <c r="C1728" s="3">
        <v>3.37</v>
      </c>
      <c r="D1728" s="3">
        <v>146.0</v>
      </c>
      <c r="E1728" s="3">
        <v>2.0</v>
      </c>
      <c r="F1728" s="3">
        <v>7.55</v>
      </c>
      <c r="G1728" s="3">
        <v>177.07</v>
      </c>
      <c r="H1728" s="3">
        <v>72.44</v>
      </c>
      <c r="I1728" s="3">
        <v>404.45</v>
      </c>
      <c r="J1728" s="3">
        <v>0.0</v>
      </c>
      <c r="K1728" s="4">
        <f t="shared" si="1"/>
        <v>31410.7874</v>
      </c>
      <c r="L1728" s="4">
        <f t="shared" si="2"/>
        <v>0.6786203647</v>
      </c>
    </row>
    <row r="1729">
      <c r="A1729" s="3" t="s">
        <v>127</v>
      </c>
      <c r="B1729" s="3">
        <v>5.52</v>
      </c>
      <c r="C1729" s="3">
        <v>3.74</v>
      </c>
      <c r="D1729" s="3">
        <v>154.0</v>
      </c>
      <c r="E1729" s="3">
        <v>2.0</v>
      </c>
      <c r="F1729" s="3">
        <v>10.54</v>
      </c>
      <c r="G1729" s="3">
        <v>180.71</v>
      </c>
      <c r="H1729" s="3">
        <v>68.77</v>
      </c>
      <c r="I1729" s="3">
        <v>348.88</v>
      </c>
      <c r="J1729" s="3">
        <v>0.0</v>
      </c>
      <c r="K1729" s="4">
        <f t="shared" si="1"/>
        <v>32767.1957</v>
      </c>
      <c r="L1729" s="4">
        <f t="shared" si="2"/>
        <v>0.723772648</v>
      </c>
    </row>
    <row r="1730">
      <c r="A1730" s="3" t="s">
        <v>127</v>
      </c>
      <c r="B1730" s="3">
        <v>5.52</v>
      </c>
      <c r="C1730" s="3">
        <v>4.12</v>
      </c>
      <c r="D1730" s="3">
        <v>161.0</v>
      </c>
      <c r="E1730" s="3">
        <v>1.0</v>
      </c>
      <c r="F1730" s="3">
        <v>12.86</v>
      </c>
      <c r="G1730" s="3">
        <v>184.13</v>
      </c>
      <c r="H1730" s="3">
        <v>65.52</v>
      </c>
      <c r="I1730" s="3">
        <v>319.37</v>
      </c>
      <c r="J1730" s="3">
        <v>0.0</v>
      </c>
      <c r="K1730" s="4">
        <f t="shared" si="1"/>
        <v>34069.2365</v>
      </c>
      <c r="L1730" s="4">
        <f t="shared" si="2"/>
        <v>0.7608330172</v>
      </c>
    </row>
    <row r="1731">
      <c r="A1731" s="3" t="s">
        <v>127</v>
      </c>
      <c r="B1731" s="3">
        <v>5.52</v>
      </c>
      <c r="C1731" s="3">
        <v>4.4</v>
      </c>
      <c r="D1731" s="3">
        <v>167.0</v>
      </c>
      <c r="E1731" s="3">
        <v>2.0</v>
      </c>
      <c r="F1731" s="3">
        <v>13.54</v>
      </c>
      <c r="G1731" s="3">
        <v>187.91</v>
      </c>
      <c r="H1731" s="3">
        <v>63.4</v>
      </c>
      <c r="I1731" s="3">
        <v>300.02</v>
      </c>
      <c r="J1731" s="3">
        <v>0.0</v>
      </c>
      <c r="K1731" s="4">
        <f t="shared" si="1"/>
        <v>35493.4997</v>
      </c>
      <c r="L1731" s="4">
        <f t="shared" si="2"/>
        <v>0.7857495101</v>
      </c>
    </row>
    <row r="1732">
      <c r="A1732" s="3" t="s">
        <v>127</v>
      </c>
      <c r="B1732" s="3">
        <v>5.52</v>
      </c>
      <c r="C1732" s="3">
        <v>4.77</v>
      </c>
      <c r="D1732" s="3">
        <v>173.0</v>
      </c>
      <c r="E1732" s="3">
        <v>2.0</v>
      </c>
      <c r="F1732" s="3">
        <v>14.41</v>
      </c>
      <c r="G1732" s="3">
        <v>193.15</v>
      </c>
      <c r="H1732" s="3">
        <v>60.89</v>
      </c>
      <c r="I1732" s="3">
        <v>267.87</v>
      </c>
      <c r="J1732" s="3">
        <v>0.0</v>
      </c>
      <c r="K1732" s="4">
        <f t="shared" si="1"/>
        <v>37514.5706</v>
      </c>
      <c r="L1732" s="4">
        <f t="shared" si="2"/>
        <v>0.7977966833</v>
      </c>
    </row>
    <row r="1733">
      <c r="A1733" s="3" t="s">
        <v>127</v>
      </c>
      <c r="B1733" s="3">
        <v>5.52</v>
      </c>
      <c r="C1733" s="3">
        <v>5.15</v>
      </c>
      <c r="D1733" s="3">
        <v>176.0</v>
      </c>
      <c r="E1733" s="3">
        <v>4.0</v>
      </c>
      <c r="F1733" s="3">
        <v>17.51</v>
      </c>
      <c r="G1733" s="3">
        <v>197.95</v>
      </c>
      <c r="H1733" s="3">
        <v>58.6</v>
      </c>
      <c r="I1733" s="3">
        <v>241.97</v>
      </c>
      <c r="J1733" s="3">
        <v>0.0</v>
      </c>
      <c r="K1733" s="4">
        <f t="shared" si="1"/>
        <v>39490.8026</v>
      </c>
      <c r="L1733" s="4">
        <f t="shared" si="2"/>
        <v>0.7843851723</v>
      </c>
    </row>
    <row r="1734">
      <c r="A1734" s="3" t="s">
        <v>127</v>
      </c>
      <c r="B1734" s="3">
        <v>5.52</v>
      </c>
      <c r="C1734" s="3">
        <v>5.52</v>
      </c>
      <c r="D1734" s="3">
        <v>178.0</v>
      </c>
      <c r="E1734" s="3">
        <v>5.0</v>
      </c>
      <c r="F1734" s="3">
        <v>20.8</v>
      </c>
      <c r="G1734" s="3">
        <v>204.45</v>
      </c>
      <c r="H1734" s="3">
        <v>56.6</v>
      </c>
      <c r="I1734" s="3">
        <v>207.99</v>
      </c>
      <c r="J1734" s="3">
        <v>0.0</v>
      </c>
      <c r="K1734" s="4">
        <f t="shared" si="1"/>
        <v>42232.4425</v>
      </c>
      <c r="L1734" s="4">
        <f t="shared" si="2"/>
        <v>0.7502289265</v>
      </c>
    </row>
    <row r="1735">
      <c r="A1735" s="3" t="s">
        <v>127</v>
      </c>
      <c r="B1735" s="3">
        <v>5.52</v>
      </c>
      <c r="C1735" s="3">
        <v>5.89</v>
      </c>
      <c r="D1735" s="3">
        <v>180.0</v>
      </c>
      <c r="E1735" s="3">
        <v>3.0</v>
      </c>
      <c r="F1735" s="3">
        <v>23.41</v>
      </c>
      <c r="G1735" s="3">
        <v>204.89</v>
      </c>
      <c r="H1735" s="3">
        <v>54.8</v>
      </c>
      <c r="I1735" s="3">
        <v>141.7</v>
      </c>
      <c r="J1735" s="3">
        <v>0.0</v>
      </c>
      <c r="K1735" s="4">
        <f t="shared" si="1"/>
        <v>42527.9402</v>
      </c>
      <c r="L1735" s="4">
        <f t="shared" si="2"/>
        <v>0.7618520871</v>
      </c>
    </row>
    <row r="1736">
      <c r="A1736" s="3" t="s">
        <v>127</v>
      </c>
      <c r="B1736" s="3">
        <v>5.52</v>
      </c>
      <c r="C1736" s="3">
        <v>6.17</v>
      </c>
      <c r="D1736" s="3">
        <v>179.0</v>
      </c>
      <c r="E1736" s="3">
        <v>4.0</v>
      </c>
      <c r="F1736" s="3">
        <v>25.15</v>
      </c>
      <c r="G1736" s="3">
        <v>201.57</v>
      </c>
      <c r="H1736" s="3">
        <v>53.54</v>
      </c>
      <c r="I1736" s="3">
        <v>126.19</v>
      </c>
      <c r="J1736" s="3">
        <v>0.0</v>
      </c>
      <c r="K1736" s="4">
        <f t="shared" si="1"/>
        <v>41262.9874</v>
      </c>
      <c r="L1736" s="4">
        <f t="shared" si="2"/>
        <v>0.776507035</v>
      </c>
    </row>
    <row r="1737">
      <c r="A1737" s="3" t="s">
        <v>127</v>
      </c>
      <c r="B1737" s="3">
        <v>5.52</v>
      </c>
      <c r="C1737" s="3">
        <v>6.55</v>
      </c>
      <c r="D1737" s="3">
        <v>180.0</v>
      </c>
      <c r="E1737" s="3">
        <v>5.0</v>
      </c>
      <c r="F1737" s="3">
        <v>27.66</v>
      </c>
      <c r="G1737" s="3">
        <v>200.86</v>
      </c>
      <c r="H1737" s="3">
        <v>51.96</v>
      </c>
      <c r="I1737" s="3">
        <v>123.94</v>
      </c>
      <c r="J1737" s="3">
        <v>0.0</v>
      </c>
      <c r="K1737" s="4">
        <f t="shared" si="1"/>
        <v>41109.8152</v>
      </c>
      <c r="L1737" s="4">
        <f t="shared" si="2"/>
        <v>0.7881329518</v>
      </c>
    </row>
    <row r="1738">
      <c r="A1738" s="3" t="s">
        <v>127</v>
      </c>
      <c r="B1738" s="3">
        <v>5.52</v>
      </c>
      <c r="C1738" s="3">
        <v>6.92</v>
      </c>
      <c r="D1738" s="3">
        <v>181.0</v>
      </c>
      <c r="E1738" s="3">
        <v>4.0</v>
      </c>
      <c r="F1738" s="3">
        <v>31.15</v>
      </c>
      <c r="G1738" s="3">
        <v>201.34</v>
      </c>
      <c r="H1738" s="3">
        <v>50.55</v>
      </c>
      <c r="I1738" s="3">
        <v>98.46</v>
      </c>
      <c r="J1738" s="3">
        <v>0.0</v>
      </c>
      <c r="K1738" s="4">
        <f t="shared" si="1"/>
        <v>41508.1181</v>
      </c>
      <c r="L1738" s="4">
        <f t="shared" si="2"/>
        <v>0.7892672928</v>
      </c>
    </row>
    <row r="1739">
      <c r="A1739" s="3" t="s">
        <v>127</v>
      </c>
      <c r="B1739" s="3">
        <v>5.52</v>
      </c>
      <c r="C1739" s="3">
        <v>7.3</v>
      </c>
      <c r="D1739" s="3">
        <v>179.0</v>
      </c>
      <c r="E1739" s="3">
        <v>4.0</v>
      </c>
      <c r="F1739" s="3">
        <v>34.05</v>
      </c>
      <c r="G1739" s="3">
        <v>198.33</v>
      </c>
      <c r="H1739" s="3">
        <v>49.22</v>
      </c>
      <c r="I1739" s="3">
        <v>72.51</v>
      </c>
      <c r="J1739" s="3">
        <v>0.0</v>
      </c>
      <c r="K1739" s="4">
        <f t="shared" si="1"/>
        <v>40494.1914</v>
      </c>
      <c r="L1739" s="4">
        <f t="shared" si="2"/>
        <v>0.7912492852</v>
      </c>
    </row>
    <row r="1740">
      <c r="A1740" s="3" t="s">
        <v>127</v>
      </c>
      <c r="B1740" s="3">
        <v>5.52</v>
      </c>
      <c r="C1740" s="3">
        <v>7.58</v>
      </c>
      <c r="D1740" s="3">
        <v>179.0</v>
      </c>
      <c r="E1740" s="3">
        <v>2.0</v>
      </c>
      <c r="F1740" s="3">
        <v>34.92</v>
      </c>
      <c r="G1740" s="3">
        <v>194.96</v>
      </c>
      <c r="H1740" s="3">
        <v>48.3</v>
      </c>
      <c r="I1740" s="3">
        <v>60.13</v>
      </c>
      <c r="J1740" s="3">
        <v>0.0</v>
      </c>
      <c r="K1740" s="4">
        <f t="shared" si="1"/>
        <v>39228.808</v>
      </c>
      <c r="L1740" s="4">
        <f t="shared" si="2"/>
        <v>0.8167722048</v>
      </c>
    </row>
    <row r="1741">
      <c r="A1741" s="3" t="s">
        <v>127</v>
      </c>
      <c r="B1741" s="3">
        <v>5.52</v>
      </c>
      <c r="C1741" s="3">
        <v>7.95</v>
      </c>
      <c r="D1741" s="3">
        <v>179.0</v>
      </c>
      <c r="E1741" s="3">
        <v>1.0</v>
      </c>
      <c r="F1741" s="3">
        <v>35.89</v>
      </c>
      <c r="G1741" s="3">
        <v>189.92</v>
      </c>
      <c r="H1741" s="3">
        <v>47.17</v>
      </c>
      <c r="I1741" s="3">
        <v>49.35</v>
      </c>
      <c r="J1741" s="3">
        <v>0.0</v>
      </c>
      <c r="K1741" s="4">
        <f t="shared" si="1"/>
        <v>37357.6985</v>
      </c>
      <c r="L1741" s="4">
        <f t="shared" si="2"/>
        <v>0.8576813157</v>
      </c>
    </row>
    <row r="1742">
      <c r="A1742" s="3" t="s">
        <v>127</v>
      </c>
      <c r="B1742" s="3">
        <v>5.52</v>
      </c>
      <c r="C1742" s="3">
        <v>8.33</v>
      </c>
      <c r="D1742" s="3">
        <v>178.0</v>
      </c>
      <c r="E1742" s="3">
        <v>1.0</v>
      </c>
      <c r="F1742" s="3">
        <v>37.34</v>
      </c>
      <c r="G1742" s="3">
        <v>184.93</v>
      </c>
      <c r="H1742" s="3">
        <v>46.08</v>
      </c>
      <c r="I1742" s="3">
        <v>46.41</v>
      </c>
      <c r="J1742" s="3">
        <v>0.0</v>
      </c>
      <c r="K1742" s="4">
        <f t="shared" si="1"/>
        <v>35593.3805</v>
      </c>
      <c r="L1742" s="4">
        <f t="shared" si="2"/>
        <v>0.8901655183</v>
      </c>
    </row>
    <row r="1743">
      <c r="A1743" s="3" t="s">
        <v>127</v>
      </c>
      <c r="B1743" s="3">
        <v>5.52</v>
      </c>
      <c r="C1743" s="3">
        <v>8.7</v>
      </c>
      <c r="D1743" s="3">
        <v>177.0</v>
      </c>
      <c r="E1743" s="3">
        <v>2.0</v>
      </c>
      <c r="F1743" s="3">
        <v>38.88</v>
      </c>
      <c r="G1743" s="3">
        <v>182.77</v>
      </c>
      <c r="H1743" s="3">
        <v>45.09</v>
      </c>
      <c r="I1743" s="3">
        <v>46.83</v>
      </c>
      <c r="J1743" s="3">
        <v>0.0</v>
      </c>
      <c r="K1743" s="4">
        <f t="shared" si="1"/>
        <v>34916.5273</v>
      </c>
      <c r="L1743" s="4">
        <f t="shared" si="2"/>
        <v>0.897254178</v>
      </c>
    </row>
    <row r="1744">
      <c r="A1744" s="3" t="s">
        <v>127</v>
      </c>
      <c r="B1744" s="3">
        <v>5.52</v>
      </c>
      <c r="C1744" s="3">
        <v>9.08</v>
      </c>
      <c r="D1744" s="3">
        <v>176.0</v>
      </c>
      <c r="E1744" s="3">
        <v>2.0</v>
      </c>
      <c r="F1744" s="3">
        <v>39.08</v>
      </c>
      <c r="G1744" s="3">
        <v>181.24</v>
      </c>
      <c r="H1744" s="3">
        <v>44.13</v>
      </c>
      <c r="I1744" s="3">
        <v>41.04</v>
      </c>
      <c r="J1744" s="3">
        <v>0.0</v>
      </c>
      <c r="K1744" s="4">
        <f t="shared" si="1"/>
        <v>34375.184</v>
      </c>
      <c r="L1744" s="4">
        <f t="shared" si="2"/>
        <v>0.9011151766</v>
      </c>
    </row>
    <row r="1745">
      <c r="A1745" s="3" t="s">
        <v>127</v>
      </c>
      <c r="B1745" s="3">
        <v>5.52</v>
      </c>
      <c r="C1745" s="3">
        <v>9.36</v>
      </c>
      <c r="D1745" s="3">
        <v>173.0</v>
      </c>
      <c r="E1745" s="3">
        <v>3.0</v>
      </c>
      <c r="F1745" s="3">
        <v>38.4</v>
      </c>
      <c r="G1745" s="3">
        <v>179.87</v>
      </c>
      <c r="H1745" s="3">
        <v>43.47</v>
      </c>
      <c r="I1745" s="3">
        <v>35.55</v>
      </c>
      <c r="J1745" s="3">
        <v>0.0</v>
      </c>
      <c r="K1745" s="4">
        <f t="shared" si="1"/>
        <v>33827.7769</v>
      </c>
      <c r="L1745" s="4">
        <f t="shared" si="2"/>
        <v>0.8847462867</v>
      </c>
    </row>
    <row r="1746">
      <c r="A1746" s="3" t="s">
        <v>127</v>
      </c>
      <c r="B1746" s="3">
        <v>5.52</v>
      </c>
      <c r="C1746" s="3">
        <v>9.73</v>
      </c>
      <c r="D1746" s="3">
        <v>172.0</v>
      </c>
      <c r="E1746" s="3">
        <v>2.0</v>
      </c>
      <c r="F1746" s="3">
        <v>37.72</v>
      </c>
      <c r="G1746" s="3">
        <v>177.19</v>
      </c>
      <c r="H1746" s="3">
        <v>42.63</v>
      </c>
      <c r="I1746" s="3">
        <v>30.1</v>
      </c>
      <c r="J1746" s="3">
        <v>0.0</v>
      </c>
      <c r="K1746" s="4">
        <f t="shared" si="1"/>
        <v>32819.0945</v>
      </c>
      <c r="L1746" s="4">
        <f t="shared" si="2"/>
        <v>0.9014264547</v>
      </c>
    </row>
    <row r="1747">
      <c r="A1747" s="3" t="s">
        <v>127</v>
      </c>
      <c r="B1747" s="3">
        <v>5.52</v>
      </c>
      <c r="C1747" s="3">
        <v>10.1</v>
      </c>
      <c r="D1747" s="3">
        <v>172.0</v>
      </c>
      <c r="E1747" s="3">
        <v>2.0</v>
      </c>
      <c r="F1747" s="3">
        <v>37.43</v>
      </c>
      <c r="G1747" s="3">
        <v>174.69</v>
      </c>
      <c r="H1747" s="3">
        <v>41.85</v>
      </c>
      <c r="I1747" s="3">
        <v>25.97</v>
      </c>
      <c r="J1747" s="3">
        <v>0.0</v>
      </c>
      <c r="K1747" s="4">
        <f t="shared" si="1"/>
        <v>31917.601</v>
      </c>
      <c r="L1747" s="4">
        <f t="shared" si="2"/>
        <v>0.9268867043</v>
      </c>
    </row>
    <row r="1748">
      <c r="A1748" s="3" t="s">
        <v>127</v>
      </c>
      <c r="B1748" s="3">
        <v>5.52</v>
      </c>
      <c r="C1748" s="3">
        <v>10.48</v>
      </c>
      <c r="D1748" s="3">
        <v>170.0</v>
      </c>
      <c r="E1748" s="3">
        <v>2.0</v>
      </c>
      <c r="F1748" s="3">
        <v>37.14</v>
      </c>
      <c r="G1748" s="3">
        <v>171.99</v>
      </c>
      <c r="H1748" s="3">
        <v>41.08</v>
      </c>
      <c r="I1748" s="3">
        <v>22.33</v>
      </c>
      <c r="J1748" s="3">
        <v>0.0</v>
      </c>
      <c r="K1748" s="4">
        <f t="shared" si="1"/>
        <v>30959.9397</v>
      </c>
      <c r="L1748" s="4">
        <f t="shared" si="2"/>
        <v>0.9334643504</v>
      </c>
    </row>
    <row r="1749">
      <c r="A1749" s="3" t="s">
        <v>127</v>
      </c>
      <c r="B1749" s="3">
        <v>5.52</v>
      </c>
      <c r="C1749" s="3">
        <v>10.76</v>
      </c>
      <c r="D1749" s="3">
        <v>171.0</v>
      </c>
      <c r="E1749" s="3">
        <v>2.0</v>
      </c>
      <c r="F1749" s="3">
        <v>36.66</v>
      </c>
      <c r="G1749" s="3">
        <v>170.15</v>
      </c>
      <c r="H1749" s="3">
        <v>40.54</v>
      </c>
      <c r="I1749" s="3">
        <v>19.9</v>
      </c>
      <c r="J1749" s="3">
        <v>0.0</v>
      </c>
      <c r="K1749" s="4">
        <f t="shared" si="1"/>
        <v>30294.9781</v>
      </c>
      <c r="L1749" s="4">
        <f t="shared" si="2"/>
        <v>0.9652094781</v>
      </c>
    </row>
    <row r="1750">
      <c r="A1750" s="3" t="s">
        <v>127</v>
      </c>
      <c r="B1750" s="3">
        <v>5.52</v>
      </c>
      <c r="C1750" s="3">
        <v>11.13</v>
      </c>
      <c r="D1750" s="3">
        <v>174.0</v>
      </c>
      <c r="E1750" s="3">
        <v>2.0</v>
      </c>
      <c r="F1750" s="3">
        <v>35.89</v>
      </c>
      <c r="G1750" s="3">
        <v>167.51</v>
      </c>
      <c r="H1750" s="3">
        <v>39.86</v>
      </c>
      <c r="I1750" s="3">
        <v>17.13</v>
      </c>
      <c r="J1750" s="3">
        <v>0.0</v>
      </c>
      <c r="K1750" s="4">
        <f t="shared" si="1"/>
        <v>29347.6922</v>
      </c>
      <c r="L1750" s="4">
        <f t="shared" si="2"/>
        <v>1.031631373</v>
      </c>
    </row>
    <row r="1751">
      <c r="A1751" s="3" t="s">
        <v>127</v>
      </c>
      <c r="B1751" s="3">
        <v>5.52</v>
      </c>
      <c r="C1751" s="3">
        <v>11.51</v>
      </c>
      <c r="D1751" s="3">
        <v>174.0</v>
      </c>
      <c r="E1751" s="3">
        <v>2.0</v>
      </c>
      <c r="F1751" s="3">
        <v>36.08</v>
      </c>
      <c r="G1751" s="3">
        <v>164.95</v>
      </c>
      <c r="H1751" s="3">
        <v>39.2</v>
      </c>
      <c r="I1751" s="3">
        <v>14.62</v>
      </c>
      <c r="J1751" s="3">
        <v>0.0</v>
      </c>
      <c r="K1751" s="4">
        <f t="shared" si="1"/>
        <v>28510.2689</v>
      </c>
      <c r="L1751" s="4">
        <f t="shared" si="2"/>
        <v>1.061933162</v>
      </c>
    </row>
    <row r="1752">
      <c r="A1752" s="3" t="s">
        <v>127</v>
      </c>
      <c r="B1752" s="3">
        <v>5.52</v>
      </c>
      <c r="C1752" s="3">
        <v>11.88</v>
      </c>
      <c r="D1752" s="3">
        <v>175.0</v>
      </c>
      <c r="E1752" s="3">
        <v>2.0</v>
      </c>
      <c r="F1752" s="3">
        <v>36.76</v>
      </c>
      <c r="G1752" s="3">
        <v>162.35</v>
      </c>
      <c r="H1752" s="3">
        <v>38.58</v>
      </c>
      <c r="I1752" s="3">
        <v>12.58</v>
      </c>
      <c r="J1752" s="3">
        <v>0.0</v>
      </c>
      <c r="K1752" s="4">
        <f t="shared" si="1"/>
        <v>27708.8201</v>
      </c>
      <c r="L1752" s="4">
        <f t="shared" si="2"/>
        <v>1.105243742</v>
      </c>
    </row>
    <row r="1753">
      <c r="A1753" s="3" t="s">
        <v>127</v>
      </c>
      <c r="B1753" s="3">
        <v>5.52</v>
      </c>
      <c r="C1753" s="3">
        <v>12.26</v>
      </c>
      <c r="D1753" s="3">
        <v>174.0</v>
      </c>
      <c r="E1753" s="3">
        <v>2.0</v>
      </c>
      <c r="F1753" s="3">
        <v>37.82</v>
      </c>
      <c r="G1753" s="3">
        <v>159.81</v>
      </c>
      <c r="H1753" s="3">
        <v>37.98</v>
      </c>
      <c r="I1753" s="3">
        <v>10.77</v>
      </c>
      <c r="J1753" s="3">
        <v>0.0</v>
      </c>
      <c r="K1753" s="4">
        <f t="shared" si="1"/>
        <v>26969.5885</v>
      </c>
      <c r="L1753" s="4">
        <f t="shared" si="2"/>
        <v>1.122597773</v>
      </c>
    </row>
    <row r="1754">
      <c r="A1754" s="3" t="s">
        <v>127</v>
      </c>
      <c r="B1754" s="3">
        <v>5.52</v>
      </c>
      <c r="C1754" s="3">
        <v>12.54</v>
      </c>
      <c r="D1754" s="3">
        <v>173.0</v>
      </c>
      <c r="E1754" s="3">
        <v>6.0</v>
      </c>
      <c r="F1754" s="3">
        <v>38.79</v>
      </c>
      <c r="G1754" s="3">
        <v>158.0</v>
      </c>
      <c r="H1754" s="3">
        <v>37.55</v>
      </c>
      <c r="I1754" s="3">
        <v>9.59</v>
      </c>
      <c r="J1754" s="3">
        <v>0.0</v>
      </c>
      <c r="K1754" s="4">
        <f t="shared" si="1"/>
        <v>26468.6641</v>
      </c>
      <c r="L1754" s="4">
        <f t="shared" si="2"/>
        <v>1.130733304</v>
      </c>
    </row>
    <row r="1755">
      <c r="A1755" s="3" t="s">
        <v>127</v>
      </c>
      <c r="B1755" s="3">
        <v>5.52</v>
      </c>
      <c r="C1755" s="3">
        <v>12.91</v>
      </c>
      <c r="D1755" s="3">
        <v>173.0</v>
      </c>
      <c r="E1755" s="3">
        <v>6.0</v>
      </c>
      <c r="F1755" s="3">
        <v>40.14</v>
      </c>
      <c r="G1755" s="3">
        <v>155.62</v>
      </c>
      <c r="H1755" s="3">
        <v>37.01</v>
      </c>
      <c r="I1755" s="3">
        <v>8.27</v>
      </c>
      <c r="J1755" s="3">
        <v>0.0</v>
      </c>
      <c r="K1755" s="4">
        <f t="shared" si="1"/>
        <v>25828.804</v>
      </c>
      <c r="L1755" s="4">
        <f t="shared" si="2"/>
        <v>1.158745097</v>
      </c>
    </row>
    <row r="1756">
      <c r="A1756" s="3" t="s">
        <v>127</v>
      </c>
      <c r="B1756" s="3">
        <v>5.52</v>
      </c>
      <c r="C1756" s="3">
        <v>13.29</v>
      </c>
      <c r="D1756" s="3">
        <v>173.0</v>
      </c>
      <c r="E1756" s="3">
        <v>8.0</v>
      </c>
      <c r="F1756" s="3">
        <v>42.08</v>
      </c>
      <c r="G1756" s="3">
        <v>153.17</v>
      </c>
      <c r="H1756" s="3">
        <v>36.48</v>
      </c>
      <c r="I1756" s="3">
        <v>7.06</v>
      </c>
      <c r="J1756" s="3">
        <v>0.0</v>
      </c>
      <c r="K1756" s="4">
        <f t="shared" si="1"/>
        <v>25231.7753</v>
      </c>
      <c r="L1756" s="4">
        <f t="shared" si="2"/>
        <v>1.186163068</v>
      </c>
    </row>
    <row r="1757">
      <c r="A1757" s="3" t="s">
        <v>127</v>
      </c>
      <c r="B1757" s="3">
        <v>5.52</v>
      </c>
      <c r="C1757" s="3">
        <v>13.66</v>
      </c>
      <c r="D1757" s="3">
        <v>175.0</v>
      </c>
      <c r="E1757" s="3">
        <v>9.0</v>
      </c>
      <c r="F1757" s="3">
        <v>44.01</v>
      </c>
      <c r="G1757" s="3">
        <v>150.89</v>
      </c>
      <c r="H1757" s="3">
        <v>35.98</v>
      </c>
      <c r="I1757" s="3">
        <v>6.08</v>
      </c>
      <c r="J1757" s="3">
        <v>0.0</v>
      </c>
      <c r="K1757" s="4">
        <f t="shared" si="1"/>
        <v>24704.6722</v>
      </c>
      <c r="L1757" s="4">
        <f t="shared" si="2"/>
        <v>1.239644054</v>
      </c>
    </row>
    <row r="1758">
      <c r="A1758" s="3" t="s">
        <v>127</v>
      </c>
      <c r="B1758" s="3">
        <v>5.52</v>
      </c>
      <c r="C1758" s="3">
        <v>14.03</v>
      </c>
      <c r="D1758" s="3">
        <v>174.0</v>
      </c>
      <c r="E1758" s="3">
        <v>9.0</v>
      </c>
      <c r="F1758" s="3">
        <v>45.46</v>
      </c>
      <c r="G1758" s="3">
        <v>148.68</v>
      </c>
      <c r="H1758" s="3">
        <v>35.5</v>
      </c>
      <c r="I1758" s="3">
        <v>5.22</v>
      </c>
      <c r="J1758" s="3">
        <v>0.0</v>
      </c>
      <c r="K1758" s="4">
        <f t="shared" si="1"/>
        <v>24172.354</v>
      </c>
      <c r="L1758" s="4">
        <f t="shared" si="2"/>
        <v>1.252505238</v>
      </c>
    </row>
    <row r="1759">
      <c r="A1759" s="3" t="s">
        <v>127</v>
      </c>
      <c r="B1759" s="3">
        <v>5.52</v>
      </c>
      <c r="C1759" s="3">
        <v>14.31</v>
      </c>
      <c r="D1759" s="3">
        <v>171.0</v>
      </c>
      <c r="E1759" s="3">
        <v>9.0</v>
      </c>
      <c r="F1759" s="3">
        <v>46.53</v>
      </c>
      <c r="G1759" s="3">
        <v>147.06</v>
      </c>
      <c r="H1759" s="3">
        <v>35.16</v>
      </c>
      <c r="I1759" s="3">
        <v>4.65</v>
      </c>
      <c r="J1759" s="3">
        <v>0.0</v>
      </c>
      <c r="K1759" s="4">
        <f t="shared" si="1"/>
        <v>23791.6845</v>
      </c>
      <c r="L1759" s="4">
        <f t="shared" si="2"/>
        <v>1.229042862</v>
      </c>
    </row>
    <row r="1760">
      <c r="A1760" s="3" t="s">
        <v>127</v>
      </c>
      <c r="B1760" s="3">
        <v>5.52</v>
      </c>
      <c r="C1760" s="3">
        <v>14.69</v>
      </c>
      <c r="D1760" s="3">
        <v>167.0</v>
      </c>
      <c r="E1760" s="3">
        <v>8.0</v>
      </c>
      <c r="F1760" s="3">
        <v>45.94</v>
      </c>
      <c r="G1760" s="3">
        <v>144.87</v>
      </c>
      <c r="H1760" s="3">
        <v>34.7</v>
      </c>
      <c r="I1760" s="3">
        <v>3.99</v>
      </c>
      <c r="J1760" s="3">
        <v>0.0</v>
      </c>
      <c r="K1760" s="4">
        <f t="shared" si="1"/>
        <v>23097.8005</v>
      </c>
      <c r="L1760" s="4">
        <f t="shared" si="2"/>
        <v>1.207430985</v>
      </c>
    </row>
    <row r="1761">
      <c r="A1761" s="3" t="s">
        <v>127</v>
      </c>
      <c r="B1761" s="3">
        <v>5.52</v>
      </c>
      <c r="C1761" s="3">
        <v>15.06</v>
      </c>
      <c r="D1761" s="3">
        <v>165.0</v>
      </c>
      <c r="E1761" s="3">
        <v>7.0</v>
      </c>
      <c r="F1761" s="3">
        <v>44.59</v>
      </c>
      <c r="G1761" s="3">
        <v>142.8</v>
      </c>
      <c r="H1761" s="3">
        <v>34.27</v>
      </c>
      <c r="I1761" s="3">
        <v>3.42</v>
      </c>
      <c r="J1761" s="3">
        <v>0.0</v>
      </c>
      <c r="K1761" s="4">
        <f t="shared" si="1"/>
        <v>22380.1081</v>
      </c>
      <c r="L1761" s="4">
        <f t="shared" si="2"/>
        <v>1.21648206</v>
      </c>
    </row>
    <row r="1762">
      <c r="A1762" s="3" t="s">
        <v>127</v>
      </c>
      <c r="B1762" s="3">
        <v>5.52</v>
      </c>
      <c r="C1762" s="3">
        <v>15.44</v>
      </c>
      <c r="D1762" s="3">
        <v>163.0</v>
      </c>
      <c r="E1762" s="3">
        <v>8.0</v>
      </c>
      <c r="F1762" s="3">
        <v>44.01</v>
      </c>
      <c r="G1762" s="3">
        <v>140.8</v>
      </c>
      <c r="H1762" s="3">
        <v>33.84</v>
      </c>
      <c r="I1762" s="3">
        <v>2.94</v>
      </c>
      <c r="J1762" s="3">
        <v>0.0</v>
      </c>
      <c r="K1762" s="4">
        <f t="shared" si="1"/>
        <v>21761.5201</v>
      </c>
      <c r="L1762" s="4">
        <f t="shared" si="2"/>
        <v>1.220916548</v>
      </c>
    </row>
    <row r="1763">
      <c r="A1763" s="3" t="s">
        <v>127</v>
      </c>
      <c r="B1763" s="3">
        <v>5.52</v>
      </c>
      <c r="C1763" s="3">
        <v>15.72</v>
      </c>
      <c r="D1763" s="3">
        <v>162.0</v>
      </c>
      <c r="E1763" s="3">
        <v>8.0</v>
      </c>
      <c r="F1763" s="3">
        <v>44.2</v>
      </c>
      <c r="G1763" s="3">
        <v>139.35</v>
      </c>
      <c r="H1763" s="3">
        <v>33.54</v>
      </c>
      <c r="I1763" s="3">
        <v>2.61</v>
      </c>
      <c r="J1763" s="3">
        <v>0.0</v>
      </c>
      <c r="K1763" s="4">
        <f t="shared" si="1"/>
        <v>21372.0625</v>
      </c>
      <c r="L1763" s="4">
        <f t="shared" si="2"/>
        <v>1.227958228</v>
      </c>
    </row>
    <row r="1764">
      <c r="A1764" s="3" t="s">
        <v>127</v>
      </c>
      <c r="B1764" s="3">
        <v>5.52</v>
      </c>
      <c r="C1764" s="3">
        <v>16.09</v>
      </c>
      <c r="D1764" s="3">
        <v>161.0</v>
      </c>
      <c r="E1764" s="3">
        <v>9.0</v>
      </c>
      <c r="F1764" s="3">
        <v>33.85</v>
      </c>
      <c r="G1764" s="3">
        <v>137.46</v>
      </c>
      <c r="H1764" s="3">
        <v>33.15</v>
      </c>
      <c r="I1764" s="3">
        <v>2.25</v>
      </c>
      <c r="J1764" s="3">
        <v>0.0</v>
      </c>
      <c r="K1764" s="4">
        <f t="shared" si="1"/>
        <v>20041.0741</v>
      </c>
      <c r="L1764" s="4">
        <f t="shared" si="2"/>
        <v>1.293393751</v>
      </c>
    </row>
    <row r="1765">
      <c r="A1765" s="3" t="s">
        <v>127</v>
      </c>
      <c r="B1765" s="3">
        <v>5.52</v>
      </c>
      <c r="C1765" s="3">
        <v>16.47</v>
      </c>
      <c r="D1765" s="3">
        <v>159.0</v>
      </c>
      <c r="E1765" s="3">
        <v>10.0</v>
      </c>
      <c r="F1765" s="3">
        <v>33.85</v>
      </c>
      <c r="G1765" s="3">
        <v>135.59</v>
      </c>
      <c r="H1765" s="3">
        <v>32.77</v>
      </c>
      <c r="I1765" s="3">
        <v>1.93</v>
      </c>
      <c r="J1765" s="3">
        <v>0.0</v>
      </c>
      <c r="K1765" s="4">
        <f t="shared" si="1"/>
        <v>19530.4706</v>
      </c>
      <c r="L1765" s="4">
        <f t="shared" si="2"/>
        <v>1.294438855</v>
      </c>
    </row>
    <row r="1766">
      <c r="A1766" s="3" t="s">
        <v>127</v>
      </c>
      <c r="B1766" s="3">
        <v>5.52</v>
      </c>
      <c r="C1766" s="3">
        <v>16.84</v>
      </c>
      <c r="D1766" s="3">
        <v>158.0</v>
      </c>
      <c r="E1766" s="3">
        <v>10.0</v>
      </c>
      <c r="F1766" s="3">
        <v>33.85</v>
      </c>
      <c r="G1766" s="3">
        <v>133.88</v>
      </c>
      <c r="H1766" s="3">
        <v>32.41</v>
      </c>
      <c r="I1766" s="3">
        <v>1.65</v>
      </c>
      <c r="J1766" s="3">
        <v>0.0</v>
      </c>
      <c r="K1766" s="4">
        <f t="shared" si="1"/>
        <v>19069.6769</v>
      </c>
      <c r="L1766" s="4">
        <f t="shared" si="2"/>
        <v>1.30909402</v>
      </c>
    </row>
    <row r="1767">
      <c r="A1767" s="3" t="s">
        <v>127</v>
      </c>
      <c r="B1767" s="3">
        <v>5.52</v>
      </c>
      <c r="C1767" s="3">
        <v>17.21</v>
      </c>
      <c r="D1767" s="3">
        <v>157.0</v>
      </c>
      <c r="E1767" s="3">
        <v>10.0</v>
      </c>
      <c r="F1767" s="3">
        <v>33.85</v>
      </c>
      <c r="G1767" s="3">
        <v>132.2</v>
      </c>
      <c r="H1767" s="3">
        <v>32.06</v>
      </c>
      <c r="I1767" s="3">
        <v>1.42</v>
      </c>
      <c r="J1767" s="3">
        <v>0.0</v>
      </c>
      <c r="K1767" s="4">
        <f t="shared" si="1"/>
        <v>18622.6625</v>
      </c>
      <c r="L1767" s="4">
        <f t="shared" si="2"/>
        <v>1.323602358</v>
      </c>
    </row>
    <row r="1768">
      <c r="A1768" s="3" t="s">
        <v>127</v>
      </c>
      <c r="B1768" s="3">
        <v>5.52</v>
      </c>
      <c r="C1768" s="3">
        <v>17.5</v>
      </c>
      <c r="D1768" s="3">
        <v>157.0</v>
      </c>
      <c r="E1768" s="3">
        <v>10.0</v>
      </c>
      <c r="F1768" s="3">
        <v>33.85</v>
      </c>
      <c r="G1768" s="3">
        <v>130.89</v>
      </c>
      <c r="H1768" s="3">
        <v>31.79</v>
      </c>
      <c r="I1768" s="3">
        <v>1.26</v>
      </c>
      <c r="J1768" s="3">
        <v>0.0</v>
      </c>
      <c r="K1768" s="4">
        <f t="shared" si="1"/>
        <v>18278.0146</v>
      </c>
      <c r="L1768" s="4">
        <f t="shared" si="2"/>
        <v>1.348560035</v>
      </c>
    </row>
    <row r="1769">
      <c r="A1769" s="3" t="s">
        <v>127</v>
      </c>
      <c r="B1769" s="3">
        <v>5.52</v>
      </c>
      <c r="C1769" s="3">
        <v>17.87</v>
      </c>
      <c r="D1769" s="3">
        <v>157.0</v>
      </c>
      <c r="E1769" s="3">
        <v>9.0</v>
      </c>
      <c r="F1769" s="3">
        <v>33.85</v>
      </c>
      <c r="G1769" s="3">
        <v>129.3</v>
      </c>
      <c r="H1769" s="3">
        <v>31.46</v>
      </c>
      <c r="I1769" s="3">
        <v>1.09</v>
      </c>
      <c r="J1769" s="3">
        <v>0.0</v>
      </c>
      <c r="K1769" s="4">
        <f t="shared" si="1"/>
        <v>17864.3125</v>
      </c>
      <c r="L1769" s="4">
        <f t="shared" si="2"/>
        <v>1.379790014</v>
      </c>
    </row>
    <row r="1770">
      <c r="A1770" s="3" t="s">
        <v>127</v>
      </c>
      <c r="B1770" s="3">
        <v>5.52</v>
      </c>
      <c r="C1770" s="3">
        <v>18.24</v>
      </c>
      <c r="D1770" s="3">
        <v>160.0</v>
      </c>
      <c r="E1770" s="3">
        <v>11.0</v>
      </c>
      <c r="F1770" s="3">
        <v>33.85</v>
      </c>
      <c r="G1770" s="3">
        <v>127.8</v>
      </c>
      <c r="H1770" s="3">
        <v>31.14</v>
      </c>
      <c r="I1770" s="3">
        <v>0.93</v>
      </c>
      <c r="J1770" s="3">
        <v>0.0</v>
      </c>
      <c r="K1770" s="4">
        <f t="shared" si="1"/>
        <v>17478.6625</v>
      </c>
      <c r="L1770" s="4">
        <f t="shared" si="2"/>
        <v>1.464642961</v>
      </c>
    </row>
    <row r="1771">
      <c r="A1771" s="3" t="s">
        <v>127</v>
      </c>
      <c r="B1771" s="3">
        <v>5.52</v>
      </c>
      <c r="C1771" s="3">
        <v>18.62</v>
      </c>
      <c r="D1771" s="3">
        <v>159.0</v>
      </c>
      <c r="E1771" s="3">
        <v>12.0</v>
      </c>
      <c r="F1771" s="3">
        <v>33.85</v>
      </c>
      <c r="G1771" s="3">
        <v>126.3</v>
      </c>
      <c r="H1771" s="3">
        <v>30.82</v>
      </c>
      <c r="I1771" s="3">
        <v>0.8</v>
      </c>
      <c r="J1771" s="3">
        <v>0.0</v>
      </c>
      <c r="K1771" s="4">
        <f t="shared" si="1"/>
        <v>17097.5125</v>
      </c>
      <c r="L1771" s="4">
        <f t="shared" si="2"/>
        <v>1.478636147</v>
      </c>
    </row>
    <row r="1772">
      <c r="A1772" s="3" t="s">
        <v>127</v>
      </c>
      <c r="B1772" s="3">
        <v>5.52</v>
      </c>
      <c r="C1772" s="3">
        <v>18.9</v>
      </c>
      <c r="D1772" s="3">
        <v>160.0</v>
      </c>
      <c r="E1772" s="3">
        <v>14.0</v>
      </c>
      <c r="F1772" s="3">
        <v>33.85</v>
      </c>
      <c r="G1772" s="3">
        <v>125.2</v>
      </c>
      <c r="H1772" s="3">
        <v>30.59</v>
      </c>
      <c r="I1772" s="3">
        <v>0.71</v>
      </c>
      <c r="J1772" s="3">
        <v>0.0</v>
      </c>
      <c r="K1772" s="4">
        <f t="shared" si="1"/>
        <v>16820.8625</v>
      </c>
      <c r="L1772" s="4">
        <f t="shared" si="2"/>
        <v>1.521919581</v>
      </c>
    </row>
    <row r="1773">
      <c r="A1773" s="3" t="s">
        <v>127</v>
      </c>
      <c r="B1773" s="3">
        <v>5.52</v>
      </c>
      <c r="C1773" s="3">
        <v>19.27</v>
      </c>
      <c r="D1773" s="3">
        <v>158.0</v>
      </c>
      <c r="E1773" s="3">
        <v>16.0</v>
      </c>
      <c r="F1773" s="3">
        <v>33.85</v>
      </c>
      <c r="G1773" s="3">
        <v>123.92</v>
      </c>
      <c r="H1773" s="3">
        <v>30.3</v>
      </c>
      <c r="I1773" s="3">
        <v>0.61</v>
      </c>
      <c r="J1773" s="3">
        <v>0.0</v>
      </c>
      <c r="K1773" s="4">
        <f t="shared" si="1"/>
        <v>16501.9889</v>
      </c>
      <c r="L1773" s="4">
        <f t="shared" si="2"/>
        <v>1.512787346</v>
      </c>
    </row>
    <row r="1774">
      <c r="A1774" s="3" t="s">
        <v>127</v>
      </c>
      <c r="B1774" s="3">
        <v>5.52</v>
      </c>
      <c r="C1774" s="3">
        <v>19.65</v>
      </c>
      <c r="D1774" s="3">
        <v>155.0</v>
      </c>
      <c r="E1774" s="3">
        <v>18.0</v>
      </c>
      <c r="F1774" s="3">
        <v>33.85</v>
      </c>
      <c r="G1774" s="3">
        <v>122.75</v>
      </c>
      <c r="H1774" s="3">
        <v>30.0</v>
      </c>
      <c r="I1774" s="3">
        <v>0.52</v>
      </c>
      <c r="J1774" s="3">
        <v>0.0</v>
      </c>
      <c r="K1774" s="4">
        <f t="shared" si="1"/>
        <v>16213.385</v>
      </c>
      <c r="L1774" s="4">
        <f t="shared" si="2"/>
        <v>1.481800377</v>
      </c>
    </row>
    <row r="1775">
      <c r="A1775" s="3" t="s">
        <v>127</v>
      </c>
      <c r="B1775" s="3">
        <v>5.52</v>
      </c>
      <c r="C1775" s="3">
        <v>20.02</v>
      </c>
      <c r="D1775" s="3">
        <v>157.0</v>
      </c>
      <c r="E1775" s="3">
        <v>19.0</v>
      </c>
      <c r="F1775" s="3">
        <v>33.85</v>
      </c>
      <c r="G1775" s="3">
        <v>121.08</v>
      </c>
      <c r="H1775" s="3">
        <v>29.72</v>
      </c>
      <c r="I1775" s="3">
        <v>0.0</v>
      </c>
      <c r="J1775" s="3">
        <v>0.0</v>
      </c>
      <c r="K1775" s="4">
        <f t="shared" si="1"/>
        <v>15806.1889</v>
      </c>
      <c r="L1775" s="4">
        <f t="shared" si="2"/>
        <v>1.55945245</v>
      </c>
    </row>
    <row r="1776">
      <c r="A1776" s="3" t="s">
        <v>127</v>
      </c>
      <c r="B1776" s="3">
        <v>5.52</v>
      </c>
      <c r="C1776" s="3">
        <v>20.4</v>
      </c>
      <c r="D1776" s="3">
        <v>154.0</v>
      </c>
      <c r="E1776" s="3">
        <v>21.0</v>
      </c>
      <c r="F1776" s="3">
        <v>33.85</v>
      </c>
      <c r="G1776" s="3">
        <v>119.5</v>
      </c>
      <c r="H1776" s="3">
        <v>29.44</v>
      </c>
      <c r="I1776" s="3">
        <v>0.0</v>
      </c>
      <c r="J1776" s="3">
        <v>0.0</v>
      </c>
      <c r="K1776" s="4">
        <f t="shared" si="1"/>
        <v>15426.0725</v>
      </c>
      <c r="L1776" s="4">
        <f t="shared" si="2"/>
        <v>1.537397157</v>
      </c>
    </row>
    <row r="1777">
      <c r="A1777" s="3" t="s">
        <v>128</v>
      </c>
      <c r="B1777" s="3">
        <v>14.7</v>
      </c>
      <c r="C1777" s="3">
        <v>2.67</v>
      </c>
      <c r="D1777" s="3">
        <v>221.0</v>
      </c>
      <c r="E1777" s="3">
        <v>20.0</v>
      </c>
      <c r="F1777" s="3">
        <v>-12.02</v>
      </c>
      <c r="G1777" s="3">
        <v>317.9</v>
      </c>
      <c r="H1777" s="3">
        <v>136.84</v>
      </c>
      <c r="I1777" s="3">
        <v>2029.41</v>
      </c>
      <c r="J1777" s="3">
        <v>0.0</v>
      </c>
      <c r="K1777" s="4">
        <f t="shared" si="1"/>
        <v>101204.8904</v>
      </c>
      <c r="L1777" s="4">
        <f t="shared" si="2"/>
        <v>0.4825952561</v>
      </c>
    </row>
    <row r="1778">
      <c r="A1778" s="3" t="s">
        <v>128</v>
      </c>
      <c r="B1778" s="3">
        <v>14.7</v>
      </c>
      <c r="C1778" s="3">
        <v>3.21</v>
      </c>
      <c r="D1778" s="3">
        <v>237.0</v>
      </c>
      <c r="E1778" s="3">
        <v>13.0</v>
      </c>
      <c r="F1778" s="3">
        <v>-12.52</v>
      </c>
      <c r="G1778" s="3">
        <v>344.05</v>
      </c>
      <c r="H1778" s="3">
        <v>124.77</v>
      </c>
      <c r="I1778" s="3">
        <v>1695.43</v>
      </c>
      <c r="J1778" s="3">
        <v>0.0</v>
      </c>
      <c r="K1778" s="4">
        <f t="shared" si="1"/>
        <v>118527.1529</v>
      </c>
      <c r="L1778" s="4">
        <f t="shared" si="2"/>
        <v>0.4738914133</v>
      </c>
    </row>
    <row r="1779">
      <c r="A1779" s="3" t="s">
        <v>128</v>
      </c>
      <c r="B1779" s="3">
        <v>14.7</v>
      </c>
      <c r="C1779" s="3">
        <v>3.74</v>
      </c>
      <c r="D1779" s="3">
        <v>249.0</v>
      </c>
      <c r="E1779" s="3">
        <v>8.0</v>
      </c>
      <c r="F1779" s="3">
        <v>-12.91</v>
      </c>
      <c r="G1779" s="3">
        <v>365.51</v>
      </c>
      <c r="H1779" s="3">
        <v>115.63</v>
      </c>
      <c r="I1779" s="3">
        <v>1209.56</v>
      </c>
      <c r="J1779" s="3">
        <v>0.0</v>
      </c>
      <c r="K1779" s="4">
        <f t="shared" si="1"/>
        <v>133764.2282</v>
      </c>
      <c r="L1779" s="4">
        <f t="shared" si="2"/>
        <v>0.4635095708</v>
      </c>
    </row>
    <row r="1780">
      <c r="A1780" s="3" t="s">
        <v>128</v>
      </c>
      <c r="B1780" s="3">
        <v>14.7</v>
      </c>
      <c r="C1780" s="3">
        <v>4.27</v>
      </c>
      <c r="D1780" s="3">
        <v>250.0</v>
      </c>
      <c r="E1780" s="3">
        <v>5.0</v>
      </c>
      <c r="F1780" s="3">
        <v>-12.71</v>
      </c>
      <c r="G1780" s="3">
        <v>368.89</v>
      </c>
      <c r="H1780" s="3">
        <v>108.22</v>
      </c>
      <c r="I1780" s="3">
        <v>879.42</v>
      </c>
      <c r="J1780" s="3">
        <v>0.0</v>
      </c>
      <c r="K1780" s="4">
        <f t="shared" si="1"/>
        <v>136241.3762</v>
      </c>
      <c r="L1780" s="4">
        <f t="shared" si="2"/>
        <v>0.4587446321</v>
      </c>
    </row>
    <row r="1781">
      <c r="A1781" s="3" t="s">
        <v>128</v>
      </c>
      <c r="B1781" s="3">
        <v>14.7</v>
      </c>
      <c r="C1781" s="3">
        <v>4.81</v>
      </c>
      <c r="D1781" s="3">
        <v>253.0</v>
      </c>
      <c r="E1781" s="3">
        <v>5.0</v>
      </c>
      <c r="F1781" s="3">
        <v>-11.52</v>
      </c>
      <c r="G1781" s="3">
        <v>367.77</v>
      </c>
      <c r="H1781" s="3">
        <v>101.96</v>
      </c>
      <c r="I1781" s="3">
        <v>718.98</v>
      </c>
      <c r="J1781" s="3">
        <v>0.0</v>
      </c>
      <c r="K1781" s="4">
        <f t="shared" si="1"/>
        <v>135387.4833</v>
      </c>
      <c r="L1781" s="4">
        <f t="shared" si="2"/>
        <v>0.4727837348</v>
      </c>
    </row>
    <row r="1782">
      <c r="A1782" s="3" t="s">
        <v>128</v>
      </c>
      <c r="B1782" s="3">
        <v>14.7</v>
      </c>
      <c r="C1782" s="3">
        <v>5.35</v>
      </c>
      <c r="D1782" s="3">
        <v>257.0</v>
      </c>
      <c r="E1782" s="3">
        <v>5.0</v>
      </c>
      <c r="F1782" s="3">
        <v>-9.56</v>
      </c>
      <c r="G1782" s="3">
        <v>371.23</v>
      </c>
      <c r="H1782" s="3">
        <v>96.68</v>
      </c>
      <c r="I1782" s="3">
        <v>558.39</v>
      </c>
      <c r="J1782" s="3">
        <v>0.0</v>
      </c>
      <c r="K1782" s="4">
        <f t="shared" si="1"/>
        <v>137903.1065</v>
      </c>
      <c r="L1782" s="4">
        <f t="shared" si="2"/>
        <v>0.4789522272</v>
      </c>
    </row>
    <row r="1783">
      <c r="A1783" s="3" t="s">
        <v>128</v>
      </c>
      <c r="B1783" s="3">
        <v>14.7</v>
      </c>
      <c r="C1783" s="3">
        <v>5.88</v>
      </c>
      <c r="D1783" s="3">
        <v>257.0</v>
      </c>
      <c r="E1783" s="3">
        <v>5.0</v>
      </c>
      <c r="F1783" s="3">
        <v>-6.26</v>
      </c>
      <c r="G1783" s="3">
        <v>365.05</v>
      </c>
      <c r="H1783" s="3">
        <v>92.22</v>
      </c>
      <c r="I1783" s="3">
        <v>415.53</v>
      </c>
      <c r="J1783" s="3">
        <v>0.0</v>
      </c>
      <c r="K1783" s="4">
        <f t="shared" si="1"/>
        <v>133300.6901</v>
      </c>
      <c r="L1783" s="4">
        <f t="shared" si="2"/>
        <v>0.4954888077</v>
      </c>
    </row>
    <row r="1784">
      <c r="A1784" s="3" t="s">
        <v>128</v>
      </c>
      <c r="B1784" s="3">
        <v>14.7</v>
      </c>
      <c r="C1784" s="3">
        <v>6.41</v>
      </c>
      <c r="D1784" s="3">
        <v>257.0</v>
      </c>
      <c r="E1784" s="3">
        <v>5.0</v>
      </c>
      <c r="F1784" s="3">
        <v>4.8</v>
      </c>
      <c r="G1784" s="3">
        <v>360.1</v>
      </c>
      <c r="H1784" s="3">
        <v>88.33</v>
      </c>
      <c r="I1784" s="3">
        <v>334.62</v>
      </c>
      <c r="J1784" s="3">
        <v>0.0</v>
      </c>
      <c r="K1784" s="4">
        <f t="shared" si="1"/>
        <v>129695.05</v>
      </c>
      <c r="L1784" s="4">
        <f t="shared" si="2"/>
        <v>0.5092638462</v>
      </c>
    </row>
    <row r="1785">
      <c r="A1785" s="3" t="s">
        <v>128</v>
      </c>
      <c r="B1785" s="3">
        <v>14.7</v>
      </c>
      <c r="C1785" s="3">
        <v>7.48</v>
      </c>
      <c r="D1785" s="3">
        <v>257.0</v>
      </c>
      <c r="E1785" s="3">
        <v>5.0</v>
      </c>
      <c r="F1785" s="3">
        <v>12.22</v>
      </c>
      <c r="G1785" s="3">
        <v>345.54</v>
      </c>
      <c r="H1785" s="3">
        <v>81.76</v>
      </c>
      <c r="I1785" s="3">
        <v>196.95</v>
      </c>
      <c r="J1785" s="3">
        <v>0.0</v>
      </c>
      <c r="K1785" s="4">
        <f t="shared" si="1"/>
        <v>119547.22</v>
      </c>
      <c r="L1785" s="4">
        <f t="shared" si="2"/>
        <v>0.5524929814</v>
      </c>
    </row>
    <row r="1786">
      <c r="A1786" s="3" t="s">
        <v>128</v>
      </c>
      <c r="B1786" s="3">
        <v>14.7</v>
      </c>
      <c r="C1786" s="3">
        <v>8.55</v>
      </c>
      <c r="D1786" s="3">
        <v>255.0</v>
      </c>
      <c r="E1786" s="3">
        <v>5.0</v>
      </c>
      <c r="F1786" s="3">
        <v>16.59</v>
      </c>
      <c r="G1786" s="3">
        <v>324.23</v>
      </c>
      <c r="H1786" s="3">
        <v>76.48</v>
      </c>
      <c r="I1786" s="3">
        <v>125.71</v>
      </c>
      <c r="J1786" s="3">
        <v>0.0</v>
      </c>
      <c r="K1786" s="4">
        <f t="shared" si="1"/>
        <v>105400.321</v>
      </c>
      <c r="L1786" s="4">
        <f t="shared" si="2"/>
        <v>0.616933605</v>
      </c>
    </row>
    <row r="1787">
      <c r="A1787" s="3" t="s">
        <v>128</v>
      </c>
      <c r="B1787" s="3">
        <v>14.7</v>
      </c>
      <c r="C1787" s="3">
        <v>9.62</v>
      </c>
      <c r="D1787" s="3">
        <v>248.0</v>
      </c>
      <c r="E1787" s="3">
        <v>6.0</v>
      </c>
      <c r="F1787" s="3">
        <v>22.45</v>
      </c>
      <c r="G1787" s="3">
        <v>311.29</v>
      </c>
      <c r="H1787" s="3">
        <v>72.1</v>
      </c>
      <c r="I1787" s="3">
        <v>108.76</v>
      </c>
      <c r="J1787" s="3">
        <v>0.0</v>
      </c>
      <c r="K1787" s="4">
        <f t="shared" si="1"/>
        <v>97405.4666</v>
      </c>
      <c r="L1787" s="4">
        <f t="shared" si="2"/>
        <v>0.6314224668</v>
      </c>
    </row>
    <row r="1788">
      <c r="A1788" s="3" t="s">
        <v>128</v>
      </c>
      <c r="B1788" s="3">
        <v>14.7</v>
      </c>
      <c r="C1788" s="3">
        <v>10.66</v>
      </c>
      <c r="D1788" s="3">
        <v>247.0</v>
      </c>
      <c r="E1788" s="3">
        <v>6.0</v>
      </c>
      <c r="F1788" s="3">
        <v>28.21</v>
      </c>
      <c r="G1788" s="3">
        <v>299.93</v>
      </c>
      <c r="H1788" s="3">
        <v>68.49</v>
      </c>
      <c r="I1788" s="3">
        <v>79.7</v>
      </c>
      <c r="J1788" s="3">
        <v>0.0</v>
      </c>
      <c r="K1788" s="4">
        <f t="shared" si="1"/>
        <v>90753.809</v>
      </c>
      <c r="L1788" s="4">
        <f t="shared" si="2"/>
        <v>0.6722472662</v>
      </c>
    </row>
    <row r="1789">
      <c r="A1789" s="3" t="s">
        <v>128</v>
      </c>
      <c r="B1789" s="3">
        <v>14.7</v>
      </c>
      <c r="C1789" s="3">
        <v>11.74</v>
      </c>
      <c r="D1789" s="3">
        <v>246.0</v>
      </c>
      <c r="E1789" s="3">
        <v>6.0</v>
      </c>
      <c r="F1789" s="3">
        <v>33.77</v>
      </c>
      <c r="G1789" s="3">
        <v>288.64</v>
      </c>
      <c r="H1789" s="3">
        <v>65.26</v>
      </c>
      <c r="I1789" s="3">
        <v>68.87</v>
      </c>
      <c r="J1789" s="3">
        <v>0.0</v>
      </c>
      <c r="K1789" s="4">
        <f t="shared" si="1"/>
        <v>84453.4625</v>
      </c>
      <c r="L1789" s="4">
        <f t="shared" si="2"/>
        <v>0.7165603186</v>
      </c>
    </row>
    <row r="1790">
      <c r="A1790" s="3" t="s">
        <v>128</v>
      </c>
      <c r="B1790" s="3">
        <v>14.7</v>
      </c>
      <c r="C1790" s="3">
        <v>12.83</v>
      </c>
      <c r="D1790" s="3">
        <v>244.0</v>
      </c>
      <c r="E1790" s="3">
        <v>6.0</v>
      </c>
      <c r="F1790" s="3">
        <v>38.94</v>
      </c>
      <c r="G1790" s="3">
        <v>280.42</v>
      </c>
      <c r="H1790" s="3">
        <v>62.43</v>
      </c>
      <c r="I1790" s="3">
        <v>55.08</v>
      </c>
      <c r="J1790" s="3">
        <v>0.0</v>
      </c>
      <c r="K1790" s="4">
        <f t="shared" si="1"/>
        <v>80151.7</v>
      </c>
      <c r="L1790" s="4">
        <f t="shared" si="2"/>
        <v>0.7427914817</v>
      </c>
    </row>
    <row r="1791">
      <c r="A1791" s="3" t="s">
        <v>128</v>
      </c>
      <c r="B1791" s="3">
        <v>14.7</v>
      </c>
      <c r="C1791" s="3">
        <v>13.91</v>
      </c>
      <c r="D1791" s="3">
        <v>242.0</v>
      </c>
      <c r="E1791" s="3">
        <v>4.0</v>
      </c>
      <c r="F1791" s="3">
        <v>43.31</v>
      </c>
      <c r="G1791" s="3">
        <v>272.13</v>
      </c>
      <c r="H1791" s="3">
        <v>59.96</v>
      </c>
      <c r="I1791" s="3">
        <v>43.42</v>
      </c>
      <c r="J1791" s="3">
        <v>0.0</v>
      </c>
      <c r="K1791" s="4">
        <f t="shared" si="1"/>
        <v>75930.493</v>
      </c>
      <c r="L1791" s="4">
        <f t="shared" si="2"/>
        <v>0.7712843376</v>
      </c>
    </row>
    <row r="1792">
      <c r="A1792" s="3" t="s">
        <v>128</v>
      </c>
      <c r="B1792" s="3">
        <v>14.7</v>
      </c>
      <c r="C1792" s="3">
        <v>15.0</v>
      </c>
      <c r="D1792" s="3">
        <v>238.0</v>
      </c>
      <c r="E1792" s="3">
        <v>3.0</v>
      </c>
      <c r="F1792" s="3">
        <v>45.59</v>
      </c>
      <c r="G1792" s="3">
        <v>263.74</v>
      </c>
      <c r="H1792" s="3">
        <v>57.74</v>
      </c>
      <c r="I1792" s="3">
        <v>35.37</v>
      </c>
      <c r="J1792" s="3">
        <v>0.0</v>
      </c>
      <c r="K1792" s="4">
        <f t="shared" si="1"/>
        <v>71637.2357</v>
      </c>
      <c r="L1792" s="4">
        <f t="shared" si="2"/>
        <v>0.7907061104</v>
      </c>
    </row>
    <row r="1793">
      <c r="A1793" s="3" t="s">
        <v>128</v>
      </c>
      <c r="B1793" s="3">
        <v>14.7</v>
      </c>
      <c r="C1793" s="3">
        <v>16.08</v>
      </c>
      <c r="D1793" s="3">
        <v>236.0</v>
      </c>
      <c r="E1793" s="3">
        <v>3.0</v>
      </c>
      <c r="F1793" s="3">
        <v>47.38</v>
      </c>
      <c r="G1793" s="3">
        <v>256.44</v>
      </c>
      <c r="H1793" s="3">
        <v>55.77</v>
      </c>
      <c r="I1793" s="3">
        <v>30.67</v>
      </c>
      <c r="J1793" s="3">
        <v>0.0</v>
      </c>
      <c r="K1793" s="4">
        <f t="shared" si="1"/>
        <v>68006.338</v>
      </c>
      <c r="L1793" s="4">
        <f t="shared" si="2"/>
        <v>0.8189824895</v>
      </c>
    </row>
    <row r="1794">
      <c r="A1794" s="3" t="s">
        <v>128</v>
      </c>
      <c r="B1794" s="3">
        <v>14.7</v>
      </c>
      <c r="C1794" s="3">
        <v>17.07</v>
      </c>
      <c r="D1794" s="3">
        <v>233.0</v>
      </c>
      <c r="E1794" s="3">
        <v>3.0</v>
      </c>
      <c r="F1794" s="3">
        <v>49.66</v>
      </c>
      <c r="G1794" s="3">
        <v>250.86</v>
      </c>
      <c r="H1794" s="3">
        <v>54.12</v>
      </c>
      <c r="I1794" s="3">
        <v>27.32</v>
      </c>
      <c r="J1794" s="3">
        <v>0.0</v>
      </c>
      <c r="K1794" s="4">
        <f t="shared" si="1"/>
        <v>65396.8552</v>
      </c>
      <c r="L1794" s="4">
        <f t="shared" si="2"/>
        <v>0.8301469518</v>
      </c>
    </row>
    <row r="1795">
      <c r="A1795" s="3" t="s">
        <v>128</v>
      </c>
      <c r="B1795" s="3">
        <v>14.7</v>
      </c>
      <c r="C1795" s="3">
        <v>18.15</v>
      </c>
      <c r="D1795" s="3">
        <v>234.0</v>
      </c>
      <c r="E1795" s="3">
        <v>3.0</v>
      </c>
      <c r="F1795" s="3">
        <v>53.93</v>
      </c>
      <c r="G1795" s="3">
        <v>245.89</v>
      </c>
      <c r="H1795" s="3">
        <v>52.49</v>
      </c>
      <c r="I1795" s="3">
        <v>23.83</v>
      </c>
      <c r="J1795" s="3">
        <v>0.0</v>
      </c>
      <c r="K1795" s="4">
        <f t="shared" si="1"/>
        <v>63370.337</v>
      </c>
      <c r="L1795" s="4">
        <f t="shared" si="2"/>
        <v>0.864063576</v>
      </c>
    </row>
    <row r="1796">
      <c r="A1796" s="3" t="s">
        <v>128</v>
      </c>
      <c r="B1796" s="3">
        <v>14.7</v>
      </c>
      <c r="C1796" s="3">
        <v>19.24</v>
      </c>
      <c r="D1796" s="3">
        <v>236.0</v>
      </c>
      <c r="E1796" s="3">
        <v>3.0</v>
      </c>
      <c r="F1796" s="3">
        <v>57.71</v>
      </c>
      <c r="G1796" s="3">
        <v>242.0</v>
      </c>
      <c r="H1796" s="3">
        <v>50.98</v>
      </c>
      <c r="I1796" s="3">
        <v>19.98</v>
      </c>
      <c r="J1796" s="3">
        <v>0.0</v>
      </c>
      <c r="K1796" s="4">
        <f t="shared" si="1"/>
        <v>61894.4441</v>
      </c>
      <c r="L1796" s="4">
        <f t="shared" si="2"/>
        <v>0.8998545962</v>
      </c>
    </row>
    <row r="1797">
      <c r="A1797" s="3" t="s">
        <v>128</v>
      </c>
      <c r="B1797" s="3">
        <v>14.7</v>
      </c>
      <c r="C1797" s="3">
        <v>20.32</v>
      </c>
      <c r="D1797" s="3">
        <v>237.0</v>
      </c>
      <c r="E1797" s="3">
        <v>3.0</v>
      </c>
      <c r="F1797" s="3">
        <v>60.09</v>
      </c>
      <c r="G1797" s="3">
        <v>237.62</v>
      </c>
      <c r="H1797" s="3">
        <v>49.61</v>
      </c>
      <c r="I1797" s="3">
        <v>14.17</v>
      </c>
      <c r="J1797" s="3">
        <v>0.0</v>
      </c>
      <c r="K1797" s="4">
        <f t="shared" si="1"/>
        <v>60074.0725</v>
      </c>
      <c r="L1797" s="4">
        <f t="shared" si="2"/>
        <v>0.9349957088</v>
      </c>
    </row>
    <row r="1798">
      <c r="A1798" s="3" t="s">
        <v>128</v>
      </c>
      <c r="B1798" s="3">
        <v>14.7</v>
      </c>
      <c r="C1798" s="3">
        <v>21.41</v>
      </c>
      <c r="D1798" s="3">
        <v>238.0</v>
      </c>
      <c r="E1798" s="3">
        <v>3.0</v>
      </c>
      <c r="F1798" s="3">
        <v>61.78</v>
      </c>
      <c r="G1798" s="3">
        <v>231.06</v>
      </c>
      <c r="H1798" s="3">
        <v>48.33</v>
      </c>
      <c r="I1798" s="3">
        <v>9.38</v>
      </c>
      <c r="J1798" s="3">
        <v>0.0</v>
      </c>
      <c r="K1798" s="4">
        <f t="shared" si="1"/>
        <v>57205.492</v>
      </c>
      <c r="L1798" s="4">
        <f t="shared" si="2"/>
        <v>0.9901846487</v>
      </c>
    </row>
    <row r="1799">
      <c r="A1799" s="3" t="s">
        <v>128</v>
      </c>
      <c r="B1799" s="3">
        <v>14.7</v>
      </c>
      <c r="C1799" s="3">
        <v>22.49</v>
      </c>
      <c r="D1799" s="3">
        <v>240.0</v>
      </c>
      <c r="E1799" s="3">
        <v>3.0</v>
      </c>
      <c r="F1799" s="3">
        <v>63.67</v>
      </c>
      <c r="G1799" s="3">
        <v>224.49</v>
      </c>
      <c r="H1799" s="3">
        <v>47.15</v>
      </c>
      <c r="I1799" s="3">
        <v>7.57</v>
      </c>
      <c r="J1799" s="3">
        <v>0.0</v>
      </c>
      <c r="K1799" s="4">
        <f t="shared" si="1"/>
        <v>54449.629</v>
      </c>
      <c r="L1799" s="4">
        <f t="shared" si="2"/>
        <v>1.057858447</v>
      </c>
    </row>
    <row r="1800">
      <c r="A1800" s="3" t="s">
        <v>128</v>
      </c>
      <c r="B1800" s="3">
        <v>14.7</v>
      </c>
      <c r="C1800" s="3">
        <v>23.48</v>
      </c>
      <c r="D1800" s="3">
        <v>238.0</v>
      </c>
      <c r="E1800" s="3">
        <v>3.0</v>
      </c>
      <c r="F1800" s="3">
        <v>64.56</v>
      </c>
      <c r="G1800" s="3">
        <v>219.56</v>
      </c>
      <c r="H1800" s="3">
        <v>46.15</v>
      </c>
      <c r="I1800" s="3">
        <v>6.48</v>
      </c>
      <c r="J1800" s="3">
        <v>0.0</v>
      </c>
      <c r="K1800" s="4">
        <f t="shared" si="1"/>
        <v>52374.5872</v>
      </c>
      <c r="L1800" s="4">
        <f t="shared" si="2"/>
        <v>1.081516877</v>
      </c>
    </row>
    <row r="1801">
      <c r="A1801" s="3" t="s">
        <v>128</v>
      </c>
      <c r="B1801" s="3">
        <v>14.7</v>
      </c>
      <c r="C1801" s="3">
        <v>24.57</v>
      </c>
      <c r="D1801" s="3">
        <v>237.0</v>
      </c>
      <c r="E1801" s="3">
        <v>3.0</v>
      </c>
      <c r="F1801" s="3">
        <v>62.97</v>
      </c>
      <c r="G1801" s="3">
        <v>214.35</v>
      </c>
      <c r="H1801" s="3">
        <v>45.11</v>
      </c>
      <c r="I1801" s="3">
        <v>5.34</v>
      </c>
      <c r="J1801" s="3">
        <v>0.0</v>
      </c>
      <c r="K1801" s="4">
        <f t="shared" si="1"/>
        <v>49911.1434</v>
      </c>
      <c r="L1801" s="4">
        <f t="shared" si="2"/>
        <v>1.125379949</v>
      </c>
    </row>
    <row r="1802">
      <c r="A1802" s="3" t="s">
        <v>128</v>
      </c>
      <c r="B1802" s="3">
        <v>14.7</v>
      </c>
      <c r="C1802" s="3">
        <v>25.65</v>
      </c>
      <c r="D1802" s="3">
        <v>236.0</v>
      </c>
      <c r="E1802" s="3">
        <v>3.0</v>
      </c>
      <c r="F1802" s="3">
        <v>61.48</v>
      </c>
      <c r="G1802" s="3">
        <v>209.72</v>
      </c>
      <c r="H1802" s="3">
        <v>44.15</v>
      </c>
      <c r="I1802" s="3">
        <v>4.39</v>
      </c>
      <c r="J1802" s="3">
        <v>0.0</v>
      </c>
      <c r="K1802" s="4">
        <f t="shared" si="1"/>
        <v>47762.2688</v>
      </c>
      <c r="L1802" s="4">
        <f t="shared" si="2"/>
        <v>1.166108759</v>
      </c>
    </row>
    <row r="1803">
      <c r="A1803" s="3" t="s">
        <v>128</v>
      </c>
      <c r="B1803" s="3">
        <v>14.7</v>
      </c>
      <c r="C1803" s="3">
        <v>26.74</v>
      </c>
      <c r="D1803" s="3">
        <v>238.0</v>
      </c>
      <c r="E1803" s="3">
        <v>3.0</v>
      </c>
      <c r="F1803" s="3">
        <v>60.79</v>
      </c>
      <c r="G1803" s="3">
        <v>205.21</v>
      </c>
      <c r="H1803" s="3">
        <v>43.24</v>
      </c>
      <c r="I1803" s="3">
        <v>3.53</v>
      </c>
      <c r="J1803" s="3">
        <v>0.0</v>
      </c>
      <c r="K1803" s="4">
        <f t="shared" si="1"/>
        <v>45806.5682</v>
      </c>
      <c r="L1803" s="4">
        <f t="shared" si="2"/>
        <v>1.236591219</v>
      </c>
    </row>
    <row r="1804">
      <c r="A1804" s="3" t="s">
        <v>128</v>
      </c>
      <c r="B1804" s="3">
        <v>14.7</v>
      </c>
      <c r="C1804" s="3">
        <v>27.82</v>
      </c>
      <c r="D1804" s="3">
        <v>239.0</v>
      </c>
      <c r="E1804" s="3">
        <v>3.0</v>
      </c>
      <c r="F1804" s="3">
        <v>59.4</v>
      </c>
      <c r="G1804" s="3">
        <v>200.95</v>
      </c>
      <c r="H1804" s="3">
        <v>42.4</v>
      </c>
      <c r="I1804" s="3">
        <v>2.83</v>
      </c>
      <c r="J1804" s="3">
        <v>0.0</v>
      </c>
      <c r="K1804" s="4">
        <f t="shared" si="1"/>
        <v>43909.2625</v>
      </c>
      <c r="L1804" s="4">
        <f t="shared" si="2"/>
        <v>1.300887256</v>
      </c>
    </row>
    <row r="1805">
      <c r="A1805" s="3" t="s">
        <v>128</v>
      </c>
      <c r="B1805" s="3">
        <v>14.7</v>
      </c>
      <c r="C1805" s="3">
        <v>28.91</v>
      </c>
      <c r="D1805" s="3">
        <v>239.0</v>
      </c>
      <c r="E1805" s="3">
        <v>3.0</v>
      </c>
      <c r="F1805" s="3">
        <v>57.31</v>
      </c>
      <c r="G1805" s="3">
        <v>196.85</v>
      </c>
      <c r="H1805" s="3">
        <v>41.59</v>
      </c>
      <c r="I1805" s="3">
        <v>2.28</v>
      </c>
      <c r="J1805" s="3">
        <v>0.0</v>
      </c>
      <c r="K1805" s="4">
        <f t="shared" si="1"/>
        <v>42034.3586</v>
      </c>
      <c r="L1805" s="4">
        <f t="shared" si="2"/>
        <v>1.358912135</v>
      </c>
    </row>
    <row r="1806">
      <c r="A1806" s="3" t="s">
        <v>128</v>
      </c>
      <c r="B1806" s="3">
        <v>14.7</v>
      </c>
      <c r="C1806" s="3">
        <v>29.89</v>
      </c>
      <c r="D1806" s="3">
        <v>241.0</v>
      </c>
      <c r="E1806" s="3">
        <v>4.0</v>
      </c>
      <c r="F1806" s="3">
        <v>55.13</v>
      </c>
      <c r="G1806" s="3">
        <v>193.34</v>
      </c>
      <c r="H1806" s="3">
        <v>40.9</v>
      </c>
      <c r="I1806" s="3">
        <v>1.87</v>
      </c>
      <c r="J1806" s="3">
        <v>0.0</v>
      </c>
      <c r="K1806" s="4">
        <f t="shared" si="1"/>
        <v>40419.6725</v>
      </c>
      <c r="L1806" s="4">
        <f t="shared" si="2"/>
        <v>1.436948803</v>
      </c>
    </row>
    <row r="1807">
      <c r="A1807" s="3" t="s">
        <v>128</v>
      </c>
      <c r="B1807" s="3">
        <v>14.7</v>
      </c>
      <c r="C1807" s="3">
        <v>30.98</v>
      </c>
      <c r="D1807" s="3">
        <v>236.0</v>
      </c>
      <c r="E1807" s="3">
        <v>4.0</v>
      </c>
      <c r="F1807" s="3">
        <v>52.84</v>
      </c>
      <c r="G1807" s="3">
        <v>189.65</v>
      </c>
      <c r="H1807" s="3">
        <v>40.18</v>
      </c>
      <c r="I1807" s="3">
        <v>1.51</v>
      </c>
      <c r="J1807" s="3">
        <v>0.0</v>
      </c>
      <c r="K1807" s="4">
        <f t="shared" si="1"/>
        <v>38759.1881</v>
      </c>
      <c r="L1807" s="4">
        <f t="shared" si="2"/>
        <v>1.436975405</v>
      </c>
    </row>
    <row r="1808">
      <c r="A1808" s="3" t="s">
        <v>128</v>
      </c>
      <c r="B1808" s="3">
        <v>14.7</v>
      </c>
      <c r="C1808" s="3">
        <v>32.06</v>
      </c>
      <c r="D1808" s="3">
        <v>236.0</v>
      </c>
      <c r="E1808" s="3">
        <v>5.0</v>
      </c>
      <c r="F1808" s="3">
        <v>51.55</v>
      </c>
      <c r="G1808" s="3">
        <v>186.2</v>
      </c>
      <c r="H1808" s="3">
        <v>39.49</v>
      </c>
      <c r="I1808" s="3">
        <v>1.22</v>
      </c>
      <c r="J1808" s="3">
        <v>0.0</v>
      </c>
      <c r="K1808" s="4">
        <f t="shared" si="1"/>
        <v>37327.8425</v>
      </c>
      <c r="L1808" s="4">
        <f t="shared" si="2"/>
        <v>1.492076591</v>
      </c>
    </row>
    <row r="1809">
      <c r="A1809" s="3" t="s">
        <v>128</v>
      </c>
      <c r="B1809" s="3">
        <v>14.7</v>
      </c>
      <c r="C1809" s="3">
        <v>33.15</v>
      </c>
      <c r="D1809" s="3">
        <v>239.0</v>
      </c>
      <c r="E1809" s="3">
        <v>5.0</v>
      </c>
      <c r="F1809" s="3">
        <v>51.35</v>
      </c>
      <c r="G1809" s="3">
        <v>182.89</v>
      </c>
      <c r="H1809" s="3">
        <v>38.84</v>
      </c>
      <c r="I1809" s="3">
        <v>0.98</v>
      </c>
      <c r="J1809" s="3">
        <v>0.0</v>
      </c>
      <c r="K1809" s="4">
        <f t="shared" si="1"/>
        <v>36085.5746</v>
      </c>
      <c r="L1809" s="4">
        <f t="shared" si="2"/>
        <v>1.582931701</v>
      </c>
    </row>
    <row r="1810">
      <c r="A1810" s="3" t="s">
        <v>128</v>
      </c>
      <c r="B1810" s="3">
        <v>14.7</v>
      </c>
      <c r="C1810" s="3">
        <v>34.23</v>
      </c>
      <c r="D1810" s="3">
        <v>237.0</v>
      </c>
      <c r="E1810" s="3">
        <v>5.0</v>
      </c>
      <c r="F1810" s="3">
        <v>50.86</v>
      </c>
      <c r="G1810" s="3">
        <v>179.88</v>
      </c>
      <c r="H1810" s="3">
        <v>38.22</v>
      </c>
      <c r="I1810" s="3">
        <v>0.79</v>
      </c>
      <c r="J1810" s="3">
        <v>0.0</v>
      </c>
      <c r="K1810" s="4">
        <f t="shared" si="1"/>
        <v>34943.554</v>
      </c>
      <c r="L1810" s="4">
        <f t="shared" si="2"/>
        <v>1.607420928</v>
      </c>
    </row>
    <row r="1811">
      <c r="A1811" s="3" t="s">
        <v>128</v>
      </c>
      <c r="B1811" s="3">
        <v>14.7</v>
      </c>
      <c r="C1811" s="3">
        <v>35.32</v>
      </c>
      <c r="D1811" s="3">
        <v>241.0</v>
      </c>
      <c r="E1811" s="3">
        <v>7.0</v>
      </c>
      <c r="F1811" s="3">
        <v>49.27</v>
      </c>
      <c r="G1811" s="3">
        <v>177.27</v>
      </c>
      <c r="H1811" s="3">
        <v>37.63</v>
      </c>
      <c r="I1811" s="3">
        <v>0.0</v>
      </c>
      <c r="J1811" s="3">
        <v>0.0</v>
      </c>
      <c r="K1811" s="4">
        <f t="shared" si="1"/>
        <v>33852.1858</v>
      </c>
      <c r="L1811" s="4">
        <f t="shared" si="2"/>
        <v>1.715723775</v>
      </c>
    </row>
    <row r="1812">
      <c r="A1812" s="3" t="s">
        <v>128</v>
      </c>
      <c r="B1812" s="3">
        <v>14.7</v>
      </c>
      <c r="C1812" s="3">
        <v>36.31</v>
      </c>
      <c r="D1812" s="3">
        <v>238.0</v>
      </c>
      <c r="E1812" s="3">
        <v>9.0</v>
      </c>
      <c r="F1812" s="3">
        <v>47.97</v>
      </c>
      <c r="G1812" s="3">
        <v>173.78</v>
      </c>
      <c r="H1812" s="3">
        <v>37.11</v>
      </c>
      <c r="I1812" s="3">
        <v>0.0</v>
      </c>
      <c r="J1812" s="3">
        <v>0.0</v>
      </c>
      <c r="K1812" s="4">
        <f t="shared" si="1"/>
        <v>32500.6093</v>
      </c>
      <c r="L1812" s="4">
        <f t="shared" si="2"/>
        <v>1.742859633</v>
      </c>
    </row>
    <row r="1813">
      <c r="A1813" s="3" t="s">
        <v>0</v>
      </c>
      <c r="B1813" s="3" t="s">
        <v>47</v>
      </c>
      <c r="C1813" s="3" t="s">
        <v>48</v>
      </c>
      <c r="D1813" s="3" t="s">
        <v>49</v>
      </c>
      <c r="E1813" s="3" t="s">
        <v>50</v>
      </c>
      <c r="F1813" s="3" t="s">
        <v>51</v>
      </c>
      <c r="G1813" s="3" t="s">
        <v>52</v>
      </c>
      <c r="H1813" s="3" t="s">
        <v>53</v>
      </c>
      <c r="I1813" s="3" t="s">
        <v>54</v>
      </c>
      <c r="J1813" s="3" t="s">
        <v>55</v>
      </c>
      <c r="K1813" s="4" t="str">
        <f t="shared" si="1"/>
        <v>#VALUE!</v>
      </c>
      <c r="L1813" s="4" t="str">
        <f t="shared" si="2"/>
        <v>#VALUE!</v>
      </c>
    </row>
    <row r="1814">
      <c r="A1814" s="3" t="s">
        <v>129</v>
      </c>
      <c r="B1814" s="3">
        <v>3.61</v>
      </c>
      <c r="C1814" s="3">
        <v>0.11</v>
      </c>
      <c r="D1814" s="3">
        <v>9.1</v>
      </c>
      <c r="E1814" s="3">
        <v>8.5</v>
      </c>
      <c r="F1814" s="3">
        <v>0.65</v>
      </c>
      <c r="G1814" s="3">
        <v>27.23</v>
      </c>
      <c r="H1814" s="3">
        <v>0.0</v>
      </c>
      <c r="I1814" s="3">
        <v>1208.98</v>
      </c>
      <c r="J1814" s="3">
        <v>0.0</v>
      </c>
      <c r="K1814" s="4">
        <f t="shared" si="1"/>
        <v>741.8954</v>
      </c>
      <c r="L1814" s="4">
        <f t="shared" si="2"/>
        <v>0.1116195086</v>
      </c>
    </row>
    <row r="1815">
      <c r="A1815" s="3" t="s">
        <v>129</v>
      </c>
      <c r="B1815" s="3">
        <v>3.61</v>
      </c>
      <c r="C1815" s="3">
        <v>0.14</v>
      </c>
      <c r="D1815" s="3">
        <v>17.6</v>
      </c>
      <c r="E1815" s="3">
        <v>7.4</v>
      </c>
      <c r="F1815" s="3">
        <v>0.65</v>
      </c>
      <c r="G1815" s="3">
        <v>29.91</v>
      </c>
      <c r="H1815" s="3">
        <v>0.0</v>
      </c>
      <c r="I1815" s="3">
        <v>1005.64</v>
      </c>
      <c r="J1815" s="3">
        <v>0.0</v>
      </c>
      <c r="K1815" s="4">
        <f t="shared" si="1"/>
        <v>895.0306</v>
      </c>
      <c r="L1815" s="4">
        <f t="shared" si="2"/>
        <v>0.3460887259</v>
      </c>
    </row>
    <row r="1816">
      <c r="A1816" s="3" t="s">
        <v>129</v>
      </c>
      <c r="B1816" s="3">
        <v>3.61</v>
      </c>
      <c r="C1816" s="3">
        <v>0.17</v>
      </c>
      <c r="D1816" s="3">
        <v>19.3</v>
      </c>
      <c r="E1816" s="3">
        <v>7.4</v>
      </c>
      <c r="F1816" s="3">
        <v>0.65</v>
      </c>
      <c r="G1816" s="3">
        <v>32.32</v>
      </c>
      <c r="H1816" s="3">
        <v>0.0</v>
      </c>
      <c r="I1816" s="3">
        <v>927.7</v>
      </c>
      <c r="J1816" s="3">
        <v>0.0</v>
      </c>
      <c r="K1816" s="4">
        <f t="shared" si="1"/>
        <v>1045.0049</v>
      </c>
      <c r="L1816" s="4">
        <f t="shared" si="2"/>
        <v>0.3564480894</v>
      </c>
    </row>
    <row r="1817">
      <c r="A1817" s="3" t="s">
        <v>129</v>
      </c>
      <c r="B1817" s="3">
        <v>3.61</v>
      </c>
      <c r="C1817" s="3">
        <v>0.21</v>
      </c>
      <c r="D1817" s="3">
        <v>24.8</v>
      </c>
      <c r="E1817" s="3">
        <v>6.4</v>
      </c>
      <c r="F1817" s="3">
        <v>0.65</v>
      </c>
      <c r="G1817" s="3">
        <v>35.62</v>
      </c>
      <c r="H1817" s="3">
        <v>0.0</v>
      </c>
      <c r="I1817" s="3">
        <v>855.59</v>
      </c>
      <c r="J1817" s="3">
        <v>0.0</v>
      </c>
      <c r="K1817" s="4">
        <f t="shared" si="1"/>
        <v>1269.2069</v>
      </c>
      <c r="L1817" s="4">
        <f t="shared" si="2"/>
        <v>0.4845860829</v>
      </c>
    </row>
    <row r="1818">
      <c r="A1818" s="3" t="s">
        <v>129</v>
      </c>
      <c r="B1818" s="3">
        <v>3.61</v>
      </c>
      <c r="C1818" s="3">
        <v>0.24</v>
      </c>
      <c r="D1818" s="3">
        <v>30.0</v>
      </c>
      <c r="E1818" s="3">
        <v>7.2</v>
      </c>
      <c r="F1818" s="3">
        <v>0.74</v>
      </c>
      <c r="G1818" s="3">
        <v>37.98</v>
      </c>
      <c r="H1818" s="3">
        <v>0.0</v>
      </c>
      <c r="I1818" s="3">
        <v>779.54</v>
      </c>
      <c r="J1818" s="3">
        <v>0.0</v>
      </c>
      <c r="K1818" s="4">
        <f t="shared" si="1"/>
        <v>1443.028</v>
      </c>
      <c r="L1818" s="4">
        <f t="shared" si="2"/>
        <v>0.6236885216</v>
      </c>
    </row>
    <row r="1819">
      <c r="A1819" s="3" t="s">
        <v>129</v>
      </c>
      <c r="B1819" s="3">
        <v>3.61</v>
      </c>
      <c r="C1819" s="3">
        <v>0.28</v>
      </c>
      <c r="D1819" s="3">
        <v>35.0</v>
      </c>
      <c r="E1819" s="3">
        <v>7.3</v>
      </c>
      <c r="F1819" s="3">
        <v>0.9</v>
      </c>
      <c r="G1819" s="3">
        <v>40.67</v>
      </c>
      <c r="H1819" s="3">
        <v>0.0</v>
      </c>
      <c r="I1819" s="3">
        <v>719.48</v>
      </c>
      <c r="J1819" s="3">
        <v>0.0</v>
      </c>
      <c r="K1819" s="4">
        <f t="shared" si="1"/>
        <v>1654.8589</v>
      </c>
      <c r="L1819" s="4">
        <f t="shared" si="2"/>
        <v>0.7402443797</v>
      </c>
    </row>
    <row r="1820">
      <c r="A1820" s="3" t="s">
        <v>129</v>
      </c>
      <c r="B1820" s="3">
        <v>3.61</v>
      </c>
      <c r="C1820" s="3">
        <v>0.32</v>
      </c>
      <c r="D1820" s="3">
        <v>38.3</v>
      </c>
      <c r="E1820" s="3">
        <v>7.6</v>
      </c>
      <c r="F1820" s="3">
        <v>1.05</v>
      </c>
      <c r="G1820" s="3">
        <v>43.2</v>
      </c>
      <c r="H1820" s="3">
        <v>0.0</v>
      </c>
      <c r="I1820" s="3">
        <v>673.21</v>
      </c>
      <c r="J1820" s="3">
        <v>0.0</v>
      </c>
      <c r="K1820" s="4">
        <f t="shared" si="1"/>
        <v>1867.3425</v>
      </c>
      <c r="L1820" s="4">
        <f t="shared" si="2"/>
        <v>0.7855495176</v>
      </c>
    </row>
    <row r="1821">
      <c r="A1821" s="3" t="s">
        <v>129</v>
      </c>
      <c r="B1821" s="3">
        <v>3.61</v>
      </c>
      <c r="C1821" s="3">
        <v>0.35</v>
      </c>
      <c r="D1821" s="3">
        <v>42.7</v>
      </c>
      <c r="E1821" s="3">
        <v>8.8</v>
      </c>
      <c r="F1821" s="3">
        <v>1.21</v>
      </c>
      <c r="G1821" s="3">
        <v>45.04</v>
      </c>
      <c r="H1821" s="3">
        <v>0.0</v>
      </c>
      <c r="I1821" s="3">
        <v>639.89</v>
      </c>
      <c r="J1821" s="3">
        <v>0.0</v>
      </c>
      <c r="K1821" s="4">
        <f t="shared" si="1"/>
        <v>2030.0657</v>
      </c>
      <c r="L1821" s="4">
        <f t="shared" si="2"/>
        <v>0.8981433458</v>
      </c>
    </row>
    <row r="1822">
      <c r="A1822" s="3" t="s">
        <v>129</v>
      </c>
      <c r="B1822" s="3">
        <v>3.61</v>
      </c>
      <c r="C1822" s="3">
        <v>0.39</v>
      </c>
      <c r="D1822" s="3">
        <v>47.0</v>
      </c>
      <c r="E1822" s="3">
        <v>5.3</v>
      </c>
      <c r="F1822" s="3">
        <v>1.36</v>
      </c>
      <c r="G1822" s="3">
        <v>47.33</v>
      </c>
      <c r="H1822" s="3">
        <v>0.0</v>
      </c>
      <c r="I1822" s="3">
        <v>592.88</v>
      </c>
      <c r="J1822" s="3">
        <v>0.0</v>
      </c>
      <c r="K1822" s="4">
        <f t="shared" si="1"/>
        <v>2241.9785</v>
      </c>
      <c r="L1822" s="4">
        <f t="shared" si="2"/>
        <v>0.9852904477</v>
      </c>
    </row>
    <row r="1823">
      <c r="A1823" s="3" t="s">
        <v>129</v>
      </c>
      <c r="B1823" s="3">
        <v>3.61</v>
      </c>
      <c r="C1823" s="3">
        <v>0.42</v>
      </c>
      <c r="D1823" s="3">
        <v>49.8</v>
      </c>
      <c r="E1823" s="3">
        <v>5.6</v>
      </c>
      <c r="F1823" s="3">
        <v>1.52</v>
      </c>
      <c r="G1823" s="3">
        <v>48.89</v>
      </c>
      <c r="H1823" s="3">
        <v>0.0</v>
      </c>
      <c r="I1823" s="3">
        <v>570.71</v>
      </c>
      <c r="J1823" s="3">
        <v>0.0</v>
      </c>
      <c r="K1823" s="4">
        <f t="shared" si="1"/>
        <v>2392.5425</v>
      </c>
      <c r="L1823" s="4">
        <f t="shared" si="2"/>
        <v>1.036570928</v>
      </c>
    </row>
    <row r="1824">
      <c r="A1824" s="3" t="s">
        <v>129</v>
      </c>
      <c r="B1824" s="3">
        <v>3.61</v>
      </c>
      <c r="C1824" s="3">
        <v>0.46</v>
      </c>
      <c r="D1824" s="3">
        <v>52.2</v>
      </c>
      <c r="E1824" s="3">
        <v>6.2</v>
      </c>
      <c r="F1824" s="3">
        <v>1.67</v>
      </c>
      <c r="G1824" s="3">
        <v>51.0</v>
      </c>
      <c r="H1824" s="3">
        <v>0.0</v>
      </c>
      <c r="I1824" s="3">
        <v>547.08</v>
      </c>
      <c r="J1824" s="3">
        <v>0.0</v>
      </c>
      <c r="K1824" s="4">
        <f t="shared" si="1"/>
        <v>2603.7889</v>
      </c>
      <c r="L1824" s="4">
        <f t="shared" si="2"/>
        <v>1.046490366</v>
      </c>
    </row>
    <row r="1825">
      <c r="A1825" s="3" t="s">
        <v>129</v>
      </c>
      <c r="B1825" s="3">
        <v>3.61</v>
      </c>
      <c r="C1825" s="3">
        <v>0.49</v>
      </c>
      <c r="D1825" s="3">
        <v>53.4</v>
      </c>
      <c r="E1825" s="3">
        <v>6.3</v>
      </c>
      <c r="F1825" s="3">
        <v>1.83</v>
      </c>
      <c r="G1825" s="3">
        <v>52.6</v>
      </c>
      <c r="H1825" s="3">
        <v>0.0</v>
      </c>
      <c r="I1825" s="3">
        <v>532.24</v>
      </c>
      <c r="J1825" s="3">
        <v>0.0</v>
      </c>
      <c r="K1825" s="4">
        <f t="shared" si="1"/>
        <v>2770.1089</v>
      </c>
      <c r="L1825" s="4">
        <f t="shared" si="2"/>
        <v>1.029403573</v>
      </c>
    </row>
    <row r="1826">
      <c r="A1826" s="3" t="s">
        <v>129</v>
      </c>
      <c r="B1826" s="3">
        <v>3.61</v>
      </c>
      <c r="C1826" s="3">
        <v>0.53</v>
      </c>
      <c r="D1826" s="3">
        <v>54.6</v>
      </c>
      <c r="E1826" s="3">
        <v>5.9</v>
      </c>
      <c r="F1826" s="3">
        <v>1.99</v>
      </c>
      <c r="G1826" s="3">
        <v>54.8</v>
      </c>
      <c r="H1826" s="3">
        <v>0.0</v>
      </c>
      <c r="I1826" s="3">
        <v>510.29</v>
      </c>
      <c r="J1826" s="3">
        <v>0.0</v>
      </c>
      <c r="K1826" s="4">
        <f t="shared" si="1"/>
        <v>3007.0001</v>
      </c>
      <c r="L1826" s="4">
        <f t="shared" si="2"/>
        <v>0.9914066847</v>
      </c>
    </row>
    <row r="1827">
      <c r="A1827" s="3" t="s">
        <v>129</v>
      </c>
      <c r="B1827" s="3">
        <v>3.61</v>
      </c>
      <c r="C1827" s="3">
        <v>0.56</v>
      </c>
      <c r="D1827" s="3">
        <v>55.5</v>
      </c>
      <c r="E1827" s="3">
        <v>6.9</v>
      </c>
      <c r="F1827" s="3">
        <v>2.12</v>
      </c>
      <c r="G1827" s="3">
        <v>56.23</v>
      </c>
      <c r="H1827" s="3">
        <v>0.0</v>
      </c>
      <c r="I1827" s="3">
        <v>470.53</v>
      </c>
      <c r="J1827" s="3">
        <v>0.0</v>
      </c>
      <c r="K1827" s="4">
        <f t="shared" si="1"/>
        <v>3166.3073</v>
      </c>
      <c r="L1827" s="4">
        <f t="shared" si="2"/>
        <v>0.9728209261</v>
      </c>
    </row>
    <row r="1828">
      <c r="A1828" s="3" t="s">
        <v>129</v>
      </c>
      <c r="B1828" s="3">
        <v>3.61</v>
      </c>
      <c r="C1828" s="3">
        <v>0.6</v>
      </c>
      <c r="D1828" s="3">
        <v>55.9</v>
      </c>
      <c r="E1828" s="3">
        <v>7.5</v>
      </c>
      <c r="F1828" s="3">
        <v>2.23</v>
      </c>
      <c r="G1828" s="3">
        <v>57.57</v>
      </c>
      <c r="H1828" s="3">
        <v>0.0</v>
      </c>
      <c r="I1828" s="3">
        <v>435.19</v>
      </c>
      <c r="J1828" s="3">
        <v>0.0</v>
      </c>
      <c r="K1828" s="4">
        <f t="shared" si="1"/>
        <v>3319.2778</v>
      </c>
      <c r="L1828" s="4">
        <f t="shared" si="2"/>
        <v>0.9414126169</v>
      </c>
    </row>
    <row r="1829">
      <c r="A1829" s="3" t="s">
        <v>129</v>
      </c>
      <c r="B1829" s="3">
        <v>3.61</v>
      </c>
      <c r="C1829" s="3">
        <v>0.63</v>
      </c>
      <c r="D1829" s="3">
        <v>58.3</v>
      </c>
      <c r="E1829" s="3">
        <v>7.4</v>
      </c>
      <c r="F1829" s="3">
        <v>2.35</v>
      </c>
      <c r="G1829" s="3">
        <v>58.53</v>
      </c>
      <c r="H1829" s="3">
        <v>0.0</v>
      </c>
      <c r="I1829" s="3">
        <v>427.73</v>
      </c>
      <c r="J1829" s="3">
        <v>0.0</v>
      </c>
      <c r="K1829" s="4">
        <f t="shared" si="1"/>
        <v>3431.2834</v>
      </c>
      <c r="L1829" s="4">
        <f t="shared" si="2"/>
        <v>0.9905593924</v>
      </c>
    </row>
    <row r="1830">
      <c r="A1830" s="3" t="s">
        <v>129</v>
      </c>
      <c r="B1830" s="3">
        <v>3.61</v>
      </c>
      <c r="C1830" s="3">
        <v>0.66</v>
      </c>
      <c r="D1830" s="3">
        <v>59.3</v>
      </c>
      <c r="E1830" s="3">
        <v>6.3</v>
      </c>
      <c r="F1830" s="3">
        <v>2.47</v>
      </c>
      <c r="G1830" s="3">
        <v>59.59</v>
      </c>
      <c r="H1830" s="3">
        <v>0.0</v>
      </c>
      <c r="I1830" s="3">
        <v>418.4</v>
      </c>
      <c r="J1830" s="3">
        <v>0.0</v>
      </c>
      <c r="K1830" s="4">
        <f t="shared" si="1"/>
        <v>3557.069</v>
      </c>
      <c r="L1830" s="4">
        <f t="shared" si="2"/>
        <v>0.9885920121</v>
      </c>
    </row>
    <row r="1831">
      <c r="A1831" s="3" t="s">
        <v>129</v>
      </c>
      <c r="B1831" s="3">
        <v>3.61</v>
      </c>
      <c r="C1831" s="3">
        <v>0.7</v>
      </c>
      <c r="D1831" s="3">
        <v>59.5</v>
      </c>
      <c r="E1831" s="3">
        <v>6.7</v>
      </c>
      <c r="F1831" s="3">
        <v>2.59</v>
      </c>
      <c r="G1831" s="3">
        <v>61.08</v>
      </c>
      <c r="H1831" s="3">
        <v>0.0</v>
      </c>
      <c r="I1831" s="3">
        <v>407.7</v>
      </c>
      <c r="J1831" s="3">
        <v>0.0</v>
      </c>
      <c r="K1831" s="4">
        <f t="shared" si="1"/>
        <v>3737.4745</v>
      </c>
      <c r="L1831" s="4">
        <f t="shared" si="2"/>
        <v>0.947230543</v>
      </c>
    </row>
    <row r="1832">
      <c r="A1832" s="3" t="s">
        <v>129</v>
      </c>
      <c r="B1832" s="3">
        <v>3.61</v>
      </c>
      <c r="C1832" s="3">
        <v>0.87</v>
      </c>
      <c r="D1832" s="3">
        <v>59.1</v>
      </c>
      <c r="E1832" s="3">
        <v>5.1</v>
      </c>
      <c r="F1832" s="3">
        <v>3.18</v>
      </c>
      <c r="G1832" s="3">
        <v>66.09</v>
      </c>
      <c r="H1832" s="3">
        <v>0.0</v>
      </c>
      <c r="I1832" s="3">
        <v>332.63</v>
      </c>
      <c r="J1832" s="3">
        <v>0.0</v>
      </c>
      <c r="K1832" s="4">
        <f t="shared" si="1"/>
        <v>4378.0005</v>
      </c>
      <c r="L1832" s="4">
        <f t="shared" si="2"/>
        <v>0.7978094109</v>
      </c>
    </row>
    <row r="1833">
      <c r="A1833" s="3" t="s">
        <v>129</v>
      </c>
      <c r="B1833" s="3">
        <v>3.61</v>
      </c>
      <c r="C1833" s="3">
        <v>1.05</v>
      </c>
      <c r="D1833" s="3">
        <v>62.6</v>
      </c>
      <c r="E1833" s="3">
        <v>5.5</v>
      </c>
      <c r="F1833" s="3">
        <v>3.96</v>
      </c>
      <c r="G1833" s="3">
        <v>69.65</v>
      </c>
      <c r="H1833" s="3">
        <v>0.0</v>
      </c>
      <c r="I1833" s="3">
        <v>278.38</v>
      </c>
      <c r="J1833" s="3">
        <v>0.0</v>
      </c>
      <c r="K1833" s="4">
        <f t="shared" si="1"/>
        <v>4866.8041</v>
      </c>
      <c r="L1833" s="4">
        <f t="shared" si="2"/>
        <v>0.8052019189</v>
      </c>
    </row>
    <row r="1834">
      <c r="A1834" s="3" t="s">
        <v>129</v>
      </c>
      <c r="B1834" s="3">
        <v>3.61</v>
      </c>
      <c r="C1834" s="3">
        <v>1.22</v>
      </c>
      <c r="D1834" s="3">
        <v>65.6</v>
      </c>
      <c r="E1834" s="3">
        <v>4.8</v>
      </c>
      <c r="F1834" s="3">
        <v>5.5</v>
      </c>
      <c r="G1834" s="3">
        <v>72.34</v>
      </c>
      <c r="H1834" s="3">
        <v>0.0</v>
      </c>
      <c r="I1834" s="3">
        <v>246.3</v>
      </c>
      <c r="J1834" s="3">
        <v>0.0</v>
      </c>
      <c r="K1834" s="4">
        <f t="shared" si="1"/>
        <v>5263.3256</v>
      </c>
      <c r="L1834" s="4">
        <f t="shared" si="2"/>
        <v>0.8176123476</v>
      </c>
    </row>
    <row r="1835">
      <c r="A1835" s="3" t="s">
        <v>129</v>
      </c>
      <c r="B1835" s="3">
        <v>3.61</v>
      </c>
      <c r="C1835" s="3">
        <v>1.4</v>
      </c>
      <c r="D1835" s="3">
        <v>70.7</v>
      </c>
      <c r="E1835" s="3">
        <v>4.6</v>
      </c>
      <c r="F1835" s="3">
        <v>7.05</v>
      </c>
      <c r="G1835" s="3">
        <v>75.45</v>
      </c>
      <c r="H1835" s="3">
        <v>0.0</v>
      </c>
      <c r="I1835" s="3">
        <v>231.32</v>
      </c>
      <c r="J1835" s="3">
        <v>0.0</v>
      </c>
      <c r="K1835" s="4">
        <f t="shared" si="1"/>
        <v>5742.405</v>
      </c>
      <c r="L1835" s="4">
        <f t="shared" si="2"/>
        <v>0.8704523627</v>
      </c>
    </row>
    <row r="1836">
      <c r="A1836" s="3" t="s">
        <v>129</v>
      </c>
      <c r="B1836" s="3">
        <v>3.61</v>
      </c>
      <c r="C1836" s="3">
        <v>1.57</v>
      </c>
      <c r="D1836" s="3">
        <v>73.9</v>
      </c>
      <c r="E1836" s="3">
        <v>4.0</v>
      </c>
      <c r="F1836" s="3">
        <v>8.58</v>
      </c>
      <c r="G1836" s="3">
        <v>78.94</v>
      </c>
      <c r="H1836" s="3">
        <v>0.0</v>
      </c>
      <c r="I1836" s="3">
        <v>213.33</v>
      </c>
      <c r="J1836" s="3">
        <v>0.0</v>
      </c>
      <c r="K1836" s="4">
        <f t="shared" si="1"/>
        <v>6305.14</v>
      </c>
      <c r="L1836" s="4">
        <f t="shared" si="2"/>
        <v>0.8661520601</v>
      </c>
    </row>
    <row r="1837">
      <c r="A1837" s="3" t="s">
        <v>129</v>
      </c>
      <c r="B1837" s="3">
        <v>3.61</v>
      </c>
      <c r="C1837" s="3">
        <v>1.75</v>
      </c>
      <c r="D1837" s="3">
        <v>78.5</v>
      </c>
      <c r="E1837" s="3">
        <v>4.2</v>
      </c>
      <c r="F1837" s="3">
        <v>10.09</v>
      </c>
      <c r="G1837" s="3">
        <v>82.71</v>
      </c>
      <c r="H1837" s="3">
        <v>0.0</v>
      </c>
      <c r="I1837" s="3">
        <v>201.89</v>
      </c>
      <c r="J1837" s="3">
        <v>0.0</v>
      </c>
      <c r="K1837" s="4">
        <f t="shared" si="1"/>
        <v>6942.7522</v>
      </c>
      <c r="L1837" s="4">
        <f t="shared" si="2"/>
        <v>0.8875802884</v>
      </c>
    </row>
    <row r="1838">
      <c r="A1838" s="3" t="s">
        <v>129</v>
      </c>
      <c r="B1838" s="3">
        <v>3.61</v>
      </c>
      <c r="C1838" s="3">
        <v>1.92</v>
      </c>
      <c r="D1838" s="3">
        <v>82.4</v>
      </c>
      <c r="E1838" s="3">
        <v>4.6</v>
      </c>
      <c r="F1838" s="3">
        <v>11.55</v>
      </c>
      <c r="G1838" s="3">
        <v>87.55</v>
      </c>
      <c r="H1838" s="3">
        <v>0.0</v>
      </c>
      <c r="I1838" s="3">
        <v>189.35</v>
      </c>
      <c r="J1838" s="3">
        <v>0.0</v>
      </c>
      <c r="K1838" s="4">
        <f t="shared" si="1"/>
        <v>7798.405</v>
      </c>
      <c r="L1838" s="4">
        <f t="shared" si="2"/>
        <v>0.8706600901</v>
      </c>
    </row>
    <row r="1839">
      <c r="A1839" s="3" t="s">
        <v>129</v>
      </c>
      <c r="B1839" s="3">
        <v>3.61</v>
      </c>
      <c r="C1839" s="3">
        <v>2.1</v>
      </c>
      <c r="D1839" s="3">
        <v>87.1</v>
      </c>
      <c r="E1839" s="3">
        <v>4.9</v>
      </c>
      <c r="F1839" s="3">
        <v>13.06</v>
      </c>
      <c r="G1839" s="3">
        <v>92.38</v>
      </c>
      <c r="H1839" s="3">
        <v>0.0</v>
      </c>
      <c r="I1839" s="3">
        <v>166.62</v>
      </c>
      <c r="J1839" s="3">
        <v>0.0</v>
      </c>
      <c r="K1839" s="4">
        <f t="shared" si="1"/>
        <v>8704.628</v>
      </c>
      <c r="L1839" s="4">
        <f t="shared" si="2"/>
        <v>0.8715375315</v>
      </c>
    </row>
    <row r="1840">
      <c r="A1840" s="3" t="s">
        <v>129</v>
      </c>
      <c r="B1840" s="3">
        <v>3.61</v>
      </c>
      <c r="C1840" s="3">
        <v>2.27</v>
      </c>
      <c r="D1840" s="3">
        <v>89.6</v>
      </c>
      <c r="E1840" s="3">
        <v>5.4</v>
      </c>
      <c r="F1840" s="3">
        <v>14.78</v>
      </c>
      <c r="G1840" s="3">
        <v>95.96</v>
      </c>
      <c r="H1840" s="3">
        <v>0.0</v>
      </c>
      <c r="I1840" s="3">
        <v>136.43</v>
      </c>
      <c r="J1840" s="3">
        <v>0.0</v>
      </c>
      <c r="K1840" s="4">
        <f t="shared" si="1"/>
        <v>9426.77</v>
      </c>
      <c r="L1840" s="4">
        <f t="shared" si="2"/>
        <v>0.8516342289</v>
      </c>
    </row>
    <row r="1841">
      <c r="A1841" s="3" t="s">
        <v>129</v>
      </c>
      <c r="B1841" s="3">
        <v>3.61</v>
      </c>
      <c r="C1841" s="3">
        <v>2.45</v>
      </c>
      <c r="D1841" s="3">
        <v>94.9</v>
      </c>
      <c r="E1841" s="3">
        <v>5.7</v>
      </c>
      <c r="F1841" s="3">
        <v>16.4</v>
      </c>
      <c r="G1841" s="3">
        <v>96.45</v>
      </c>
      <c r="H1841" s="3">
        <v>0.0</v>
      </c>
      <c r="I1841" s="3">
        <v>101.1</v>
      </c>
      <c r="J1841" s="3">
        <v>0.0</v>
      </c>
      <c r="K1841" s="4">
        <f t="shared" si="1"/>
        <v>9571.5625</v>
      </c>
      <c r="L1841" s="4">
        <f t="shared" si="2"/>
        <v>0.9409132521</v>
      </c>
    </row>
    <row r="1842">
      <c r="A1842" s="3" t="s">
        <v>129</v>
      </c>
      <c r="B1842" s="3">
        <v>3.61</v>
      </c>
      <c r="C1842" s="3">
        <v>2.62</v>
      </c>
      <c r="D1842" s="3">
        <v>98.1</v>
      </c>
      <c r="E1842" s="3">
        <v>5.0</v>
      </c>
      <c r="F1842" s="3">
        <v>18.13</v>
      </c>
      <c r="G1842" s="3">
        <v>95.98</v>
      </c>
      <c r="H1842" s="3">
        <v>0.0</v>
      </c>
      <c r="I1842" s="3">
        <v>91.89</v>
      </c>
      <c r="J1842" s="3">
        <v>0.0</v>
      </c>
      <c r="K1842" s="4">
        <f t="shared" si="1"/>
        <v>9540.8573</v>
      </c>
      <c r="L1842" s="4">
        <f t="shared" si="2"/>
        <v>1.008673508</v>
      </c>
    </row>
    <row r="1843">
      <c r="A1843" s="3" t="s">
        <v>129</v>
      </c>
      <c r="B1843" s="3">
        <v>3.61</v>
      </c>
      <c r="C1843" s="3">
        <v>2.79</v>
      </c>
      <c r="D1843" s="3">
        <v>99.3</v>
      </c>
      <c r="E1843" s="3">
        <v>5.7</v>
      </c>
      <c r="F1843" s="3">
        <v>20.29</v>
      </c>
      <c r="G1843" s="3">
        <v>96.23</v>
      </c>
      <c r="H1843" s="3">
        <v>0.0</v>
      </c>
      <c r="I1843" s="3">
        <v>81.24</v>
      </c>
      <c r="J1843" s="3">
        <v>0.0</v>
      </c>
      <c r="K1843" s="4">
        <f t="shared" si="1"/>
        <v>9671.897</v>
      </c>
      <c r="L1843" s="4">
        <f t="shared" si="2"/>
        <v>1.01949907</v>
      </c>
    </row>
    <row r="1844">
      <c r="A1844" s="3" t="s">
        <v>129</v>
      </c>
      <c r="B1844" s="3">
        <v>3.61</v>
      </c>
      <c r="C1844" s="3">
        <v>2.97</v>
      </c>
      <c r="D1844" s="3">
        <v>98.6</v>
      </c>
      <c r="E1844" s="3">
        <v>7.2</v>
      </c>
      <c r="F1844" s="3">
        <v>22.34</v>
      </c>
      <c r="G1844" s="3">
        <v>96.64</v>
      </c>
      <c r="H1844" s="3">
        <v>0.0</v>
      </c>
      <c r="I1844" s="3">
        <v>70.11</v>
      </c>
      <c r="J1844" s="3">
        <v>0.0</v>
      </c>
      <c r="K1844" s="4">
        <f t="shared" si="1"/>
        <v>9838.3652</v>
      </c>
      <c r="L1844" s="4">
        <f t="shared" si="2"/>
        <v>0.9881682375</v>
      </c>
    </row>
    <row r="1845">
      <c r="A1845" s="3" t="s">
        <v>129</v>
      </c>
      <c r="B1845" s="3">
        <v>3.61</v>
      </c>
      <c r="C1845" s="3">
        <v>3.16</v>
      </c>
      <c r="D1845" s="3">
        <v>101.0</v>
      </c>
      <c r="E1845" s="3">
        <v>8.7</v>
      </c>
      <c r="F1845" s="3">
        <v>24.5</v>
      </c>
      <c r="G1845" s="3">
        <v>96.45</v>
      </c>
      <c r="H1845" s="3">
        <v>0.0</v>
      </c>
      <c r="I1845" s="3">
        <v>55.69</v>
      </c>
      <c r="J1845" s="3">
        <v>0.0</v>
      </c>
      <c r="K1845" s="4">
        <f t="shared" si="1"/>
        <v>9902.8525</v>
      </c>
      <c r="L1845" s="4">
        <f t="shared" si="2"/>
        <v>1.030107234</v>
      </c>
    </row>
    <row r="1846">
      <c r="A1846" s="3" t="s">
        <v>129</v>
      </c>
      <c r="B1846" s="3">
        <v>3.61</v>
      </c>
      <c r="C1846" s="3">
        <v>3.33</v>
      </c>
      <c r="D1846" s="3">
        <v>103.0</v>
      </c>
      <c r="E1846" s="3">
        <v>9.4</v>
      </c>
      <c r="F1846" s="3">
        <v>26.22</v>
      </c>
      <c r="G1846" s="3">
        <v>95.51</v>
      </c>
      <c r="H1846" s="3">
        <v>0.0</v>
      </c>
      <c r="I1846" s="3">
        <v>46.58</v>
      </c>
      <c r="J1846" s="3">
        <v>0.0</v>
      </c>
      <c r="K1846" s="4">
        <f t="shared" si="1"/>
        <v>9809.6485</v>
      </c>
      <c r="L1846" s="4">
        <f t="shared" si="2"/>
        <v>1.081486253</v>
      </c>
    </row>
    <row r="1847">
      <c r="A1847" s="3" t="s">
        <v>129</v>
      </c>
      <c r="B1847" s="3">
        <v>3.61</v>
      </c>
      <c r="C1847" s="3">
        <v>3.51</v>
      </c>
      <c r="D1847" s="3">
        <v>107.0</v>
      </c>
      <c r="E1847" s="3">
        <v>9.1</v>
      </c>
      <c r="F1847" s="3">
        <v>27.95</v>
      </c>
      <c r="G1847" s="3">
        <v>94.38</v>
      </c>
      <c r="H1847" s="3">
        <v>0.0</v>
      </c>
      <c r="I1847" s="3">
        <v>39.61</v>
      </c>
      <c r="J1847" s="3">
        <v>0.0</v>
      </c>
      <c r="K1847" s="4">
        <f t="shared" si="1"/>
        <v>9688.7869</v>
      </c>
      <c r="L1847" s="4">
        <f t="shared" si="2"/>
        <v>1.181675283</v>
      </c>
    </row>
    <row r="1848">
      <c r="A1848" s="3" t="s">
        <v>129</v>
      </c>
      <c r="B1848" s="3">
        <v>3.61</v>
      </c>
      <c r="C1848" s="3">
        <v>3.68</v>
      </c>
      <c r="D1848" s="3">
        <v>114.0</v>
      </c>
      <c r="E1848" s="3">
        <v>7.4</v>
      </c>
      <c r="F1848" s="3">
        <v>29.68</v>
      </c>
      <c r="G1848" s="3">
        <v>93.3</v>
      </c>
      <c r="H1848" s="3">
        <v>0.0</v>
      </c>
      <c r="I1848" s="3">
        <v>34.08</v>
      </c>
      <c r="J1848" s="3">
        <v>0.0</v>
      </c>
      <c r="K1848" s="4">
        <f t="shared" si="1"/>
        <v>9585.7924</v>
      </c>
      <c r="L1848" s="4">
        <f t="shared" si="2"/>
        <v>1.355756463</v>
      </c>
    </row>
    <row r="1849">
      <c r="A1849" s="3" t="s">
        <v>129</v>
      </c>
      <c r="B1849" s="3">
        <v>3.61</v>
      </c>
      <c r="C1849" s="3">
        <v>3.85</v>
      </c>
      <c r="D1849" s="3">
        <v>112.0</v>
      </c>
      <c r="E1849" s="3">
        <v>8.1</v>
      </c>
      <c r="F1849" s="3">
        <v>29.78</v>
      </c>
      <c r="G1849" s="3">
        <v>92.28</v>
      </c>
      <c r="H1849" s="3">
        <v>0.0</v>
      </c>
      <c r="I1849" s="3">
        <v>29.83</v>
      </c>
      <c r="J1849" s="3">
        <v>0.0</v>
      </c>
      <c r="K1849" s="4">
        <f t="shared" si="1"/>
        <v>9402.4468</v>
      </c>
      <c r="L1849" s="4">
        <f t="shared" si="2"/>
        <v>1.334120816</v>
      </c>
    </row>
    <row r="1850">
      <c r="A1850" s="3" t="s">
        <v>129</v>
      </c>
      <c r="B1850" s="3">
        <v>3.61</v>
      </c>
      <c r="C1850" s="3">
        <v>4.03</v>
      </c>
      <c r="D1850" s="3">
        <v>114.0</v>
      </c>
      <c r="E1850" s="3">
        <v>7.6</v>
      </c>
      <c r="F1850" s="3">
        <v>30.0</v>
      </c>
      <c r="G1850" s="3">
        <v>91.15</v>
      </c>
      <c r="H1850" s="3">
        <v>0.0</v>
      </c>
      <c r="I1850" s="3">
        <v>24.84</v>
      </c>
      <c r="J1850" s="3">
        <v>0.0</v>
      </c>
      <c r="K1850" s="4">
        <f t="shared" si="1"/>
        <v>9208.3225</v>
      </c>
      <c r="L1850" s="4">
        <f t="shared" si="2"/>
        <v>1.411331977</v>
      </c>
    </row>
    <row r="1851">
      <c r="A1851" s="3" t="s">
        <v>129</v>
      </c>
      <c r="B1851" s="3">
        <v>3.61</v>
      </c>
      <c r="C1851" s="3">
        <v>4.2</v>
      </c>
      <c r="D1851" s="3">
        <v>116.0</v>
      </c>
      <c r="E1851" s="3">
        <v>7.2</v>
      </c>
      <c r="F1851" s="3">
        <v>30.11</v>
      </c>
      <c r="G1851" s="3">
        <v>89.82</v>
      </c>
      <c r="H1851" s="3">
        <v>0.0</v>
      </c>
      <c r="I1851" s="3">
        <v>20.34</v>
      </c>
      <c r="J1851" s="3">
        <v>0.0</v>
      </c>
      <c r="K1851" s="4">
        <f t="shared" si="1"/>
        <v>8974.2445</v>
      </c>
      <c r="L1851" s="4">
        <f t="shared" si="2"/>
        <v>1.499401983</v>
      </c>
    </row>
    <row r="1852">
      <c r="A1852" s="3" t="s">
        <v>129</v>
      </c>
      <c r="B1852" s="3">
        <v>3.61</v>
      </c>
      <c r="C1852" s="3">
        <v>4.38</v>
      </c>
      <c r="D1852" s="3">
        <v>114.0</v>
      </c>
      <c r="E1852" s="3">
        <v>7.8</v>
      </c>
      <c r="F1852" s="3">
        <v>30.65</v>
      </c>
      <c r="G1852" s="3">
        <v>88.18</v>
      </c>
      <c r="H1852" s="3">
        <v>0.0</v>
      </c>
      <c r="I1852" s="3">
        <v>17.27</v>
      </c>
      <c r="J1852" s="3">
        <v>0.0</v>
      </c>
      <c r="K1852" s="4">
        <f t="shared" si="1"/>
        <v>8715.1349</v>
      </c>
      <c r="L1852" s="4">
        <f t="shared" si="2"/>
        <v>1.491198949</v>
      </c>
    </row>
    <row r="1853">
      <c r="A1853" s="3" t="s">
        <v>129</v>
      </c>
      <c r="B1853" s="3">
        <v>3.61</v>
      </c>
      <c r="C1853" s="3">
        <v>4.73</v>
      </c>
      <c r="D1853" s="3">
        <v>114.0</v>
      </c>
      <c r="E1853" s="3">
        <v>11.4</v>
      </c>
      <c r="F1853" s="3">
        <v>31.83</v>
      </c>
      <c r="G1853" s="3">
        <v>85.52</v>
      </c>
      <c r="H1853" s="3">
        <v>0.0</v>
      </c>
      <c r="I1853" s="3">
        <v>14.11</v>
      </c>
      <c r="J1853" s="3">
        <v>0.0</v>
      </c>
      <c r="K1853" s="4">
        <f t="shared" si="1"/>
        <v>8326.8193</v>
      </c>
      <c r="L1853" s="4">
        <f t="shared" si="2"/>
        <v>1.560740005</v>
      </c>
    </row>
    <row r="1854">
      <c r="A1854" s="3" t="s">
        <v>129</v>
      </c>
      <c r="B1854" s="3">
        <v>3.61</v>
      </c>
      <c r="C1854" s="3">
        <v>5.25</v>
      </c>
      <c r="D1854" s="3">
        <v>109.0</v>
      </c>
      <c r="E1854" s="3">
        <v>9.9</v>
      </c>
      <c r="F1854" s="3">
        <v>33.35</v>
      </c>
      <c r="G1854" s="3">
        <v>82.4</v>
      </c>
      <c r="H1854" s="3">
        <v>0.0</v>
      </c>
      <c r="I1854" s="3">
        <v>8.84</v>
      </c>
      <c r="J1854" s="3">
        <v>0.0</v>
      </c>
      <c r="K1854" s="4">
        <f t="shared" si="1"/>
        <v>7901.9825</v>
      </c>
      <c r="L1854" s="4">
        <f t="shared" si="2"/>
        <v>1.503546737</v>
      </c>
    </row>
    <row r="1855">
      <c r="A1855" s="3" t="s">
        <v>129</v>
      </c>
      <c r="B1855" s="3">
        <v>3.61</v>
      </c>
      <c r="C1855" s="3">
        <v>5.78</v>
      </c>
      <c r="D1855" s="3">
        <v>107.0</v>
      </c>
      <c r="E1855" s="3">
        <v>12.6</v>
      </c>
      <c r="F1855" s="3">
        <v>34.64</v>
      </c>
      <c r="G1855" s="3">
        <v>77.56</v>
      </c>
      <c r="H1855" s="3">
        <v>0.0</v>
      </c>
      <c r="I1855" s="3">
        <v>3.77</v>
      </c>
      <c r="J1855" s="3">
        <v>0.0</v>
      </c>
      <c r="K1855" s="4">
        <f t="shared" si="1"/>
        <v>7215.4832</v>
      </c>
      <c r="L1855" s="4">
        <f t="shared" si="2"/>
        <v>1.586726721</v>
      </c>
    </row>
    <row r="1856">
      <c r="A1856" s="3" t="s">
        <v>129</v>
      </c>
      <c r="B1856" s="3">
        <v>3.61</v>
      </c>
      <c r="C1856" s="3">
        <v>6.3</v>
      </c>
      <c r="D1856" s="3">
        <v>105.0</v>
      </c>
      <c r="E1856" s="3">
        <v>12.5</v>
      </c>
      <c r="F1856" s="3">
        <v>34.75</v>
      </c>
      <c r="G1856" s="3">
        <v>74.17</v>
      </c>
      <c r="H1856" s="3">
        <v>0.0</v>
      </c>
      <c r="I1856" s="3">
        <v>4.92</v>
      </c>
      <c r="J1856" s="3">
        <v>0.0</v>
      </c>
      <c r="K1856" s="4">
        <f t="shared" si="1"/>
        <v>6708.7514</v>
      </c>
      <c r="L1856" s="4">
        <f t="shared" si="2"/>
        <v>1.643375845</v>
      </c>
    </row>
    <row r="1857">
      <c r="A1857" s="3" t="s">
        <v>129</v>
      </c>
      <c r="B1857" s="3">
        <v>3.61</v>
      </c>
      <c r="C1857" s="3">
        <v>6.82</v>
      </c>
      <c r="D1857" s="3">
        <v>101.0</v>
      </c>
      <c r="E1857" s="3">
        <v>5.2</v>
      </c>
      <c r="F1857" s="3">
        <v>33.99</v>
      </c>
      <c r="G1857" s="3">
        <v>71.94</v>
      </c>
      <c r="H1857" s="3">
        <v>0.0</v>
      </c>
      <c r="I1857" s="3">
        <v>2.59</v>
      </c>
      <c r="J1857" s="3">
        <v>0.0</v>
      </c>
      <c r="K1857" s="4">
        <f t="shared" si="1"/>
        <v>6330.6837</v>
      </c>
      <c r="L1857" s="4">
        <f t="shared" si="2"/>
        <v>1.611358343</v>
      </c>
    </row>
    <row r="1858">
      <c r="A1858" s="3" t="s">
        <v>129</v>
      </c>
      <c r="B1858" s="3">
        <v>3.61</v>
      </c>
      <c r="C1858" s="3">
        <v>7.35</v>
      </c>
      <c r="D1858" s="3">
        <v>94.5</v>
      </c>
      <c r="E1858" s="3">
        <v>4.6</v>
      </c>
      <c r="F1858" s="3">
        <v>32.7</v>
      </c>
      <c r="G1858" s="3">
        <v>69.09</v>
      </c>
      <c r="H1858" s="3">
        <v>0.0</v>
      </c>
      <c r="I1858" s="3">
        <v>1.7</v>
      </c>
      <c r="J1858" s="3">
        <v>0.0</v>
      </c>
      <c r="K1858" s="4">
        <f t="shared" si="1"/>
        <v>5842.7181</v>
      </c>
      <c r="L1858" s="4">
        <f t="shared" si="2"/>
        <v>1.528441018</v>
      </c>
    </row>
    <row r="1859">
      <c r="A1859" s="3" t="s">
        <v>129</v>
      </c>
      <c r="B1859" s="3">
        <v>3.61</v>
      </c>
      <c r="C1859" s="3">
        <v>7.87</v>
      </c>
      <c r="D1859" s="3">
        <v>90.8</v>
      </c>
      <c r="E1859" s="3">
        <v>6.1</v>
      </c>
      <c r="F1859" s="3">
        <v>30.97</v>
      </c>
      <c r="G1859" s="3">
        <v>66.92</v>
      </c>
      <c r="H1859" s="3">
        <v>0.0</v>
      </c>
      <c r="I1859" s="3">
        <v>0.0</v>
      </c>
      <c r="J1859" s="3">
        <v>0.0</v>
      </c>
      <c r="K1859" s="4">
        <f t="shared" si="1"/>
        <v>5437.4273</v>
      </c>
      <c r="L1859" s="4">
        <f t="shared" si="2"/>
        <v>1.516275905</v>
      </c>
    </row>
    <row r="1860">
      <c r="A1860" s="3" t="s">
        <v>130</v>
      </c>
      <c r="B1860" s="3">
        <v>14.4</v>
      </c>
      <c r="C1860" s="3">
        <v>0.63</v>
      </c>
      <c r="D1860" s="3">
        <v>265.0</v>
      </c>
      <c r="E1860" s="3">
        <v>15.0</v>
      </c>
      <c r="F1860" s="3">
        <v>-0.69</v>
      </c>
      <c r="G1860" s="3">
        <v>39.69</v>
      </c>
      <c r="H1860" s="3">
        <v>345.22</v>
      </c>
      <c r="I1860" s="3">
        <v>482.94</v>
      </c>
      <c r="J1860" s="3">
        <v>6648.99</v>
      </c>
      <c r="K1860" s="4">
        <f t="shared" si="1"/>
        <v>1575.7722</v>
      </c>
      <c r="L1860" s="4">
        <f t="shared" si="2"/>
        <v>44.56545178</v>
      </c>
    </row>
    <row r="1861">
      <c r="A1861" s="3" t="s">
        <v>130</v>
      </c>
      <c r="B1861" s="3">
        <v>14.4</v>
      </c>
      <c r="C1861" s="3">
        <v>1.72</v>
      </c>
      <c r="D1861" s="3">
        <v>250.0</v>
      </c>
      <c r="E1861" s="3">
        <v>15.0</v>
      </c>
      <c r="F1861" s="3">
        <v>-2.33</v>
      </c>
      <c r="G1861" s="3">
        <v>81.63</v>
      </c>
      <c r="H1861" s="3">
        <v>298.99</v>
      </c>
      <c r="I1861" s="3">
        <v>314.38</v>
      </c>
      <c r="J1861" s="3">
        <v>709.44</v>
      </c>
      <c r="K1861" s="4">
        <f t="shared" si="1"/>
        <v>6668.8858</v>
      </c>
      <c r="L1861" s="4">
        <f t="shared" si="2"/>
        <v>9.371880382</v>
      </c>
    </row>
    <row r="1862">
      <c r="A1862" s="3" t="s">
        <v>130</v>
      </c>
      <c r="B1862" s="3">
        <v>14.4</v>
      </c>
      <c r="C1862" s="3">
        <v>2.79</v>
      </c>
      <c r="D1862" s="3">
        <v>233.0</v>
      </c>
      <c r="E1862" s="3">
        <v>7.29</v>
      </c>
      <c r="F1862" s="3">
        <v>-3.94</v>
      </c>
      <c r="G1862" s="3">
        <v>104.82</v>
      </c>
      <c r="H1862" s="3">
        <v>255.24</v>
      </c>
      <c r="I1862" s="3">
        <v>206.27</v>
      </c>
      <c r="J1862" s="3">
        <v>199.44</v>
      </c>
      <c r="K1862" s="4">
        <f t="shared" si="1"/>
        <v>11002.756</v>
      </c>
      <c r="L1862" s="4">
        <f t="shared" si="2"/>
        <v>4.934127413</v>
      </c>
    </row>
    <row r="1863">
      <c r="A1863" s="3" t="s">
        <v>130</v>
      </c>
      <c r="B1863" s="3">
        <v>14.4</v>
      </c>
      <c r="C1863" s="3">
        <v>3.91</v>
      </c>
      <c r="D1863" s="3">
        <v>230.0</v>
      </c>
      <c r="E1863" s="3">
        <v>6.45</v>
      </c>
      <c r="F1863" s="3">
        <v>-5.06</v>
      </c>
      <c r="G1863" s="3">
        <v>118.95</v>
      </c>
      <c r="H1863" s="3">
        <v>225.3</v>
      </c>
      <c r="I1863" s="3">
        <v>132.93</v>
      </c>
      <c r="J1863" s="3">
        <v>74.66</v>
      </c>
      <c r="K1863" s="4">
        <f t="shared" si="1"/>
        <v>14174.7061</v>
      </c>
      <c r="L1863" s="4">
        <f t="shared" si="2"/>
        <v>3.731999777</v>
      </c>
    </row>
    <row r="1864">
      <c r="A1864" s="3" t="s">
        <v>130</v>
      </c>
      <c r="B1864" s="3">
        <v>14.4</v>
      </c>
      <c r="C1864" s="3">
        <v>5.03</v>
      </c>
      <c r="D1864" s="3">
        <v>228.0</v>
      </c>
      <c r="E1864" s="3">
        <v>5.37</v>
      </c>
      <c r="F1864" s="3">
        <v>-3.48</v>
      </c>
      <c r="G1864" s="3">
        <v>122.96</v>
      </c>
      <c r="H1864" s="3">
        <v>203.41</v>
      </c>
      <c r="I1864" s="3">
        <v>76.78</v>
      </c>
      <c r="J1864" s="3">
        <v>26.96</v>
      </c>
      <c r="K1864" s="4">
        <f t="shared" si="1"/>
        <v>15131.272</v>
      </c>
      <c r="L1864" s="4">
        <f t="shared" si="2"/>
        <v>3.435534038</v>
      </c>
    </row>
    <row r="1865">
      <c r="A1865" s="3" t="s">
        <v>130</v>
      </c>
      <c r="B1865" s="3">
        <v>14.4</v>
      </c>
      <c r="C1865" s="3">
        <v>6.14</v>
      </c>
      <c r="D1865" s="3">
        <v>228.0</v>
      </c>
      <c r="E1865" s="3">
        <v>5.16</v>
      </c>
      <c r="F1865" s="3">
        <v>1.4</v>
      </c>
      <c r="G1865" s="3">
        <v>120.03</v>
      </c>
      <c r="H1865" s="3">
        <v>186.27</v>
      </c>
      <c r="I1865" s="3">
        <v>47.7</v>
      </c>
      <c r="J1865" s="3">
        <v>9.82</v>
      </c>
      <c r="K1865" s="4">
        <f t="shared" si="1"/>
        <v>14409.1609</v>
      </c>
      <c r="L1865" s="4">
        <f t="shared" si="2"/>
        <v>3.607704873</v>
      </c>
    </row>
    <row r="1866">
      <c r="A1866" s="3" t="s">
        <v>130</v>
      </c>
      <c r="B1866" s="3">
        <v>14.4</v>
      </c>
      <c r="C1866" s="3">
        <v>7.26</v>
      </c>
      <c r="D1866" s="3">
        <v>227.0</v>
      </c>
      <c r="E1866" s="3">
        <v>5.94</v>
      </c>
      <c r="F1866" s="3">
        <v>-1.38</v>
      </c>
      <c r="G1866" s="3">
        <v>115.88</v>
      </c>
      <c r="H1866" s="3">
        <v>172.25</v>
      </c>
      <c r="I1866" s="3">
        <v>31.38</v>
      </c>
      <c r="J1866" s="3">
        <v>3.55</v>
      </c>
      <c r="K1866" s="4">
        <f t="shared" si="1"/>
        <v>13430.0788</v>
      </c>
      <c r="L1866" s="4">
        <f t="shared" si="2"/>
        <v>3.836835269</v>
      </c>
    </row>
    <row r="1867">
      <c r="A1867" s="3" t="s">
        <v>130</v>
      </c>
      <c r="B1867" s="3">
        <v>14.4</v>
      </c>
      <c r="C1867" s="3">
        <v>8.37</v>
      </c>
      <c r="D1867" s="3">
        <v>226.0</v>
      </c>
      <c r="E1867" s="3">
        <v>3.0</v>
      </c>
      <c r="F1867" s="3">
        <v>5.96</v>
      </c>
      <c r="G1867" s="3">
        <v>113.5</v>
      </c>
      <c r="H1867" s="3">
        <v>160.83</v>
      </c>
      <c r="I1867" s="3">
        <v>22.99</v>
      </c>
      <c r="J1867" s="3">
        <v>1.29</v>
      </c>
      <c r="K1867" s="4">
        <f t="shared" si="1"/>
        <v>12917.7716</v>
      </c>
      <c r="L1867" s="4">
        <f t="shared" si="2"/>
        <v>3.953932736</v>
      </c>
    </row>
    <row r="1868">
      <c r="A1868" s="3" t="s">
        <v>130</v>
      </c>
      <c r="B1868" s="3">
        <v>14.4</v>
      </c>
      <c r="C1868" s="3">
        <v>9.5</v>
      </c>
      <c r="D1868" s="3">
        <v>223.0</v>
      </c>
      <c r="E1868" s="3">
        <v>3.92</v>
      </c>
      <c r="F1868" s="3">
        <v>11.22</v>
      </c>
      <c r="G1868" s="3">
        <v>109.97</v>
      </c>
      <c r="H1868" s="3">
        <v>151.12</v>
      </c>
      <c r="I1868" s="3">
        <v>14.94</v>
      </c>
      <c r="J1868" s="3">
        <v>0.47</v>
      </c>
      <c r="K1868" s="4">
        <f t="shared" si="1"/>
        <v>12219.2893</v>
      </c>
      <c r="L1868" s="4">
        <f t="shared" si="2"/>
        <v>4.069712958</v>
      </c>
    </row>
    <row r="1869">
      <c r="A1869" s="3" t="s">
        <v>130</v>
      </c>
      <c r="B1869" s="3">
        <v>14.4</v>
      </c>
      <c r="C1869" s="3">
        <v>10.65</v>
      </c>
      <c r="D1869" s="3">
        <v>219.0</v>
      </c>
      <c r="E1869" s="3">
        <v>2.9</v>
      </c>
      <c r="F1869" s="3">
        <v>16.09</v>
      </c>
      <c r="G1869" s="3">
        <v>105.99</v>
      </c>
      <c r="H1869" s="3">
        <v>142.79</v>
      </c>
      <c r="I1869" s="3">
        <v>9.9</v>
      </c>
      <c r="J1869" s="3">
        <v>0.16</v>
      </c>
      <c r="K1869" s="4">
        <f t="shared" si="1"/>
        <v>11492.7682</v>
      </c>
      <c r="L1869" s="4">
        <f t="shared" si="2"/>
        <v>4.173146031</v>
      </c>
    </row>
    <row r="1870">
      <c r="A1870" s="3" t="s">
        <v>130</v>
      </c>
      <c r="B1870" s="3">
        <v>14.4</v>
      </c>
      <c r="C1870" s="3">
        <v>11.74</v>
      </c>
      <c r="D1870" s="3">
        <v>216.0</v>
      </c>
      <c r="E1870" s="3">
        <v>2.55</v>
      </c>
      <c r="F1870" s="3">
        <v>18.57</v>
      </c>
      <c r="G1870" s="3">
        <v>102.02</v>
      </c>
      <c r="H1870" s="3">
        <v>136.04</v>
      </c>
      <c r="I1870" s="3">
        <v>6.36</v>
      </c>
      <c r="J1870" s="3">
        <v>0.06</v>
      </c>
      <c r="K1870" s="4">
        <f t="shared" si="1"/>
        <v>10752.9253</v>
      </c>
      <c r="L1870" s="4">
        <f t="shared" si="2"/>
        <v>4.338912314</v>
      </c>
    </row>
    <row r="1871">
      <c r="A1871" s="3" t="s">
        <v>130</v>
      </c>
      <c r="B1871" s="3">
        <v>14.4</v>
      </c>
      <c r="C1871" s="3">
        <v>12.82</v>
      </c>
      <c r="D1871" s="3">
        <v>214.0</v>
      </c>
      <c r="E1871" s="3">
        <v>2.55</v>
      </c>
      <c r="F1871" s="3">
        <v>19.07</v>
      </c>
      <c r="G1871" s="3">
        <v>97.84</v>
      </c>
      <c r="H1871" s="3">
        <v>130.19</v>
      </c>
      <c r="I1871" s="3">
        <v>4.05</v>
      </c>
      <c r="J1871" s="3">
        <v>0.02</v>
      </c>
      <c r="K1871" s="4">
        <f t="shared" si="1"/>
        <v>9936.3305</v>
      </c>
      <c r="L1871" s="4">
        <f t="shared" si="2"/>
        <v>4.608944922</v>
      </c>
    </row>
    <row r="1872">
      <c r="A1872" s="3" t="s">
        <v>130</v>
      </c>
      <c r="B1872" s="3">
        <v>14.4</v>
      </c>
      <c r="C1872" s="3">
        <v>14.01</v>
      </c>
      <c r="D1872" s="3">
        <v>214.0</v>
      </c>
      <c r="E1872" s="3">
        <v>3.07</v>
      </c>
      <c r="F1872" s="3">
        <v>17.78</v>
      </c>
      <c r="G1872" s="3">
        <v>93.27</v>
      </c>
      <c r="H1872" s="3">
        <v>124.54</v>
      </c>
      <c r="I1872" s="3">
        <v>2.46</v>
      </c>
      <c r="J1872" s="3">
        <v>0.01</v>
      </c>
      <c r="K1872" s="4">
        <f t="shared" si="1"/>
        <v>9015.4213</v>
      </c>
      <c r="L1872" s="4">
        <f t="shared" si="2"/>
        <v>5.079740422</v>
      </c>
    </row>
    <row r="1873">
      <c r="A1873" s="3" t="s">
        <v>130</v>
      </c>
      <c r="B1873" s="3">
        <v>14.4</v>
      </c>
      <c r="C1873" s="3">
        <v>15.09</v>
      </c>
      <c r="D1873" s="3">
        <v>214.0</v>
      </c>
      <c r="E1873" s="3">
        <v>3.61</v>
      </c>
      <c r="F1873" s="3">
        <v>20.16</v>
      </c>
      <c r="G1873" s="3">
        <v>89.43</v>
      </c>
      <c r="H1873" s="3">
        <v>120.01</v>
      </c>
      <c r="I1873" s="3">
        <v>1.62</v>
      </c>
      <c r="J1873" s="3">
        <v>0.0</v>
      </c>
      <c r="K1873" s="4">
        <f t="shared" si="1"/>
        <v>8404.1505</v>
      </c>
      <c r="L1873" s="4">
        <f t="shared" si="2"/>
        <v>5.449212267</v>
      </c>
    </row>
    <row r="1874">
      <c r="A1874" s="3" t="s">
        <v>130</v>
      </c>
      <c r="B1874" s="3">
        <v>14.4</v>
      </c>
      <c r="C1874" s="3">
        <v>16.18</v>
      </c>
      <c r="D1874" s="3">
        <v>214.0</v>
      </c>
      <c r="E1874" s="3">
        <v>4.46</v>
      </c>
      <c r="F1874" s="3">
        <v>23.24</v>
      </c>
      <c r="G1874" s="3">
        <v>85.93</v>
      </c>
      <c r="H1874" s="3">
        <v>115.89</v>
      </c>
      <c r="I1874" s="3">
        <v>1.06</v>
      </c>
      <c r="J1874" s="3">
        <v>0.0</v>
      </c>
      <c r="K1874" s="4">
        <f t="shared" si="1"/>
        <v>7924.0625</v>
      </c>
      <c r="L1874" s="4">
        <f t="shared" si="2"/>
        <v>5.779358757</v>
      </c>
    </row>
    <row r="1875">
      <c r="A1875" s="3" t="s">
        <v>130</v>
      </c>
      <c r="B1875" s="3">
        <v>14.4</v>
      </c>
      <c r="C1875" s="3">
        <v>17.36</v>
      </c>
      <c r="D1875" s="3">
        <v>214.0</v>
      </c>
      <c r="E1875" s="3">
        <v>5.07</v>
      </c>
      <c r="F1875" s="3">
        <v>23.44</v>
      </c>
      <c r="G1875" s="3">
        <v>82.48</v>
      </c>
      <c r="H1875" s="3">
        <v>111.88</v>
      </c>
      <c r="I1875" s="3">
        <v>0.66</v>
      </c>
      <c r="J1875" s="3">
        <v>0.0</v>
      </c>
      <c r="K1875" s="4">
        <f t="shared" si="1"/>
        <v>7352.384</v>
      </c>
      <c r="L1875" s="4">
        <f t="shared" si="2"/>
        <v>6.228727988</v>
      </c>
    </row>
    <row r="1876">
      <c r="A1876" s="3" t="s">
        <v>130</v>
      </c>
      <c r="B1876" s="3">
        <v>14.4</v>
      </c>
      <c r="C1876" s="3">
        <v>18.44</v>
      </c>
      <c r="D1876" s="3">
        <v>214.0</v>
      </c>
      <c r="E1876" s="3">
        <v>4.78</v>
      </c>
      <c r="F1876" s="3">
        <v>23.34</v>
      </c>
      <c r="G1876" s="3">
        <v>79.67</v>
      </c>
      <c r="H1876" s="3">
        <v>108.55</v>
      </c>
      <c r="I1876" s="3">
        <v>0.43</v>
      </c>
      <c r="J1876" s="3">
        <v>0.0</v>
      </c>
      <c r="K1876" s="4">
        <f t="shared" si="1"/>
        <v>6892.0645</v>
      </c>
      <c r="L1876" s="4">
        <f t="shared" si="2"/>
        <v>6.644743386</v>
      </c>
    </row>
    <row r="1877">
      <c r="A1877" s="3" t="s">
        <v>130</v>
      </c>
      <c r="B1877" s="3">
        <v>14.4</v>
      </c>
      <c r="C1877" s="3">
        <v>19.53</v>
      </c>
      <c r="D1877" s="3">
        <v>214.0</v>
      </c>
      <c r="E1877" s="3">
        <v>4.87</v>
      </c>
      <c r="F1877" s="3">
        <v>22.64</v>
      </c>
      <c r="G1877" s="3">
        <v>77.35</v>
      </c>
      <c r="H1877" s="3">
        <v>105.49</v>
      </c>
      <c r="I1877" s="3">
        <v>0.0</v>
      </c>
      <c r="J1877" s="3">
        <v>0.0</v>
      </c>
      <c r="K1877" s="4">
        <f t="shared" si="1"/>
        <v>6495.5921</v>
      </c>
      <c r="L1877" s="4">
        <f t="shared" si="2"/>
        <v>7.050319554</v>
      </c>
    </row>
    <row r="1878">
      <c r="A1878" s="3" t="s">
        <v>21</v>
      </c>
      <c r="B1878" s="3">
        <v>13.6</v>
      </c>
      <c r="C1878" s="3">
        <v>0.33</v>
      </c>
      <c r="D1878" s="3">
        <v>20.5</v>
      </c>
      <c r="E1878" s="3">
        <v>4.17</v>
      </c>
      <c r="F1878" s="3">
        <v>5.04</v>
      </c>
      <c r="G1878" s="3">
        <v>10.8</v>
      </c>
      <c r="H1878" s="3">
        <v>0.0</v>
      </c>
      <c r="I1878" s="3">
        <v>44.45</v>
      </c>
      <c r="J1878" s="3">
        <v>0.0</v>
      </c>
      <c r="K1878" s="4">
        <f t="shared" si="1"/>
        <v>142.0416</v>
      </c>
      <c r="L1878" s="4">
        <f t="shared" si="2"/>
        <v>2.958640286</v>
      </c>
    </row>
    <row r="1879">
      <c r="A1879" s="3" t="s">
        <v>21</v>
      </c>
      <c r="B1879" s="3">
        <v>13.6</v>
      </c>
      <c r="C1879" s="3">
        <v>0.99</v>
      </c>
      <c r="D1879" s="3">
        <v>19.9</v>
      </c>
      <c r="E1879" s="3">
        <v>1.82</v>
      </c>
      <c r="F1879" s="3">
        <v>10.8</v>
      </c>
      <c r="G1879" s="3">
        <v>19.85</v>
      </c>
      <c r="H1879" s="3">
        <v>0.0</v>
      </c>
      <c r="I1879" s="3">
        <v>13.79</v>
      </c>
      <c r="J1879" s="3">
        <v>0.0</v>
      </c>
      <c r="K1879" s="4">
        <f t="shared" si="1"/>
        <v>510.6625</v>
      </c>
      <c r="L1879" s="4">
        <f t="shared" si="2"/>
        <v>0.7754828287</v>
      </c>
    </row>
    <row r="1880">
      <c r="A1880" s="3" t="s">
        <v>21</v>
      </c>
      <c r="B1880" s="3">
        <v>13.6</v>
      </c>
      <c r="C1880" s="3">
        <v>1.65</v>
      </c>
      <c r="D1880" s="3">
        <v>19.3</v>
      </c>
      <c r="E1880" s="3">
        <v>1.69</v>
      </c>
      <c r="F1880" s="3">
        <v>12.3</v>
      </c>
      <c r="G1880" s="3">
        <v>20.13</v>
      </c>
      <c r="H1880" s="3">
        <v>0.0</v>
      </c>
      <c r="I1880" s="3">
        <v>4.14</v>
      </c>
      <c r="J1880" s="3">
        <v>0.0</v>
      </c>
      <c r="K1880" s="4">
        <f t="shared" si="1"/>
        <v>556.5069</v>
      </c>
      <c r="L1880" s="4">
        <f t="shared" si="2"/>
        <v>0.669335816</v>
      </c>
    </row>
    <row r="1881">
      <c r="A1881" s="3" t="s">
        <v>21</v>
      </c>
      <c r="B1881" s="3">
        <v>13.6</v>
      </c>
      <c r="C1881" s="3">
        <v>2.31</v>
      </c>
      <c r="D1881" s="3">
        <v>18.8</v>
      </c>
      <c r="E1881" s="3">
        <v>1.9</v>
      </c>
      <c r="F1881" s="3">
        <v>12.7</v>
      </c>
      <c r="G1881" s="3">
        <v>18.24</v>
      </c>
      <c r="H1881" s="3">
        <v>0.0</v>
      </c>
      <c r="I1881" s="3">
        <v>1.17</v>
      </c>
      <c r="J1881" s="3">
        <v>0.0</v>
      </c>
      <c r="K1881" s="4">
        <f t="shared" si="1"/>
        <v>493.9876</v>
      </c>
      <c r="L1881" s="4">
        <f t="shared" si="2"/>
        <v>0.7154835466</v>
      </c>
    </row>
    <row r="1882">
      <c r="A1882" s="3" t="s">
        <v>21</v>
      </c>
      <c r="B1882" s="3">
        <v>13.6</v>
      </c>
      <c r="C1882" s="3">
        <v>2.97</v>
      </c>
      <c r="D1882" s="3">
        <v>18.2</v>
      </c>
      <c r="E1882" s="3">
        <v>1.74</v>
      </c>
      <c r="F1882" s="3">
        <v>13.3</v>
      </c>
      <c r="G1882" s="3">
        <v>16.21</v>
      </c>
      <c r="H1882" s="3">
        <v>0.0</v>
      </c>
      <c r="I1882" s="3">
        <v>0.34</v>
      </c>
      <c r="J1882" s="3">
        <v>0.0</v>
      </c>
      <c r="K1882" s="4">
        <f t="shared" si="1"/>
        <v>439.6541</v>
      </c>
      <c r="L1882" s="4">
        <f t="shared" si="2"/>
        <v>0.7534104652</v>
      </c>
    </row>
    <row r="1883">
      <c r="A1883" s="3" t="s">
        <v>21</v>
      </c>
      <c r="B1883" s="3">
        <v>13.6</v>
      </c>
      <c r="C1883" s="3">
        <v>3.63</v>
      </c>
      <c r="D1883" s="3">
        <v>18.3</v>
      </c>
      <c r="E1883" s="3">
        <v>2.22</v>
      </c>
      <c r="F1883" s="3">
        <v>14.2</v>
      </c>
      <c r="G1883" s="3">
        <v>14.5</v>
      </c>
      <c r="H1883" s="3">
        <v>0.0</v>
      </c>
      <c r="I1883" s="3">
        <v>0.0</v>
      </c>
      <c r="J1883" s="3">
        <v>0.0</v>
      </c>
      <c r="K1883" s="4">
        <f t="shared" si="1"/>
        <v>411.89</v>
      </c>
      <c r="L1883" s="4">
        <f t="shared" si="2"/>
        <v>0.8130568841</v>
      </c>
    </row>
    <row r="1884">
      <c r="A1884" s="3" t="s">
        <v>131</v>
      </c>
      <c r="B1884" s="3">
        <v>64.5</v>
      </c>
      <c r="C1884" s="3">
        <v>1.25</v>
      </c>
      <c r="D1884" s="3">
        <v>34.1</v>
      </c>
      <c r="E1884" s="3">
        <v>18.8</v>
      </c>
      <c r="F1884" s="3">
        <v>1.71</v>
      </c>
      <c r="G1884" s="3">
        <v>29.4</v>
      </c>
      <c r="H1884" s="3">
        <v>0.0</v>
      </c>
      <c r="I1884" s="3">
        <v>81.19</v>
      </c>
      <c r="J1884" s="3">
        <v>0.0</v>
      </c>
      <c r="K1884" s="4">
        <f t="shared" si="1"/>
        <v>867.2841</v>
      </c>
      <c r="L1884" s="4">
        <f t="shared" si="2"/>
        <v>1.340748666</v>
      </c>
    </row>
    <row r="1885">
      <c r="A1885" s="3" t="s">
        <v>131</v>
      </c>
      <c r="B1885" s="3">
        <v>64.5</v>
      </c>
      <c r="C1885" s="3">
        <v>3.75</v>
      </c>
      <c r="D1885" s="3">
        <v>78.4</v>
      </c>
      <c r="E1885" s="3">
        <v>6.54</v>
      </c>
      <c r="F1885" s="3">
        <v>4.27</v>
      </c>
      <c r="G1885" s="3">
        <v>49.15</v>
      </c>
      <c r="H1885" s="3">
        <v>0.0</v>
      </c>
      <c r="I1885" s="3">
        <v>28.11</v>
      </c>
      <c r="J1885" s="3">
        <v>0.0</v>
      </c>
      <c r="K1885" s="4">
        <f t="shared" si="1"/>
        <v>2433.9554</v>
      </c>
      <c r="L1885" s="4">
        <f t="shared" si="2"/>
        <v>2.525337975</v>
      </c>
    </row>
    <row r="1886">
      <c r="A1886" s="3" t="s">
        <v>131</v>
      </c>
      <c r="B1886" s="3">
        <v>64.5</v>
      </c>
      <c r="C1886" s="3">
        <v>6.25</v>
      </c>
      <c r="D1886" s="3">
        <v>96.9</v>
      </c>
      <c r="E1886" s="3">
        <v>2.44</v>
      </c>
      <c r="F1886" s="3">
        <v>7.23</v>
      </c>
      <c r="G1886" s="3">
        <v>50.52</v>
      </c>
      <c r="H1886" s="3">
        <v>0.0</v>
      </c>
      <c r="I1886" s="3">
        <v>15.91</v>
      </c>
      <c r="J1886" s="3">
        <v>0.0</v>
      </c>
      <c r="K1886" s="4">
        <f t="shared" si="1"/>
        <v>2604.5433</v>
      </c>
      <c r="L1886" s="4">
        <f t="shared" si="2"/>
        <v>3.605088846</v>
      </c>
    </row>
    <row r="1887">
      <c r="A1887" s="3" t="s">
        <v>131</v>
      </c>
      <c r="B1887" s="3">
        <v>64.5</v>
      </c>
      <c r="C1887" s="3">
        <v>8.76</v>
      </c>
      <c r="D1887" s="3">
        <v>108.0</v>
      </c>
      <c r="E1887" s="3">
        <v>1.26</v>
      </c>
      <c r="F1887" s="3">
        <v>11.57</v>
      </c>
      <c r="G1887" s="3">
        <v>51.47</v>
      </c>
      <c r="H1887" s="3">
        <v>0.0</v>
      </c>
      <c r="I1887" s="3">
        <v>10.69</v>
      </c>
      <c r="J1887" s="3">
        <v>0.0</v>
      </c>
      <c r="K1887" s="4">
        <f t="shared" si="1"/>
        <v>2783.0258</v>
      </c>
      <c r="L1887" s="4">
        <f t="shared" si="2"/>
        <v>4.191121764</v>
      </c>
    </row>
    <row r="1888">
      <c r="A1888" s="3" t="s">
        <v>131</v>
      </c>
      <c r="B1888" s="3">
        <v>64.5</v>
      </c>
      <c r="C1888" s="3">
        <v>11.25</v>
      </c>
      <c r="D1888" s="3">
        <v>113.0</v>
      </c>
      <c r="E1888" s="3">
        <v>1.0</v>
      </c>
      <c r="F1888" s="3">
        <v>13.37</v>
      </c>
      <c r="G1888" s="3">
        <v>53.63</v>
      </c>
      <c r="H1888" s="3">
        <v>0.0</v>
      </c>
      <c r="I1888" s="3">
        <v>8.58</v>
      </c>
      <c r="J1888" s="3">
        <v>0.0</v>
      </c>
      <c r="K1888" s="4">
        <f t="shared" si="1"/>
        <v>3054.9338</v>
      </c>
      <c r="L1888" s="4">
        <f t="shared" si="2"/>
        <v>4.179795975</v>
      </c>
    </row>
    <row r="1889">
      <c r="A1889" s="3" t="s">
        <v>131</v>
      </c>
      <c r="B1889" s="3">
        <v>64.5</v>
      </c>
      <c r="C1889" s="3">
        <v>13.74</v>
      </c>
      <c r="D1889" s="3">
        <v>114.0</v>
      </c>
      <c r="E1889" s="3">
        <v>0.86</v>
      </c>
      <c r="F1889" s="3">
        <v>16.66</v>
      </c>
      <c r="G1889" s="3">
        <v>57.25</v>
      </c>
      <c r="H1889" s="3">
        <v>0.0</v>
      </c>
      <c r="I1889" s="3">
        <v>6.03</v>
      </c>
      <c r="J1889" s="3">
        <v>0.0</v>
      </c>
      <c r="K1889" s="4">
        <f t="shared" si="1"/>
        <v>3555.1181</v>
      </c>
      <c r="L1889" s="4">
        <f t="shared" si="2"/>
        <v>3.655574761</v>
      </c>
    </row>
    <row r="1890">
      <c r="A1890" s="3" t="s">
        <v>131</v>
      </c>
      <c r="B1890" s="3">
        <v>64.5</v>
      </c>
      <c r="C1890" s="3">
        <v>16.22</v>
      </c>
      <c r="D1890" s="3">
        <v>121.0</v>
      </c>
      <c r="E1890" s="3">
        <v>0.68</v>
      </c>
      <c r="F1890" s="3">
        <v>23.15</v>
      </c>
      <c r="G1890" s="3">
        <v>57.75</v>
      </c>
      <c r="H1890" s="3">
        <v>0.0</v>
      </c>
      <c r="I1890" s="3">
        <v>3.5</v>
      </c>
      <c r="J1890" s="3">
        <v>0.0</v>
      </c>
      <c r="K1890" s="4">
        <f t="shared" si="1"/>
        <v>3870.985</v>
      </c>
      <c r="L1890" s="4">
        <f t="shared" si="2"/>
        <v>3.782241471</v>
      </c>
    </row>
    <row r="1891">
      <c r="A1891" s="3" t="s">
        <v>131</v>
      </c>
      <c r="B1891" s="3">
        <v>64.5</v>
      </c>
      <c r="C1891" s="3">
        <v>18.71</v>
      </c>
      <c r="D1891" s="3">
        <v>126.0</v>
      </c>
      <c r="E1891" s="3">
        <v>0.55</v>
      </c>
      <c r="F1891" s="3">
        <v>30.33</v>
      </c>
      <c r="G1891" s="3">
        <v>55.23</v>
      </c>
      <c r="H1891" s="3">
        <v>0.0</v>
      </c>
      <c r="I1891" s="3">
        <v>2.13</v>
      </c>
      <c r="J1891" s="3">
        <v>0.0</v>
      </c>
      <c r="K1891" s="4">
        <f t="shared" si="1"/>
        <v>3970.2618</v>
      </c>
      <c r="L1891" s="4">
        <f t="shared" si="2"/>
        <v>3.998728749</v>
      </c>
    </row>
    <row r="1892">
      <c r="A1892" s="3" t="s">
        <v>131</v>
      </c>
      <c r="B1892" s="3">
        <v>64.5</v>
      </c>
      <c r="C1892" s="3">
        <v>21.3</v>
      </c>
      <c r="D1892" s="3">
        <v>128.0</v>
      </c>
      <c r="E1892" s="3">
        <v>0.63</v>
      </c>
      <c r="F1892" s="3">
        <v>35.52</v>
      </c>
      <c r="G1892" s="3">
        <v>52.6</v>
      </c>
      <c r="H1892" s="3">
        <v>0.0</v>
      </c>
      <c r="I1892" s="3">
        <v>1.35</v>
      </c>
      <c r="J1892" s="3">
        <v>0.0</v>
      </c>
      <c r="K1892" s="4">
        <f t="shared" si="1"/>
        <v>4028.4304</v>
      </c>
      <c r="L1892" s="4">
        <f t="shared" si="2"/>
        <v>4.067092732</v>
      </c>
    </row>
    <row r="1893">
      <c r="A1893" s="3" t="s">
        <v>131</v>
      </c>
      <c r="B1893" s="3">
        <v>64.5</v>
      </c>
      <c r="C1893" s="3">
        <v>23.79</v>
      </c>
      <c r="D1893" s="3">
        <v>129.0</v>
      </c>
      <c r="E1893" s="3">
        <v>0.61</v>
      </c>
      <c r="F1893" s="3">
        <v>39.51</v>
      </c>
      <c r="G1893" s="3">
        <v>50.52</v>
      </c>
      <c r="H1893" s="3">
        <v>0.0</v>
      </c>
      <c r="I1893" s="3">
        <v>0.8</v>
      </c>
      <c r="J1893" s="3">
        <v>0.0</v>
      </c>
      <c r="K1893" s="4">
        <f t="shared" si="1"/>
        <v>4113.3105</v>
      </c>
      <c r="L1893" s="4">
        <f t="shared" si="2"/>
        <v>4.045646445</v>
      </c>
    </row>
    <row r="1894">
      <c r="A1894" s="3" t="s">
        <v>131</v>
      </c>
      <c r="B1894" s="3">
        <v>64.5</v>
      </c>
      <c r="C1894" s="3">
        <v>26.28</v>
      </c>
      <c r="D1894" s="3">
        <v>129.0</v>
      </c>
      <c r="E1894" s="3">
        <v>0.65</v>
      </c>
      <c r="F1894" s="3">
        <v>42.0</v>
      </c>
      <c r="G1894" s="3">
        <v>47.75</v>
      </c>
      <c r="H1894" s="3">
        <v>0.0</v>
      </c>
      <c r="I1894" s="3">
        <v>0.59</v>
      </c>
      <c r="J1894" s="3">
        <v>0.0</v>
      </c>
      <c r="K1894" s="4">
        <f t="shared" si="1"/>
        <v>4044.0625</v>
      </c>
      <c r="L1894" s="4">
        <f t="shared" si="2"/>
        <v>4.114921567</v>
      </c>
    </row>
    <row r="1895">
      <c r="A1895" s="3" t="s">
        <v>131</v>
      </c>
      <c r="B1895" s="3">
        <v>64.5</v>
      </c>
      <c r="C1895" s="3">
        <v>28.77</v>
      </c>
      <c r="D1895" s="3">
        <v>131.0</v>
      </c>
      <c r="E1895" s="3">
        <v>0.73</v>
      </c>
      <c r="F1895" s="3">
        <v>44.9</v>
      </c>
      <c r="G1895" s="3">
        <v>45.88</v>
      </c>
      <c r="H1895" s="3">
        <v>0.0</v>
      </c>
      <c r="I1895" s="3">
        <v>0.38</v>
      </c>
      <c r="J1895" s="3">
        <v>0.0</v>
      </c>
      <c r="K1895" s="4">
        <f t="shared" si="1"/>
        <v>4120.9844</v>
      </c>
      <c r="L1895" s="4">
        <f t="shared" si="2"/>
        <v>4.164296278</v>
      </c>
    </row>
    <row r="1896">
      <c r="A1896" s="3" t="s">
        <v>131</v>
      </c>
      <c r="B1896" s="3">
        <v>64.5</v>
      </c>
      <c r="C1896" s="3">
        <v>31.25</v>
      </c>
      <c r="D1896" s="3">
        <v>131.0</v>
      </c>
      <c r="E1896" s="3">
        <v>0.83</v>
      </c>
      <c r="F1896" s="3">
        <v>45.1</v>
      </c>
      <c r="G1896" s="3">
        <v>43.92</v>
      </c>
      <c r="H1896" s="3">
        <v>0.0</v>
      </c>
      <c r="I1896" s="3">
        <v>0.25</v>
      </c>
      <c r="J1896" s="3">
        <v>0.0</v>
      </c>
      <c r="K1896" s="4">
        <f t="shared" si="1"/>
        <v>3962.9764</v>
      </c>
      <c r="L1896" s="4">
        <f t="shared" si="2"/>
        <v>4.330331112</v>
      </c>
    </row>
    <row r="1897">
      <c r="A1897" s="3" t="s">
        <v>131</v>
      </c>
      <c r="B1897" s="3">
        <v>64.5</v>
      </c>
      <c r="C1897" s="3">
        <v>33.74</v>
      </c>
      <c r="D1897" s="3">
        <v>131.0</v>
      </c>
      <c r="E1897" s="3">
        <v>0.75</v>
      </c>
      <c r="F1897" s="3">
        <v>43.0</v>
      </c>
      <c r="G1897" s="3">
        <v>42.1</v>
      </c>
      <c r="H1897" s="3">
        <v>0.0</v>
      </c>
      <c r="I1897" s="3">
        <v>0.17</v>
      </c>
      <c r="J1897" s="3">
        <v>0.0</v>
      </c>
      <c r="K1897" s="4">
        <f t="shared" si="1"/>
        <v>3621.41</v>
      </c>
      <c r="L1897" s="4">
        <f t="shared" si="2"/>
        <v>4.738761974</v>
      </c>
    </row>
    <row r="1898">
      <c r="A1898" s="3" t="s">
        <v>131</v>
      </c>
      <c r="B1898" s="3">
        <v>64.5</v>
      </c>
      <c r="C1898" s="3">
        <v>36.23</v>
      </c>
      <c r="D1898" s="3">
        <v>127.0</v>
      </c>
      <c r="E1898" s="3">
        <v>1.24</v>
      </c>
      <c r="F1898" s="3">
        <v>42.3</v>
      </c>
      <c r="G1898" s="3">
        <v>40.43</v>
      </c>
      <c r="H1898" s="3">
        <v>0.0</v>
      </c>
      <c r="I1898" s="3">
        <v>0.11</v>
      </c>
      <c r="J1898" s="3">
        <v>0.0</v>
      </c>
      <c r="K1898" s="4">
        <f t="shared" si="1"/>
        <v>3423.8749</v>
      </c>
      <c r="L1898" s="4">
        <f t="shared" si="2"/>
        <v>4.710744543</v>
      </c>
    </row>
    <row r="1899">
      <c r="A1899" s="3" t="s">
        <v>131</v>
      </c>
      <c r="B1899" s="3">
        <v>64.5</v>
      </c>
      <c r="C1899" s="3">
        <v>38.82</v>
      </c>
      <c r="D1899" s="3">
        <v>126.0</v>
      </c>
      <c r="E1899" s="3">
        <v>1.4</v>
      </c>
      <c r="F1899" s="3">
        <v>42.4</v>
      </c>
      <c r="G1899" s="3">
        <v>38.83</v>
      </c>
      <c r="H1899" s="3">
        <v>0.0</v>
      </c>
      <c r="I1899" s="3">
        <v>0.07</v>
      </c>
      <c r="J1899" s="3">
        <v>0.0</v>
      </c>
      <c r="K1899" s="4">
        <f t="shared" si="1"/>
        <v>3305.5289</v>
      </c>
      <c r="L1899" s="4">
        <f t="shared" si="2"/>
        <v>4.802862259</v>
      </c>
    </row>
    <row r="1900">
      <c r="A1900" s="3" t="s">
        <v>131</v>
      </c>
      <c r="B1900" s="3">
        <v>64.5</v>
      </c>
      <c r="C1900" s="3">
        <v>41.31</v>
      </c>
      <c r="D1900" s="3">
        <v>130.0</v>
      </c>
      <c r="E1900" s="3">
        <v>1.62</v>
      </c>
      <c r="F1900" s="3">
        <v>41.7</v>
      </c>
      <c r="G1900" s="3">
        <v>37.43</v>
      </c>
      <c r="H1900" s="3">
        <v>0.0</v>
      </c>
      <c r="I1900" s="3">
        <v>0.05</v>
      </c>
      <c r="J1900" s="3">
        <v>0.0</v>
      </c>
      <c r="K1900" s="4">
        <f t="shared" si="1"/>
        <v>3139.8949</v>
      </c>
      <c r="L1900" s="4">
        <f t="shared" si="2"/>
        <v>5.382345759</v>
      </c>
    </row>
    <row r="1901">
      <c r="A1901" s="3" t="s">
        <v>131</v>
      </c>
      <c r="B1901" s="3">
        <v>64.5</v>
      </c>
      <c r="C1901" s="3">
        <v>43.8</v>
      </c>
      <c r="D1901" s="3">
        <v>132.0</v>
      </c>
      <c r="E1901" s="3">
        <v>2.01</v>
      </c>
      <c r="F1901" s="3">
        <v>40.21</v>
      </c>
      <c r="G1901" s="3">
        <v>36.18</v>
      </c>
      <c r="H1901" s="3">
        <v>0.0</v>
      </c>
      <c r="I1901" s="3">
        <v>0.03</v>
      </c>
      <c r="J1901" s="3">
        <v>0.0</v>
      </c>
      <c r="K1901" s="4">
        <f t="shared" si="1"/>
        <v>2925.8365</v>
      </c>
      <c r="L1901" s="4">
        <f t="shared" si="2"/>
        <v>5.955219986</v>
      </c>
    </row>
    <row r="1902">
      <c r="A1902" s="3" t="s">
        <v>131</v>
      </c>
      <c r="B1902" s="3">
        <v>64.5</v>
      </c>
      <c r="C1902" s="3">
        <v>46.28</v>
      </c>
      <c r="D1902" s="3">
        <v>134.0</v>
      </c>
      <c r="E1902" s="3">
        <v>2.1</v>
      </c>
      <c r="F1902" s="3">
        <v>38.81</v>
      </c>
      <c r="G1902" s="3">
        <v>35.02</v>
      </c>
      <c r="H1902" s="3">
        <v>0.0</v>
      </c>
      <c r="I1902" s="3">
        <v>0.02</v>
      </c>
      <c r="J1902" s="3">
        <v>0.0</v>
      </c>
      <c r="K1902" s="4">
        <f t="shared" si="1"/>
        <v>2732.6165</v>
      </c>
      <c r="L1902" s="4">
        <f t="shared" si="2"/>
        <v>6.570991575</v>
      </c>
    </row>
    <row r="1903">
      <c r="A1903" s="3" t="s">
        <v>131</v>
      </c>
      <c r="B1903" s="3">
        <v>64.5</v>
      </c>
      <c r="C1903" s="3">
        <v>48.77</v>
      </c>
      <c r="D1903" s="3">
        <v>129.0</v>
      </c>
      <c r="E1903" s="3">
        <v>2.66</v>
      </c>
      <c r="F1903" s="3">
        <v>37.11</v>
      </c>
      <c r="G1903" s="3">
        <v>33.97</v>
      </c>
      <c r="H1903" s="3">
        <v>0.0</v>
      </c>
      <c r="I1903" s="3">
        <v>0.01</v>
      </c>
      <c r="J1903" s="3">
        <v>0.0</v>
      </c>
      <c r="K1903" s="4">
        <f t="shared" si="1"/>
        <v>2531.113</v>
      </c>
      <c r="L1903" s="4">
        <f t="shared" si="2"/>
        <v>6.574578061</v>
      </c>
    </row>
    <row r="1904">
      <c r="A1904" s="3" t="s">
        <v>131</v>
      </c>
      <c r="B1904" s="3">
        <v>64.5</v>
      </c>
      <c r="C1904" s="3">
        <v>51.26</v>
      </c>
      <c r="D1904" s="3">
        <v>132.0</v>
      </c>
      <c r="E1904" s="3">
        <v>4.67</v>
      </c>
      <c r="F1904" s="3">
        <v>35.72</v>
      </c>
      <c r="G1904" s="3">
        <v>33.04</v>
      </c>
      <c r="H1904" s="3">
        <v>0.0</v>
      </c>
      <c r="I1904" s="3">
        <v>0.01</v>
      </c>
      <c r="J1904" s="3">
        <v>0.0</v>
      </c>
      <c r="K1904" s="4">
        <f t="shared" si="1"/>
        <v>2367.56</v>
      </c>
      <c r="L1904" s="4">
        <f t="shared" si="2"/>
        <v>7.359475578</v>
      </c>
    </row>
    <row r="1905">
      <c r="A1905" s="3" t="s">
        <v>131</v>
      </c>
      <c r="B1905" s="3">
        <v>64.5</v>
      </c>
      <c r="C1905" s="3">
        <v>53.75</v>
      </c>
      <c r="D1905" s="3">
        <v>125.0</v>
      </c>
      <c r="E1905" s="3">
        <v>5.95</v>
      </c>
      <c r="F1905" s="3">
        <v>34.72</v>
      </c>
      <c r="G1905" s="3">
        <v>32.1</v>
      </c>
      <c r="H1905" s="3">
        <v>0.0</v>
      </c>
      <c r="I1905" s="3">
        <v>0.0</v>
      </c>
      <c r="J1905" s="3">
        <v>0.0</v>
      </c>
      <c r="K1905" s="4">
        <f t="shared" si="1"/>
        <v>2235.8884</v>
      </c>
      <c r="L1905" s="4">
        <f t="shared" si="2"/>
        <v>6.988273654</v>
      </c>
    </row>
    <row r="1906">
      <c r="A1906" s="3" t="s">
        <v>132</v>
      </c>
      <c r="B1906" s="3">
        <v>17.1</v>
      </c>
      <c r="C1906" s="3">
        <v>0.62</v>
      </c>
      <c r="D1906" s="3">
        <v>29.9</v>
      </c>
      <c r="E1906" s="3">
        <v>1.42</v>
      </c>
      <c r="F1906" s="3">
        <v>1.81</v>
      </c>
      <c r="G1906" s="3">
        <v>21.8</v>
      </c>
      <c r="H1906" s="3">
        <v>0.0</v>
      </c>
      <c r="I1906" s="3">
        <v>93.29</v>
      </c>
      <c r="J1906" s="3">
        <v>0.0</v>
      </c>
      <c r="K1906" s="4">
        <f t="shared" si="1"/>
        <v>478.5161</v>
      </c>
      <c r="L1906" s="4">
        <f t="shared" si="2"/>
        <v>1.868296594</v>
      </c>
    </row>
    <row r="1907">
      <c r="A1907" s="3" t="s">
        <v>132</v>
      </c>
      <c r="B1907" s="3">
        <v>17.1</v>
      </c>
      <c r="C1907" s="3">
        <v>0.87</v>
      </c>
      <c r="D1907" s="3">
        <v>34.4</v>
      </c>
      <c r="E1907" s="3">
        <v>2.31</v>
      </c>
      <c r="F1907" s="3">
        <v>2.95</v>
      </c>
      <c r="G1907" s="3">
        <v>28.35</v>
      </c>
      <c r="H1907" s="3">
        <v>0.0</v>
      </c>
      <c r="I1907" s="3">
        <v>79.29</v>
      </c>
      <c r="J1907" s="3">
        <v>0.0</v>
      </c>
      <c r="K1907" s="4">
        <f t="shared" si="1"/>
        <v>812.425</v>
      </c>
      <c r="L1907" s="4">
        <f t="shared" si="2"/>
        <v>1.45657753</v>
      </c>
    </row>
    <row r="1908">
      <c r="A1908" s="3" t="s">
        <v>132</v>
      </c>
      <c r="B1908" s="3">
        <v>17.1</v>
      </c>
      <c r="C1908" s="3">
        <v>1.12</v>
      </c>
      <c r="D1908" s="3">
        <v>46.3</v>
      </c>
      <c r="E1908" s="3">
        <v>2.05</v>
      </c>
      <c r="F1908" s="3">
        <v>4.13</v>
      </c>
      <c r="G1908" s="3">
        <v>31.91</v>
      </c>
      <c r="H1908" s="3">
        <v>0.0</v>
      </c>
      <c r="I1908" s="3">
        <v>60.27</v>
      </c>
      <c r="J1908" s="3">
        <v>0.0</v>
      </c>
      <c r="K1908" s="4">
        <f t="shared" si="1"/>
        <v>1035.305</v>
      </c>
      <c r="L1908" s="4">
        <f t="shared" si="2"/>
        <v>2.070587894</v>
      </c>
    </row>
    <row r="1909">
      <c r="A1909" s="3" t="s">
        <v>132</v>
      </c>
      <c r="B1909" s="3">
        <v>17.1</v>
      </c>
      <c r="C1909" s="3">
        <v>1.37</v>
      </c>
      <c r="D1909" s="3">
        <v>49.8</v>
      </c>
      <c r="E1909" s="3">
        <v>1.87</v>
      </c>
      <c r="F1909" s="3">
        <v>5.34</v>
      </c>
      <c r="G1909" s="3">
        <v>34.28</v>
      </c>
      <c r="H1909" s="3">
        <v>0.0</v>
      </c>
      <c r="I1909" s="3">
        <v>48.3</v>
      </c>
      <c r="J1909" s="3">
        <v>0.0</v>
      </c>
      <c r="K1909" s="4">
        <f t="shared" si="1"/>
        <v>1203.634</v>
      </c>
      <c r="L1909" s="4">
        <f t="shared" si="2"/>
        <v>2.06046024</v>
      </c>
    </row>
    <row r="1910">
      <c r="A1910" s="3" t="s">
        <v>132</v>
      </c>
      <c r="B1910" s="3">
        <v>17.1</v>
      </c>
      <c r="C1910" s="3">
        <v>1.62</v>
      </c>
      <c r="D1910" s="3">
        <v>57.6</v>
      </c>
      <c r="E1910" s="3">
        <v>2.76</v>
      </c>
      <c r="F1910" s="3">
        <v>6.6</v>
      </c>
      <c r="G1910" s="3">
        <v>35.59</v>
      </c>
      <c r="H1910" s="3">
        <v>0.0</v>
      </c>
      <c r="I1910" s="3">
        <v>40.48</v>
      </c>
      <c r="J1910" s="3">
        <v>0.0</v>
      </c>
      <c r="K1910" s="4">
        <f t="shared" si="1"/>
        <v>1310.2081</v>
      </c>
      <c r="L1910" s="4">
        <f t="shared" si="2"/>
        <v>2.532238963</v>
      </c>
    </row>
    <row r="1911">
      <c r="A1911" s="3" t="s">
        <v>132</v>
      </c>
      <c r="B1911" s="3">
        <v>17.1</v>
      </c>
      <c r="C1911" s="3">
        <v>2.3</v>
      </c>
      <c r="D1911" s="3">
        <v>71.3</v>
      </c>
      <c r="E1911" s="3">
        <v>7.5</v>
      </c>
      <c r="F1911" s="3">
        <v>10.14</v>
      </c>
      <c r="G1911" s="3">
        <v>39.66</v>
      </c>
      <c r="H1911" s="3">
        <v>0.0</v>
      </c>
      <c r="I1911" s="3">
        <v>30.93</v>
      </c>
      <c r="J1911" s="3">
        <v>0.0</v>
      </c>
      <c r="K1911" s="4">
        <f t="shared" si="1"/>
        <v>1675.7352</v>
      </c>
      <c r="L1911" s="4">
        <f t="shared" si="2"/>
        <v>3.033707235</v>
      </c>
    </row>
    <row r="1912">
      <c r="A1912" s="3" t="s">
        <v>132</v>
      </c>
      <c r="B1912" s="3">
        <v>17.1</v>
      </c>
      <c r="C1912" s="3">
        <v>4.97</v>
      </c>
      <c r="D1912" s="3">
        <v>76.65</v>
      </c>
      <c r="E1912" s="3">
        <v>1.09</v>
      </c>
      <c r="F1912" s="3">
        <v>23.98</v>
      </c>
      <c r="G1912" s="3">
        <v>41.54</v>
      </c>
      <c r="H1912" s="3">
        <v>0.0</v>
      </c>
      <c r="I1912" s="3">
        <v>5.25</v>
      </c>
      <c r="J1912" s="3">
        <v>0.0</v>
      </c>
      <c r="K1912" s="4">
        <f t="shared" si="1"/>
        <v>2300.612</v>
      </c>
      <c r="L1912" s="4">
        <f t="shared" si="2"/>
        <v>2.553765042</v>
      </c>
    </row>
    <row r="1913">
      <c r="A1913" s="3" t="s">
        <v>132</v>
      </c>
      <c r="B1913" s="3">
        <v>17.1</v>
      </c>
      <c r="C1913" s="3">
        <v>7.45</v>
      </c>
      <c r="D1913" s="3">
        <v>81.0</v>
      </c>
      <c r="E1913" s="3">
        <v>0.63</v>
      </c>
      <c r="F1913" s="3">
        <v>33.08</v>
      </c>
      <c r="G1913" s="3">
        <v>37.03</v>
      </c>
      <c r="H1913" s="3">
        <v>0.0</v>
      </c>
      <c r="I1913" s="3">
        <v>1.18</v>
      </c>
      <c r="J1913" s="3">
        <v>0.0</v>
      </c>
      <c r="K1913" s="4">
        <f t="shared" si="1"/>
        <v>2465.5073</v>
      </c>
      <c r="L1913" s="4">
        <f t="shared" si="2"/>
        <v>2.661115625</v>
      </c>
    </row>
    <row r="1914">
      <c r="A1914" s="3" t="s">
        <v>132</v>
      </c>
      <c r="B1914" s="3">
        <v>17.1</v>
      </c>
      <c r="C1914" s="3">
        <v>9.98</v>
      </c>
      <c r="D1914" s="3">
        <v>83.85</v>
      </c>
      <c r="E1914" s="3">
        <v>1.04</v>
      </c>
      <c r="F1914" s="3">
        <v>33.72</v>
      </c>
      <c r="G1914" s="3">
        <v>31.94</v>
      </c>
      <c r="H1914" s="3">
        <v>0.0</v>
      </c>
      <c r="I1914" s="3">
        <v>0.0</v>
      </c>
      <c r="J1914" s="3">
        <v>0.0</v>
      </c>
      <c r="K1914" s="4">
        <f t="shared" si="1"/>
        <v>2157.202</v>
      </c>
      <c r="L1914" s="4">
        <f t="shared" si="2"/>
        <v>3.25923233</v>
      </c>
    </row>
    <row r="1915">
      <c r="A1915" s="3" t="s">
        <v>133</v>
      </c>
      <c r="B1915" s="3">
        <v>30.9</v>
      </c>
      <c r="C1915" s="3">
        <v>4.51</v>
      </c>
      <c r="D1915" s="3">
        <v>69.75</v>
      </c>
      <c r="E1915" s="3">
        <v>4.15</v>
      </c>
      <c r="F1915" s="3">
        <v>19.36</v>
      </c>
      <c r="G1915" s="3">
        <v>43.61</v>
      </c>
      <c r="H1915" s="3">
        <v>0.0</v>
      </c>
      <c r="I1915" s="3">
        <v>10.41</v>
      </c>
      <c r="J1915" s="3">
        <v>0.0</v>
      </c>
      <c r="K1915" s="4">
        <f t="shared" si="1"/>
        <v>2276.6417</v>
      </c>
      <c r="L1915" s="4">
        <f t="shared" si="2"/>
        <v>2.136946934</v>
      </c>
    </row>
    <row r="1916">
      <c r="A1916" s="3" t="s">
        <v>133</v>
      </c>
      <c r="B1916" s="3">
        <v>30.9</v>
      </c>
      <c r="C1916" s="3">
        <v>9.01</v>
      </c>
      <c r="D1916" s="3">
        <v>97.7</v>
      </c>
      <c r="E1916" s="3">
        <v>1.63</v>
      </c>
      <c r="F1916" s="3">
        <v>33.73</v>
      </c>
      <c r="G1916" s="3">
        <v>40.02</v>
      </c>
      <c r="H1916" s="3">
        <v>0.0</v>
      </c>
      <c r="I1916" s="3">
        <v>2.01</v>
      </c>
      <c r="J1916" s="3">
        <v>0.0</v>
      </c>
      <c r="K1916" s="4">
        <f t="shared" si="1"/>
        <v>2739.3133</v>
      </c>
      <c r="L1916" s="4">
        <f t="shared" si="2"/>
        <v>3.484555783</v>
      </c>
    </row>
    <row r="1917">
      <c r="A1917" s="3" t="s">
        <v>133</v>
      </c>
      <c r="B1917" s="3">
        <v>30.9</v>
      </c>
      <c r="C1917" s="3">
        <v>13.51</v>
      </c>
      <c r="D1917" s="3">
        <v>108.0</v>
      </c>
      <c r="E1917" s="3">
        <v>0.99</v>
      </c>
      <c r="F1917" s="3">
        <v>39.28</v>
      </c>
      <c r="G1917" s="3">
        <v>33.41</v>
      </c>
      <c r="H1917" s="3">
        <v>0.0</v>
      </c>
      <c r="I1917" s="3">
        <v>0.32</v>
      </c>
      <c r="J1917" s="3">
        <v>0.0</v>
      </c>
      <c r="K1917" s="4">
        <f t="shared" si="1"/>
        <v>2659.1465</v>
      </c>
      <c r="L1917" s="4">
        <f t="shared" si="2"/>
        <v>4.386369837</v>
      </c>
    </row>
    <row r="1918">
      <c r="A1918" s="3" t="s">
        <v>133</v>
      </c>
      <c r="B1918" s="3">
        <v>30.9</v>
      </c>
      <c r="C1918" s="3">
        <v>18.01</v>
      </c>
      <c r="D1918" s="3">
        <v>107.5</v>
      </c>
      <c r="E1918" s="3">
        <v>2.32</v>
      </c>
      <c r="F1918" s="3">
        <v>36.27</v>
      </c>
      <c r="G1918" s="3">
        <v>28.28</v>
      </c>
      <c r="H1918" s="3">
        <v>0.0</v>
      </c>
      <c r="I1918" s="3">
        <v>0.0</v>
      </c>
      <c r="J1918" s="3">
        <v>0.0</v>
      </c>
      <c r="K1918" s="4">
        <f t="shared" si="1"/>
        <v>2115.2713</v>
      </c>
      <c r="L1918" s="4">
        <f t="shared" si="2"/>
        <v>5.463247197</v>
      </c>
    </row>
    <row r="1919">
      <c r="A1919" s="3" t="s">
        <v>22</v>
      </c>
      <c r="B1919" s="3">
        <v>12.5</v>
      </c>
      <c r="C1919" s="3">
        <v>0.91</v>
      </c>
      <c r="D1919" s="3">
        <v>29.6</v>
      </c>
      <c r="E1919" s="3">
        <v>2.38</v>
      </c>
      <c r="F1919" s="3">
        <v>0.8</v>
      </c>
      <c r="G1919" s="3">
        <v>7.82</v>
      </c>
      <c r="H1919" s="3">
        <v>0.0</v>
      </c>
      <c r="I1919" s="3">
        <v>8.65</v>
      </c>
      <c r="J1919" s="3">
        <v>0.0</v>
      </c>
      <c r="K1919" s="4">
        <f t="shared" si="1"/>
        <v>61.7924</v>
      </c>
      <c r="L1919" s="4">
        <f t="shared" si="2"/>
        <v>14.17908999</v>
      </c>
    </row>
    <row r="1920">
      <c r="A1920" s="3" t="s">
        <v>22</v>
      </c>
      <c r="B1920" s="3">
        <v>12.5</v>
      </c>
      <c r="C1920" s="3">
        <v>1.81</v>
      </c>
      <c r="D1920" s="3">
        <v>44.6</v>
      </c>
      <c r="E1920" s="3">
        <v>2.4</v>
      </c>
      <c r="F1920" s="3">
        <v>5.58</v>
      </c>
      <c r="G1920" s="3">
        <v>11.42</v>
      </c>
      <c r="H1920" s="3">
        <v>0.0</v>
      </c>
      <c r="I1920" s="3">
        <v>3.94</v>
      </c>
      <c r="J1920" s="3">
        <v>0.0</v>
      </c>
      <c r="K1920" s="4">
        <f t="shared" si="1"/>
        <v>161.5528</v>
      </c>
      <c r="L1920" s="4">
        <f t="shared" si="2"/>
        <v>12.31275472</v>
      </c>
    </row>
    <row r="1921">
      <c r="A1921" s="3" t="s">
        <v>22</v>
      </c>
      <c r="B1921" s="3">
        <v>12.5</v>
      </c>
      <c r="C1921" s="3">
        <v>2.73</v>
      </c>
      <c r="D1921" s="3">
        <v>50.4</v>
      </c>
      <c r="E1921" s="3">
        <v>2.86</v>
      </c>
      <c r="F1921" s="3">
        <v>7.79</v>
      </c>
      <c r="G1921" s="3">
        <v>12.3</v>
      </c>
      <c r="H1921" s="3">
        <v>0.0</v>
      </c>
      <c r="I1921" s="3">
        <v>2.74</v>
      </c>
      <c r="J1921" s="3">
        <v>0.0</v>
      </c>
      <c r="K1921" s="4">
        <f t="shared" si="1"/>
        <v>211.9741</v>
      </c>
      <c r="L1921" s="4">
        <f t="shared" si="2"/>
        <v>11.9833508</v>
      </c>
    </row>
    <row r="1922">
      <c r="A1922" s="3" t="s">
        <v>22</v>
      </c>
      <c r="B1922" s="3">
        <v>12.5</v>
      </c>
      <c r="C1922" s="3">
        <v>3.64</v>
      </c>
      <c r="D1922" s="3">
        <v>56.8</v>
      </c>
      <c r="E1922" s="3">
        <v>3.43</v>
      </c>
      <c r="F1922" s="3">
        <v>14.0</v>
      </c>
      <c r="G1922" s="3">
        <v>13.66</v>
      </c>
      <c r="H1922" s="3">
        <v>0.0</v>
      </c>
      <c r="I1922" s="3">
        <v>2.16</v>
      </c>
      <c r="J1922" s="3">
        <v>0.0</v>
      </c>
      <c r="K1922" s="4">
        <f t="shared" si="1"/>
        <v>382.5956</v>
      </c>
      <c r="L1922" s="4">
        <f t="shared" si="2"/>
        <v>8.432506804</v>
      </c>
    </row>
    <row r="1923">
      <c r="A1923" s="3" t="s">
        <v>22</v>
      </c>
      <c r="B1923" s="3">
        <v>12.5</v>
      </c>
      <c r="C1923" s="3">
        <v>4.55</v>
      </c>
      <c r="D1923" s="3">
        <v>60.7</v>
      </c>
      <c r="E1923" s="3">
        <v>2.98</v>
      </c>
      <c r="F1923" s="3">
        <v>16.12</v>
      </c>
      <c r="G1923" s="3">
        <v>14.46</v>
      </c>
      <c r="H1923" s="3">
        <v>0.0</v>
      </c>
      <c r="I1923" s="3">
        <v>1.44</v>
      </c>
      <c r="J1923" s="3">
        <v>0.0</v>
      </c>
      <c r="K1923" s="4">
        <f t="shared" si="1"/>
        <v>468.946</v>
      </c>
      <c r="L1923" s="4">
        <f t="shared" si="2"/>
        <v>7.856960076</v>
      </c>
    </row>
    <row r="1924">
      <c r="A1924" s="3" t="s">
        <v>22</v>
      </c>
      <c r="B1924" s="3">
        <v>12.5</v>
      </c>
      <c r="C1924" s="3">
        <v>5.45</v>
      </c>
      <c r="D1924" s="3">
        <v>64.7</v>
      </c>
      <c r="E1924" s="3">
        <v>2.46</v>
      </c>
      <c r="F1924" s="3">
        <v>18.25</v>
      </c>
      <c r="G1924" s="3">
        <v>14.91</v>
      </c>
      <c r="H1924" s="3">
        <v>0.0</v>
      </c>
      <c r="I1924" s="3">
        <v>0.97</v>
      </c>
      <c r="J1924" s="3">
        <v>0.0</v>
      </c>
      <c r="K1924" s="4">
        <f t="shared" si="1"/>
        <v>555.3706</v>
      </c>
      <c r="L1924" s="4">
        <f t="shared" si="2"/>
        <v>7.537471375</v>
      </c>
    </row>
    <row r="1925">
      <c r="A1925" s="3" t="s">
        <v>22</v>
      </c>
      <c r="B1925" s="3">
        <v>12.5</v>
      </c>
      <c r="C1925" s="3">
        <v>6.36</v>
      </c>
      <c r="D1925" s="3">
        <v>68.0</v>
      </c>
      <c r="E1925" s="3">
        <v>2.38</v>
      </c>
      <c r="F1925" s="3">
        <v>23.38</v>
      </c>
      <c r="G1925" s="3">
        <v>14.47</v>
      </c>
      <c r="H1925" s="3">
        <v>0.0</v>
      </c>
      <c r="I1925" s="3">
        <v>0.68</v>
      </c>
      <c r="J1925" s="3">
        <v>0.0</v>
      </c>
      <c r="K1925" s="4">
        <f t="shared" si="1"/>
        <v>756.0053</v>
      </c>
      <c r="L1925" s="4">
        <f t="shared" si="2"/>
        <v>6.116359237</v>
      </c>
    </row>
    <row r="1926">
      <c r="A1926" s="3" t="s">
        <v>22</v>
      </c>
      <c r="B1926" s="3">
        <v>12.5</v>
      </c>
      <c r="C1926" s="3">
        <v>7.28</v>
      </c>
      <c r="D1926" s="3">
        <v>71.5</v>
      </c>
      <c r="E1926" s="3">
        <v>2.52</v>
      </c>
      <c r="F1926" s="3">
        <v>30.0</v>
      </c>
      <c r="G1926" s="3">
        <v>14.77</v>
      </c>
      <c r="H1926" s="3">
        <v>0.0</v>
      </c>
      <c r="I1926" s="3">
        <v>0.58</v>
      </c>
      <c r="J1926" s="3">
        <v>0.0</v>
      </c>
      <c r="K1926" s="4">
        <f t="shared" si="1"/>
        <v>1118.1529</v>
      </c>
      <c r="L1926" s="4">
        <f t="shared" si="2"/>
        <v>4.572049136</v>
      </c>
    </row>
    <row r="1927">
      <c r="A1927" s="3" t="s">
        <v>22</v>
      </c>
      <c r="B1927" s="3">
        <v>12.5</v>
      </c>
      <c r="C1927" s="3">
        <v>8.19</v>
      </c>
      <c r="D1927" s="3">
        <v>73.4</v>
      </c>
      <c r="E1927" s="3">
        <v>2.68</v>
      </c>
      <c r="F1927" s="3">
        <v>33.62</v>
      </c>
      <c r="G1927" s="3">
        <v>14.75</v>
      </c>
      <c r="H1927" s="3">
        <v>0.0</v>
      </c>
      <c r="I1927" s="3">
        <v>0.24</v>
      </c>
      <c r="J1927" s="3">
        <v>0.0</v>
      </c>
      <c r="K1927" s="4">
        <f t="shared" si="1"/>
        <v>1347.8669</v>
      </c>
      <c r="L1927" s="4">
        <f t="shared" si="2"/>
        <v>3.997100901</v>
      </c>
    </row>
    <row r="1928">
      <c r="A1928" s="3" t="s">
        <v>22</v>
      </c>
      <c r="B1928" s="3">
        <v>12.5</v>
      </c>
      <c r="C1928" s="3">
        <v>9.09</v>
      </c>
      <c r="D1928" s="3">
        <v>74.0</v>
      </c>
      <c r="E1928" s="3">
        <v>2.83</v>
      </c>
      <c r="F1928" s="3">
        <v>34.88</v>
      </c>
      <c r="G1928" s="3">
        <v>13.66</v>
      </c>
      <c r="H1928" s="3">
        <v>0.0</v>
      </c>
      <c r="I1928" s="3">
        <v>0.15</v>
      </c>
      <c r="J1928" s="3">
        <v>0.0</v>
      </c>
      <c r="K1928" s="4">
        <f t="shared" si="1"/>
        <v>1403.21</v>
      </c>
      <c r="L1928" s="4">
        <f t="shared" si="2"/>
        <v>3.902480741</v>
      </c>
    </row>
    <row r="1929">
      <c r="A1929" s="3" t="s">
        <v>22</v>
      </c>
      <c r="B1929" s="3">
        <v>12.5</v>
      </c>
      <c r="C1929" s="3">
        <v>10.0</v>
      </c>
      <c r="D1929" s="3">
        <v>73.8</v>
      </c>
      <c r="E1929" s="3">
        <v>3.22</v>
      </c>
      <c r="F1929" s="3">
        <v>36.0</v>
      </c>
      <c r="G1929" s="3">
        <v>13.17</v>
      </c>
      <c r="H1929" s="3">
        <v>0.0</v>
      </c>
      <c r="I1929" s="3">
        <v>0.13</v>
      </c>
      <c r="J1929" s="3">
        <v>0.0</v>
      </c>
      <c r="K1929" s="4">
        <f t="shared" si="1"/>
        <v>1469.4489</v>
      </c>
      <c r="L1929" s="4">
        <f t="shared" si="2"/>
        <v>3.706450765</v>
      </c>
    </row>
    <row r="1930">
      <c r="A1930" s="3" t="s">
        <v>22</v>
      </c>
      <c r="B1930" s="3">
        <v>12.5</v>
      </c>
      <c r="C1930" s="3">
        <v>10.91</v>
      </c>
      <c r="D1930" s="3">
        <v>73.9</v>
      </c>
      <c r="E1930" s="3">
        <v>3.42</v>
      </c>
      <c r="F1930" s="3">
        <v>35.75</v>
      </c>
      <c r="G1930" s="3">
        <v>12.83</v>
      </c>
      <c r="H1930" s="3">
        <v>0.0</v>
      </c>
      <c r="I1930" s="3">
        <v>0.0</v>
      </c>
      <c r="J1930" s="3">
        <v>0.0</v>
      </c>
      <c r="K1930" s="4">
        <f t="shared" si="1"/>
        <v>1442.6714</v>
      </c>
      <c r="L1930" s="4">
        <f t="shared" si="2"/>
        <v>3.785484345</v>
      </c>
    </row>
    <row r="1931">
      <c r="A1931" s="3" t="s">
        <v>23</v>
      </c>
      <c r="B1931" s="3">
        <v>10.2</v>
      </c>
      <c r="C1931" s="3">
        <v>1.48</v>
      </c>
      <c r="D1931" s="3">
        <v>24.35</v>
      </c>
      <c r="E1931" s="3">
        <v>2.92</v>
      </c>
      <c r="F1931" s="3">
        <v>9.7</v>
      </c>
      <c r="G1931" s="3">
        <v>18.56</v>
      </c>
      <c r="H1931" s="3">
        <v>0.0</v>
      </c>
      <c r="I1931" s="3">
        <v>11.7</v>
      </c>
      <c r="J1931" s="3">
        <v>0.0</v>
      </c>
      <c r="K1931" s="4">
        <f t="shared" si="1"/>
        <v>438.5636</v>
      </c>
      <c r="L1931" s="4">
        <f t="shared" si="2"/>
        <v>1.351964687</v>
      </c>
    </row>
    <row r="1932">
      <c r="A1932" s="3" t="s">
        <v>23</v>
      </c>
      <c r="B1932" s="3">
        <v>10.2</v>
      </c>
      <c r="C1932" s="3">
        <v>2.97</v>
      </c>
      <c r="D1932" s="3">
        <v>43.55</v>
      </c>
      <c r="E1932" s="3">
        <v>1.4</v>
      </c>
      <c r="F1932" s="3">
        <v>18.44</v>
      </c>
      <c r="G1932" s="3">
        <v>19.59</v>
      </c>
      <c r="H1932" s="3">
        <v>0.0</v>
      </c>
      <c r="I1932" s="3">
        <v>3.03</v>
      </c>
      <c r="J1932" s="3">
        <v>0.0</v>
      </c>
      <c r="K1932" s="4">
        <f t="shared" si="1"/>
        <v>723.8017</v>
      </c>
      <c r="L1932" s="4">
        <f t="shared" si="2"/>
        <v>2.620334409</v>
      </c>
    </row>
    <row r="1933">
      <c r="A1933" s="3" t="s">
        <v>23</v>
      </c>
      <c r="B1933" s="3">
        <v>10.2</v>
      </c>
      <c r="C1933" s="3">
        <v>4.45</v>
      </c>
      <c r="D1933" s="3">
        <v>54.15</v>
      </c>
      <c r="E1933" s="3">
        <v>0.67</v>
      </c>
      <c r="F1933" s="3">
        <v>22.96</v>
      </c>
      <c r="G1933" s="3">
        <v>18.92</v>
      </c>
      <c r="H1933" s="3">
        <v>0.0</v>
      </c>
      <c r="I1933" s="3">
        <v>1.26</v>
      </c>
      <c r="J1933" s="3">
        <v>0.0</v>
      </c>
      <c r="K1933" s="4">
        <f t="shared" si="1"/>
        <v>885.128</v>
      </c>
      <c r="L1933" s="4">
        <f t="shared" si="2"/>
        <v>3.312766628</v>
      </c>
    </row>
    <row r="1934">
      <c r="A1934" s="3" t="s">
        <v>23</v>
      </c>
      <c r="B1934" s="3">
        <v>10.2</v>
      </c>
      <c r="C1934" s="3">
        <v>5.94</v>
      </c>
      <c r="D1934" s="3">
        <v>60.15</v>
      </c>
      <c r="E1934" s="3">
        <v>0.48</v>
      </c>
      <c r="F1934" s="3">
        <v>21.83</v>
      </c>
      <c r="G1934" s="3">
        <v>18.18</v>
      </c>
      <c r="H1934" s="3">
        <v>0.0</v>
      </c>
      <c r="I1934" s="3">
        <v>0.53</v>
      </c>
      <c r="J1934" s="3">
        <v>0.0</v>
      </c>
      <c r="K1934" s="4">
        <f t="shared" si="1"/>
        <v>807.0613</v>
      </c>
      <c r="L1934" s="4">
        <f t="shared" si="2"/>
        <v>4.482958729</v>
      </c>
    </row>
    <row r="1935">
      <c r="A1935" s="3" t="s">
        <v>23</v>
      </c>
      <c r="B1935" s="3">
        <v>10.2</v>
      </c>
      <c r="C1935" s="3">
        <v>7.39</v>
      </c>
      <c r="D1935" s="3">
        <v>63.75</v>
      </c>
      <c r="E1935" s="3">
        <v>0.95</v>
      </c>
      <c r="F1935" s="3">
        <v>21.02</v>
      </c>
      <c r="G1935" s="3">
        <v>16.53</v>
      </c>
      <c r="H1935" s="3">
        <v>0.0</v>
      </c>
      <c r="I1935" s="3">
        <v>0.0</v>
      </c>
      <c r="J1935" s="3">
        <v>0.0</v>
      </c>
      <c r="K1935" s="4">
        <f t="shared" si="1"/>
        <v>715.0813</v>
      </c>
      <c r="L1935" s="4">
        <f t="shared" si="2"/>
        <v>5.683357263</v>
      </c>
    </row>
    <row r="1936">
      <c r="A1936" s="3" t="s">
        <v>134</v>
      </c>
      <c r="B1936" s="3">
        <v>53.7</v>
      </c>
      <c r="C1936" s="3">
        <v>0.78</v>
      </c>
      <c r="D1936" s="3">
        <v>19.8</v>
      </c>
      <c r="E1936" s="3">
        <v>10.7</v>
      </c>
      <c r="F1936" s="3">
        <v>2.9</v>
      </c>
      <c r="G1936" s="3">
        <v>21.08</v>
      </c>
      <c r="H1936" s="3">
        <v>0.0</v>
      </c>
      <c r="I1936" s="3">
        <v>94.32</v>
      </c>
      <c r="J1936" s="3">
        <v>0.0</v>
      </c>
      <c r="K1936" s="4">
        <f t="shared" si="1"/>
        <v>452.7764</v>
      </c>
      <c r="L1936" s="4">
        <f t="shared" si="2"/>
        <v>0.8658578495</v>
      </c>
    </row>
    <row r="1937">
      <c r="A1937" s="3" t="s">
        <v>134</v>
      </c>
      <c r="B1937" s="3">
        <v>53.7</v>
      </c>
      <c r="C1937" s="3">
        <v>2.35</v>
      </c>
      <c r="D1937" s="3">
        <v>55.4</v>
      </c>
      <c r="E1937" s="3">
        <v>10.7</v>
      </c>
      <c r="F1937" s="3">
        <v>8.06</v>
      </c>
      <c r="G1937" s="3">
        <v>40.8</v>
      </c>
      <c r="H1937" s="3">
        <v>0.0</v>
      </c>
      <c r="I1937" s="3">
        <v>43.18</v>
      </c>
      <c r="J1937" s="3">
        <v>0.0</v>
      </c>
      <c r="K1937" s="4">
        <f t="shared" si="1"/>
        <v>1729.6036</v>
      </c>
      <c r="L1937" s="4">
        <f t="shared" si="2"/>
        <v>1.774487518</v>
      </c>
    </row>
    <row r="1938">
      <c r="A1938" s="3" t="s">
        <v>134</v>
      </c>
      <c r="B1938" s="3">
        <v>53.7</v>
      </c>
      <c r="C1938" s="3">
        <v>3.91</v>
      </c>
      <c r="D1938" s="3">
        <v>88.5</v>
      </c>
      <c r="E1938" s="3">
        <v>10.7</v>
      </c>
      <c r="F1938" s="3">
        <v>12.62</v>
      </c>
      <c r="G1938" s="3">
        <v>45.89</v>
      </c>
      <c r="H1938" s="3">
        <v>0.0</v>
      </c>
      <c r="I1938" s="3">
        <v>25.65</v>
      </c>
      <c r="J1938" s="3">
        <v>0.0</v>
      </c>
      <c r="K1938" s="4">
        <f t="shared" si="1"/>
        <v>2265.1565</v>
      </c>
      <c r="L1938" s="4">
        <f t="shared" si="2"/>
        <v>3.45770811</v>
      </c>
    </row>
    <row r="1939">
      <c r="A1939" s="3" t="s">
        <v>134</v>
      </c>
      <c r="B1939" s="3">
        <v>53.7</v>
      </c>
      <c r="C1939" s="3">
        <v>5.48</v>
      </c>
      <c r="D1939" s="3">
        <v>105.0</v>
      </c>
      <c r="E1939" s="3">
        <v>10.7</v>
      </c>
      <c r="F1939" s="3">
        <v>16.73</v>
      </c>
      <c r="G1939" s="3">
        <v>51.07</v>
      </c>
      <c r="H1939" s="3">
        <v>0.0</v>
      </c>
      <c r="I1939" s="3">
        <v>17.82</v>
      </c>
      <c r="J1939" s="3">
        <v>0.0</v>
      </c>
      <c r="K1939" s="4">
        <f t="shared" si="1"/>
        <v>2888.0378</v>
      </c>
      <c r="L1939" s="4">
        <f t="shared" si="2"/>
        <v>3.81747081</v>
      </c>
    </row>
    <row r="1940">
      <c r="A1940" s="3" t="s">
        <v>134</v>
      </c>
      <c r="B1940" s="3">
        <v>53.7</v>
      </c>
      <c r="C1940" s="3">
        <v>7.03</v>
      </c>
      <c r="D1940" s="3">
        <v>106.0</v>
      </c>
      <c r="E1940" s="3">
        <v>10.7</v>
      </c>
      <c r="F1940" s="3">
        <v>20.63</v>
      </c>
      <c r="G1940" s="3">
        <v>52.93</v>
      </c>
      <c r="H1940" s="3">
        <v>0.0</v>
      </c>
      <c r="I1940" s="3">
        <v>11.38</v>
      </c>
      <c r="J1940" s="3">
        <v>0.0</v>
      </c>
      <c r="K1940" s="4">
        <f t="shared" si="1"/>
        <v>3227.1818</v>
      </c>
      <c r="L1940" s="4">
        <f t="shared" si="2"/>
        <v>3.48167556</v>
      </c>
    </row>
    <row r="1941">
      <c r="A1941" s="3" t="s">
        <v>134</v>
      </c>
      <c r="B1941" s="3">
        <v>53.7</v>
      </c>
      <c r="C1941" s="3">
        <v>8.6</v>
      </c>
      <c r="D1941" s="3">
        <v>103.0</v>
      </c>
      <c r="E1941" s="3">
        <v>10.7</v>
      </c>
      <c r="F1941" s="3">
        <v>24.32</v>
      </c>
      <c r="G1941" s="3">
        <v>52.95</v>
      </c>
      <c r="H1941" s="3">
        <v>0.0</v>
      </c>
      <c r="I1941" s="3">
        <v>7.71</v>
      </c>
      <c r="J1941" s="3">
        <v>0.0</v>
      </c>
      <c r="K1941" s="4">
        <f t="shared" si="1"/>
        <v>3395.1649</v>
      </c>
      <c r="L1941" s="4">
        <f t="shared" si="2"/>
        <v>3.12473777</v>
      </c>
    </row>
    <row r="1942">
      <c r="A1942" s="3" t="s">
        <v>134</v>
      </c>
      <c r="B1942" s="3">
        <v>53.7</v>
      </c>
      <c r="C1942" s="3">
        <v>13.27</v>
      </c>
      <c r="D1942" s="3">
        <v>109.0</v>
      </c>
      <c r="E1942" s="3">
        <v>15.8</v>
      </c>
      <c r="F1942" s="3">
        <v>34.07</v>
      </c>
      <c r="G1942" s="3">
        <v>49.67</v>
      </c>
      <c r="H1942" s="3">
        <v>0.0</v>
      </c>
      <c r="I1942" s="3">
        <v>3.15</v>
      </c>
      <c r="J1942" s="3">
        <v>0.0</v>
      </c>
      <c r="K1942" s="4">
        <f t="shared" si="1"/>
        <v>3627.8738</v>
      </c>
      <c r="L1942" s="4">
        <f t="shared" si="2"/>
        <v>3.274920974</v>
      </c>
    </row>
    <row r="1943">
      <c r="A1943" s="3" t="s">
        <v>134</v>
      </c>
      <c r="B1943" s="3">
        <v>53.7</v>
      </c>
      <c r="C1943" s="3">
        <v>14.85</v>
      </c>
      <c r="D1943" s="3">
        <v>113.0</v>
      </c>
      <c r="E1943" s="3">
        <v>14.7</v>
      </c>
      <c r="F1943" s="3">
        <v>36.74</v>
      </c>
      <c r="G1943" s="3">
        <v>48.73</v>
      </c>
      <c r="H1943" s="3">
        <v>0.0</v>
      </c>
      <c r="I1943" s="3">
        <v>2.09</v>
      </c>
      <c r="J1943" s="3">
        <v>0.0</v>
      </c>
      <c r="K1943" s="4">
        <f t="shared" si="1"/>
        <v>3724.4405</v>
      </c>
      <c r="L1943" s="4">
        <f t="shared" si="2"/>
        <v>3.428434419</v>
      </c>
    </row>
    <row r="1944">
      <c r="A1944" s="3" t="s">
        <v>134</v>
      </c>
      <c r="B1944" s="3">
        <v>53.7</v>
      </c>
      <c r="C1944" s="3">
        <v>25.8</v>
      </c>
      <c r="D1944" s="3">
        <v>105.0</v>
      </c>
      <c r="E1944" s="3">
        <v>10.4</v>
      </c>
      <c r="F1944" s="3">
        <v>46.59</v>
      </c>
      <c r="G1944" s="3">
        <v>38.25</v>
      </c>
      <c r="H1944" s="3">
        <v>0.0</v>
      </c>
      <c r="I1944" s="3">
        <v>0.16</v>
      </c>
      <c r="J1944" s="3">
        <v>0.0</v>
      </c>
      <c r="K1944" s="4">
        <f t="shared" si="1"/>
        <v>3633.6906</v>
      </c>
      <c r="L1944" s="4">
        <f t="shared" si="2"/>
        <v>3.034105325</v>
      </c>
    </row>
    <row r="1945">
      <c r="A1945" s="3" t="s">
        <v>134</v>
      </c>
      <c r="B1945" s="3">
        <v>53.7</v>
      </c>
      <c r="C1945" s="3">
        <v>32.01</v>
      </c>
      <c r="D1945" s="3">
        <v>103.0</v>
      </c>
      <c r="E1945" s="3">
        <v>10.0</v>
      </c>
      <c r="F1945" s="3">
        <v>43.71</v>
      </c>
      <c r="G1945" s="3">
        <v>33.76</v>
      </c>
      <c r="H1945" s="3">
        <v>0.0</v>
      </c>
      <c r="I1945" s="3">
        <v>0.04</v>
      </c>
      <c r="J1945" s="3">
        <v>0.0</v>
      </c>
      <c r="K1945" s="4">
        <f t="shared" si="1"/>
        <v>3050.3017</v>
      </c>
      <c r="L1945" s="4">
        <f t="shared" si="2"/>
        <v>3.478016617</v>
      </c>
    </row>
    <row r="1946">
      <c r="A1946" s="3" t="s">
        <v>134</v>
      </c>
      <c r="B1946" s="3">
        <v>53.7</v>
      </c>
      <c r="C1946" s="3">
        <v>36.54</v>
      </c>
      <c r="D1946" s="3">
        <v>103.0</v>
      </c>
      <c r="E1946" s="3">
        <v>10.0</v>
      </c>
      <c r="F1946" s="3">
        <v>39.61</v>
      </c>
      <c r="G1946" s="3">
        <v>31.2</v>
      </c>
      <c r="H1946" s="3">
        <v>0.0</v>
      </c>
      <c r="I1946" s="3">
        <v>0.0</v>
      </c>
      <c r="J1946" s="3">
        <v>0.0</v>
      </c>
      <c r="K1946" s="4">
        <f t="shared" si="1"/>
        <v>2542.3921</v>
      </c>
      <c r="L1946" s="4">
        <f t="shared" si="2"/>
        <v>4.172841789</v>
      </c>
    </row>
    <row r="1947">
      <c r="A1947" s="3" t="s">
        <v>24</v>
      </c>
      <c r="B1947" s="3">
        <v>5.27</v>
      </c>
      <c r="C1947" s="3">
        <v>0.08</v>
      </c>
      <c r="D1947" s="3">
        <v>1.41</v>
      </c>
      <c r="E1947" s="3">
        <v>4.0</v>
      </c>
      <c r="F1947" s="3">
        <v>-5.85</v>
      </c>
      <c r="G1947" s="3">
        <v>1.5</v>
      </c>
      <c r="H1947" s="3">
        <v>0.0</v>
      </c>
      <c r="I1947" s="3">
        <v>25.4</v>
      </c>
      <c r="J1947" s="3">
        <v>0.0</v>
      </c>
      <c r="K1947" s="4">
        <f t="shared" si="1"/>
        <v>36.4725</v>
      </c>
      <c r="L1947" s="4">
        <f t="shared" si="2"/>
        <v>0.054509562</v>
      </c>
    </row>
    <row r="1948">
      <c r="A1948" s="3" t="s">
        <v>24</v>
      </c>
      <c r="B1948" s="3">
        <v>5.27</v>
      </c>
      <c r="C1948" s="3">
        <v>0.23</v>
      </c>
      <c r="D1948" s="3">
        <v>4.46</v>
      </c>
      <c r="E1948" s="3">
        <v>4.0</v>
      </c>
      <c r="F1948" s="3">
        <v>-5.85</v>
      </c>
      <c r="G1948" s="3">
        <v>3.55</v>
      </c>
      <c r="H1948" s="3">
        <v>0.0</v>
      </c>
      <c r="I1948" s="3">
        <v>21.88</v>
      </c>
      <c r="J1948" s="3">
        <v>0.0</v>
      </c>
      <c r="K1948" s="4">
        <f t="shared" si="1"/>
        <v>46.825</v>
      </c>
      <c r="L1948" s="4">
        <f t="shared" si="2"/>
        <v>0.4248072611</v>
      </c>
    </row>
    <row r="1949">
      <c r="A1949" s="3" t="s">
        <v>24</v>
      </c>
      <c r="B1949" s="3">
        <v>5.27</v>
      </c>
      <c r="C1949" s="3">
        <v>0.38</v>
      </c>
      <c r="D1949" s="3">
        <v>7.71</v>
      </c>
      <c r="E1949" s="3">
        <v>4.0</v>
      </c>
      <c r="F1949" s="3">
        <v>-0.98</v>
      </c>
      <c r="G1949" s="3">
        <v>5.31</v>
      </c>
      <c r="H1949" s="3">
        <v>0.0</v>
      </c>
      <c r="I1949" s="3">
        <v>22.81</v>
      </c>
      <c r="J1949" s="3">
        <v>0.0</v>
      </c>
      <c r="K1949" s="4">
        <f t="shared" si="1"/>
        <v>29.1565</v>
      </c>
      <c r="L1949" s="4">
        <f t="shared" si="2"/>
        <v>2.038794094</v>
      </c>
    </row>
    <row r="1950">
      <c r="A1950" s="3" t="s">
        <v>24</v>
      </c>
      <c r="B1950" s="3">
        <v>5.27</v>
      </c>
      <c r="C1950" s="3">
        <v>0.54</v>
      </c>
      <c r="D1950" s="3">
        <v>11.0</v>
      </c>
      <c r="E1950" s="3">
        <v>4.0</v>
      </c>
      <c r="F1950" s="3">
        <v>-2.22</v>
      </c>
      <c r="G1950" s="3">
        <v>8.22</v>
      </c>
      <c r="H1950" s="3">
        <v>0.0</v>
      </c>
      <c r="I1950" s="3">
        <v>20.9</v>
      </c>
      <c r="J1950" s="3">
        <v>0.0</v>
      </c>
      <c r="K1950" s="4">
        <f t="shared" si="1"/>
        <v>72.4968</v>
      </c>
      <c r="L1950" s="4">
        <f t="shared" si="2"/>
        <v>1.669039185</v>
      </c>
    </row>
    <row r="1951">
      <c r="A1951" s="3" t="s">
        <v>24</v>
      </c>
      <c r="B1951" s="3">
        <v>5.27</v>
      </c>
      <c r="C1951" s="3">
        <v>0.69</v>
      </c>
      <c r="D1951" s="3">
        <v>14.2</v>
      </c>
      <c r="E1951" s="3">
        <v>4.0</v>
      </c>
      <c r="F1951" s="3">
        <v>-3.47</v>
      </c>
      <c r="G1951" s="3">
        <v>10.22</v>
      </c>
      <c r="H1951" s="3">
        <v>0.0</v>
      </c>
      <c r="I1951" s="3">
        <v>20.6</v>
      </c>
      <c r="J1951" s="3">
        <v>0.0</v>
      </c>
      <c r="K1951" s="4">
        <f t="shared" si="1"/>
        <v>116.4893</v>
      </c>
      <c r="L1951" s="4">
        <f t="shared" si="2"/>
        <v>1.730974433</v>
      </c>
    </row>
    <row r="1952">
      <c r="A1952" s="3" t="s">
        <v>24</v>
      </c>
      <c r="B1952" s="3">
        <v>5.27</v>
      </c>
      <c r="C1952" s="3">
        <v>0.84</v>
      </c>
      <c r="D1952" s="3">
        <v>17.2</v>
      </c>
      <c r="E1952" s="3">
        <v>5.78</v>
      </c>
      <c r="F1952" s="3">
        <v>-4.43</v>
      </c>
      <c r="G1952" s="3">
        <v>12.07</v>
      </c>
      <c r="H1952" s="3">
        <v>0.0</v>
      </c>
      <c r="I1952" s="3">
        <v>18.77</v>
      </c>
      <c r="J1952" s="3">
        <v>0.0</v>
      </c>
      <c r="K1952" s="4">
        <f t="shared" si="1"/>
        <v>165.3098</v>
      </c>
      <c r="L1952" s="4">
        <f t="shared" si="2"/>
        <v>1.789609569</v>
      </c>
    </row>
    <row r="1953">
      <c r="A1953" s="3" t="s">
        <v>24</v>
      </c>
      <c r="B1953" s="3">
        <v>5.27</v>
      </c>
      <c r="C1953" s="3">
        <v>1.0</v>
      </c>
      <c r="D1953" s="3">
        <v>20.2</v>
      </c>
      <c r="E1953" s="3">
        <v>4.74</v>
      </c>
      <c r="F1953" s="3">
        <v>-5.15</v>
      </c>
      <c r="G1953" s="3">
        <v>13.91</v>
      </c>
      <c r="H1953" s="3">
        <v>0.0</v>
      </c>
      <c r="I1953" s="3">
        <v>17.42</v>
      </c>
      <c r="J1953" s="3">
        <v>0.0</v>
      </c>
      <c r="K1953" s="4">
        <f t="shared" si="1"/>
        <v>220.0106</v>
      </c>
      <c r="L1953" s="4">
        <f t="shared" si="2"/>
        <v>1.854637913</v>
      </c>
    </row>
    <row r="1954">
      <c r="A1954" s="3" t="s">
        <v>24</v>
      </c>
      <c r="B1954" s="3">
        <v>5.27</v>
      </c>
      <c r="C1954" s="3">
        <v>1.15</v>
      </c>
      <c r="D1954" s="3">
        <v>23.2</v>
      </c>
      <c r="E1954" s="3">
        <v>4.0</v>
      </c>
      <c r="F1954" s="3">
        <v>-5.85</v>
      </c>
      <c r="G1954" s="3">
        <v>15.41</v>
      </c>
      <c r="H1954" s="3">
        <v>0.0</v>
      </c>
      <c r="I1954" s="3">
        <v>15.5</v>
      </c>
      <c r="J1954" s="3">
        <v>0.0</v>
      </c>
      <c r="K1954" s="4">
        <f t="shared" si="1"/>
        <v>271.6906</v>
      </c>
      <c r="L1954" s="4">
        <f t="shared" si="2"/>
        <v>1.981077005</v>
      </c>
    </row>
    <row r="1955">
      <c r="A1955" s="3" t="s">
        <v>24</v>
      </c>
      <c r="B1955" s="3">
        <v>5.27</v>
      </c>
      <c r="C1955" s="3">
        <v>1.3</v>
      </c>
      <c r="D1955" s="3">
        <v>26.4</v>
      </c>
      <c r="E1955" s="3">
        <v>7.13</v>
      </c>
      <c r="F1955" s="3">
        <v>-1.76</v>
      </c>
      <c r="G1955" s="3">
        <v>16.74</v>
      </c>
      <c r="H1955" s="3">
        <v>0.0</v>
      </c>
      <c r="I1955" s="3">
        <v>13.82</v>
      </c>
      <c r="J1955" s="3">
        <v>0.0</v>
      </c>
      <c r="K1955" s="4">
        <f t="shared" si="1"/>
        <v>283.3252</v>
      </c>
      <c r="L1955" s="4">
        <f t="shared" si="2"/>
        <v>2.459929438</v>
      </c>
    </row>
    <row r="1956">
      <c r="A1956" s="3" t="s">
        <v>24</v>
      </c>
      <c r="B1956" s="3">
        <v>5.27</v>
      </c>
      <c r="C1956" s="3">
        <v>1.46</v>
      </c>
      <c r="D1956" s="3">
        <v>29.3</v>
      </c>
      <c r="E1956" s="3">
        <v>4.38</v>
      </c>
      <c r="F1956" s="3">
        <v>2.33</v>
      </c>
      <c r="G1956" s="3">
        <v>17.86</v>
      </c>
      <c r="H1956" s="3">
        <v>0.0</v>
      </c>
      <c r="I1956" s="3">
        <v>11.93</v>
      </c>
      <c r="J1956" s="3">
        <v>0.0</v>
      </c>
      <c r="K1956" s="4">
        <f t="shared" si="1"/>
        <v>324.4085</v>
      </c>
      <c r="L1956" s="4">
        <f t="shared" si="2"/>
        <v>2.646324002</v>
      </c>
    </row>
    <row r="1957">
      <c r="A1957" s="3" t="s">
        <v>24</v>
      </c>
      <c r="B1957" s="3">
        <v>5.27</v>
      </c>
      <c r="C1957" s="3">
        <v>1.61</v>
      </c>
      <c r="D1957" s="3">
        <v>31.6</v>
      </c>
      <c r="E1957" s="3">
        <v>4.94</v>
      </c>
      <c r="F1957" s="3">
        <v>5.46</v>
      </c>
      <c r="G1957" s="3">
        <v>18.77</v>
      </c>
      <c r="H1957" s="3">
        <v>0.0</v>
      </c>
      <c r="I1957" s="3">
        <v>9.92</v>
      </c>
      <c r="J1957" s="3">
        <v>0.0</v>
      </c>
      <c r="K1957" s="4">
        <f t="shared" si="1"/>
        <v>382.1245</v>
      </c>
      <c r="L1957" s="4">
        <f t="shared" si="2"/>
        <v>2.613179736</v>
      </c>
    </row>
    <row r="1958">
      <c r="A1958" s="3" t="s">
        <v>24</v>
      </c>
      <c r="B1958" s="3">
        <v>5.27</v>
      </c>
      <c r="C1958" s="3">
        <v>1.76</v>
      </c>
      <c r="D1958" s="3">
        <v>34.6</v>
      </c>
      <c r="E1958" s="3">
        <v>4.0</v>
      </c>
      <c r="F1958" s="3">
        <v>7.63</v>
      </c>
      <c r="G1958" s="3">
        <v>19.16</v>
      </c>
      <c r="H1958" s="3">
        <v>0.0</v>
      </c>
      <c r="I1958" s="3">
        <v>8.28</v>
      </c>
      <c r="J1958" s="3">
        <v>0.0</v>
      </c>
      <c r="K1958" s="4">
        <f t="shared" si="1"/>
        <v>425.3225</v>
      </c>
      <c r="L1958" s="4">
        <f t="shared" si="2"/>
        <v>2.81471119</v>
      </c>
    </row>
    <row r="1959">
      <c r="A1959" s="3" t="s">
        <v>24</v>
      </c>
      <c r="B1959" s="3">
        <v>5.27</v>
      </c>
      <c r="C1959" s="3">
        <v>1.92</v>
      </c>
      <c r="D1959" s="3">
        <v>37.4</v>
      </c>
      <c r="E1959" s="3">
        <v>7.09</v>
      </c>
      <c r="F1959" s="3">
        <v>9.79</v>
      </c>
      <c r="G1959" s="3">
        <v>19.52</v>
      </c>
      <c r="H1959" s="3">
        <v>0.0</v>
      </c>
      <c r="I1959" s="3">
        <v>7.06</v>
      </c>
      <c r="J1959" s="3">
        <v>0.0</v>
      </c>
      <c r="K1959" s="4">
        <f t="shared" si="1"/>
        <v>476.8745</v>
      </c>
      <c r="L1959" s="4">
        <f t="shared" si="2"/>
        <v>2.93318263</v>
      </c>
    </row>
    <row r="1960">
      <c r="A1960" s="3" t="s">
        <v>24</v>
      </c>
      <c r="B1960" s="3">
        <v>5.27</v>
      </c>
      <c r="C1960" s="3">
        <v>2.07</v>
      </c>
      <c r="D1960" s="3">
        <v>39.9</v>
      </c>
      <c r="E1960" s="3">
        <v>4.0</v>
      </c>
      <c r="F1960" s="3">
        <v>11.26</v>
      </c>
      <c r="G1960" s="3">
        <v>19.66</v>
      </c>
      <c r="H1960" s="3">
        <v>0.0</v>
      </c>
      <c r="I1960" s="3">
        <v>6.14</v>
      </c>
      <c r="J1960" s="3">
        <v>0.0</v>
      </c>
      <c r="K1960" s="4">
        <f t="shared" si="1"/>
        <v>513.3032</v>
      </c>
      <c r="L1960" s="4">
        <f t="shared" si="2"/>
        <v>3.101500244</v>
      </c>
    </row>
    <row r="1961">
      <c r="A1961" s="3" t="s">
        <v>24</v>
      </c>
      <c r="B1961" s="3">
        <v>5.27</v>
      </c>
      <c r="C1961" s="3">
        <v>2.22</v>
      </c>
      <c r="D1961" s="3">
        <v>42.2</v>
      </c>
      <c r="E1961" s="3">
        <v>4.37</v>
      </c>
      <c r="F1961" s="3">
        <v>12.73</v>
      </c>
      <c r="G1961" s="3">
        <v>19.81</v>
      </c>
      <c r="H1961" s="3">
        <v>0.0</v>
      </c>
      <c r="I1961" s="3">
        <v>5.37</v>
      </c>
      <c r="J1961" s="3">
        <v>0.0</v>
      </c>
      <c r="K1961" s="4">
        <f t="shared" si="1"/>
        <v>554.489</v>
      </c>
      <c r="L1961" s="4">
        <f t="shared" si="2"/>
        <v>3.211677779</v>
      </c>
    </row>
    <row r="1962">
      <c r="A1962" s="3" t="s">
        <v>24</v>
      </c>
      <c r="B1962" s="3">
        <v>5.27</v>
      </c>
      <c r="C1962" s="3">
        <v>2.38</v>
      </c>
      <c r="D1962" s="3">
        <v>44.4</v>
      </c>
      <c r="E1962" s="3">
        <v>4.58</v>
      </c>
      <c r="F1962" s="3">
        <v>13.9</v>
      </c>
      <c r="G1962" s="3">
        <v>19.88</v>
      </c>
      <c r="H1962" s="3">
        <v>0.0</v>
      </c>
      <c r="I1962" s="3">
        <v>4.87</v>
      </c>
      <c r="J1962" s="3">
        <v>0.0</v>
      </c>
      <c r="K1962" s="4">
        <f t="shared" si="1"/>
        <v>588.4244</v>
      </c>
      <c r="L1962" s="4">
        <f t="shared" si="2"/>
        <v>3.350234966</v>
      </c>
    </row>
    <row r="1963">
      <c r="A1963" s="3" t="s">
        <v>24</v>
      </c>
      <c r="B1963" s="3">
        <v>5.27</v>
      </c>
      <c r="C1963" s="3">
        <v>2.53</v>
      </c>
      <c r="D1963" s="3">
        <v>46.7</v>
      </c>
      <c r="E1963" s="3">
        <v>5.91</v>
      </c>
      <c r="F1963" s="3">
        <v>14.68</v>
      </c>
      <c r="G1963" s="3">
        <v>20.02</v>
      </c>
      <c r="H1963" s="3">
        <v>0.0</v>
      </c>
      <c r="I1963" s="3">
        <v>4.22</v>
      </c>
      <c r="J1963" s="3">
        <v>0.0</v>
      </c>
      <c r="K1963" s="4">
        <f t="shared" si="1"/>
        <v>616.3028</v>
      </c>
      <c r="L1963" s="4">
        <f t="shared" si="2"/>
        <v>3.538666383</v>
      </c>
    </row>
    <row r="1964">
      <c r="A1964" s="3" t="s">
        <v>24</v>
      </c>
      <c r="B1964" s="3">
        <v>5.27</v>
      </c>
      <c r="C1964" s="3">
        <v>2.68</v>
      </c>
      <c r="D1964" s="3">
        <v>48.5</v>
      </c>
      <c r="E1964" s="3">
        <v>7.72</v>
      </c>
      <c r="F1964" s="3">
        <v>15.47</v>
      </c>
      <c r="G1964" s="3">
        <v>19.97</v>
      </c>
      <c r="H1964" s="3">
        <v>0.0</v>
      </c>
      <c r="I1964" s="3">
        <v>3.59</v>
      </c>
      <c r="J1964" s="3">
        <v>0.0</v>
      </c>
      <c r="K1964" s="4">
        <f t="shared" si="1"/>
        <v>638.1218</v>
      </c>
      <c r="L1964" s="4">
        <f t="shared" si="2"/>
        <v>3.686208495</v>
      </c>
    </row>
    <row r="1965">
      <c r="A1965" s="3" t="s">
        <v>24</v>
      </c>
      <c r="B1965" s="3">
        <v>5.27</v>
      </c>
      <c r="C1965" s="3">
        <v>2.76</v>
      </c>
      <c r="D1965" s="3">
        <v>49.3</v>
      </c>
      <c r="E1965" s="3">
        <v>9.73</v>
      </c>
      <c r="F1965" s="3">
        <v>15.76</v>
      </c>
      <c r="G1965" s="3">
        <v>19.92</v>
      </c>
      <c r="H1965" s="3">
        <v>0.0</v>
      </c>
      <c r="I1965" s="3">
        <v>3.33</v>
      </c>
      <c r="J1965" s="3">
        <v>0.0</v>
      </c>
      <c r="K1965" s="4">
        <f t="shared" si="1"/>
        <v>645.184</v>
      </c>
      <c r="L1965" s="4">
        <f t="shared" si="2"/>
        <v>3.767126897</v>
      </c>
    </row>
    <row r="1966">
      <c r="A1966" s="3" t="s">
        <v>24</v>
      </c>
      <c r="B1966" s="3">
        <v>5.27</v>
      </c>
      <c r="C1966" s="3">
        <v>3.07</v>
      </c>
      <c r="D1966" s="3">
        <v>53.0</v>
      </c>
      <c r="E1966" s="3">
        <v>4.0</v>
      </c>
      <c r="F1966" s="3">
        <v>16.84</v>
      </c>
      <c r="G1966" s="3">
        <v>19.61</v>
      </c>
      <c r="H1966" s="3">
        <v>0.0</v>
      </c>
      <c r="I1966" s="3">
        <v>2.64</v>
      </c>
      <c r="J1966" s="3">
        <v>0.0</v>
      </c>
      <c r="K1966" s="4">
        <f t="shared" si="1"/>
        <v>668.1377</v>
      </c>
      <c r="L1966" s="4">
        <f t="shared" si="2"/>
        <v>4.204223171</v>
      </c>
    </row>
    <row r="1967">
      <c r="A1967" s="3" t="s">
        <v>24</v>
      </c>
      <c r="B1967" s="3">
        <v>5.27</v>
      </c>
      <c r="C1967" s="3">
        <v>3.46</v>
      </c>
      <c r="D1967" s="3">
        <v>54.1</v>
      </c>
      <c r="E1967" s="3">
        <v>4.0</v>
      </c>
      <c r="F1967" s="3">
        <v>18.3</v>
      </c>
      <c r="G1967" s="3">
        <v>19.28</v>
      </c>
      <c r="H1967" s="3">
        <v>0.0</v>
      </c>
      <c r="I1967" s="3">
        <v>2.1</v>
      </c>
      <c r="J1967" s="3">
        <v>0.0</v>
      </c>
      <c r="K1967" s="4">
        <f t="shared" si="1"/>
        <v>706.6084</v>
      </c>
      <c r="L1967" s="4">
        <f t="shared" si="2"/>
        <v>4.142053788</v>
      </c>
    </row>
    <row r="1968">
      <c r="A1968" s="3" t="s">
        <v>24</v>
      </c>
      <c r="B1968" s="3">
        <v>5.27</v>
      </c>
      <c r="C1968" s="3">
        <v>3.83</v>
      </c>
      <c r="D1968" s="3">
        <v>55.0</v>
      </c>
      <c r="E1968" s="3">
        <v>4.0</v>
      </c>
      <c r="F1968" s="3">
        <v>18.5</v>
      </c>
      <c r="G1968" s="3">
        <v>18.95</v>
      </c>
      <c r="H1968" s="3">
        <v>0.0</v>
      </c>
      <c r="I1968" s="3">
        <v>1.62</v>
      </c>
      <c r="J1968" s="3">
        <v>0.0</v>
      </c>
      <c r="K1968" s="4">
        <f t="shared" si="1"/>
        <v>701.3525</v>
      </c>
      <c r="L1968" s="4">
        <f t="shared" si="2"/>
        <v>4.313095056</v>
      </c>
    </row>
    <row r="1969">
      <c r="A1969" s="3" t="s">
        <v>24</v>
      </c>
      <c r="B1969" s="3">
        <v>5.27</v>
      </c>
      <c r="C1969" s="3">
        <v>4.23</v>
      </c>
      <c r="D1969" s="3">
        <v>55.7</v>
      </c>
      <c r="E1969" s="3">
        <v>4.0</v>
      </c>
      <c r="F1969" s="3">
        <v>18.21</v>
      </c>
      <c r="G1969" s="3">
        <v>18.54</v>
      </c>
      <c r="H1969" s="3">
        <v>0.0</v>
      </c>
      <c r="I1969" s="3">
        <v>1.37</v>
      </c>
      <c r="J1969" s="3">
        <v>0.0</v>
      </c>
      <c r="K1969" s="4">
        <f t="shared" si="1"/>
        <v>675.3357</v>
      </c>
      <c r="L1969" s="4">
        <f t="shared" si="2"/>
        <v>4.593996734</v>
      </c>
    </row>
    <row r="1970">
      <c r="A1970" s="3" t="s">
        <v>24</v>
      </c>
      <c r="B1970" s="3">
        <v>5.27</v>
      </c>
      <c r="C1970" s="3">
        <v>4.62</v>
      </c>
      <c r="D1970" s="3">
        <v>56.4</v>
      </c>
      <c r="E1970" s="3">
        <v>4.0</v>
      </c>
      <c r="F1970" s="3">
        <v>19.58</v>
      </c>
      <c r="G1970" s="3">
        <v>18.33</v>
      </c>
      <c r="H1970" s="3">
        <v>0.0</v>
      </c>
      <c r="I1970" s="3">
        <v>1.19</v>
      </c>
      <c r="J1970" s="3">
        <v>0.0</v>
      </c>
      <c r="K1970" s="4">
        <f t="shared" si="1"/>
        <v>719.3653</v>
      </c>
      <c r="L1970" s="4">
        <f t="shared" si="2"/>
        <v>4.421898026</v>
      </c>
    </row>
    <row r="1971">
      <c r="A1971" s="3" t="s">
        <v>24</v>
      </c>
      <c r="B1971" s="3">
        <v>5.27</v>
      </c>
      <c r="C1971" s="3">
        <v>4.99</v>
      </c>
      <c r="D1971" s="3">
        <v>56.9</v>
      </c>
      <c r="E1971" s="3">
        <v>4.0</v>
      </c>
      <c r="F1971" s="3">
        <v>20.46</v>
      </c>
      <c r="G1971" s="3">
        <v>18.23</v>
      </c>
      <c r="H1971" s="3">
        <v>0.0</v>
      </c>
      <c r="I1971" s="3">
        <v>0.96</v>
      </c>
      <c r="J1971" s="3">
        <v>0.0</v>
      </c>
      <c r="K1971" s="4">
        <f t="shared" si="1"/>
        <v>750.9445</v>
      </c>
      <c r="L1971" s="4">
        <f t="shared" si="2"/>
        <v>4.311383864</v>
      </c>
    </row>
    <row r="1972">
      <c r="A1972" s="3" t="s">
        <v>135</v>
      </c>
      <c r="B1972" s="3">
        <v>10.4</v>
      </c>
      <c r="C1972" s="3">
        <v>0.76</v>
      </c>
      <c r="D1972" s="3">
        <v>15.1</v>
      </c>
      <c r="E1972" s="3">
        <v>8.69</v>
      </c>
      <c r="F1972" s="3">
        <v>0.58</v>
      </c>
      <c r="G1972" s="3">
        <v>17.55</v>
      </c>
      <c r="H1972" s="3">
        <v>0.0</v>
      </c>
      <c r="I1972" s="3">
        <v>56.36</v>
      </c>
      <c r="J1972" s="3">
        <v>0.0</v>
      </c>
      <c r="K1972" s="4">
        <f t="shared" si="1"/>
        <v>308.3389</v>
      </c>
      <c r="L1972" s="4">
        <f t="shared" si="2"/>
        <v>0.7394785413</v>
      </c>
    </row>
    <row r="1973">
      <c r="A1973" s="3" t="s">
        <v>135</v>
      </c>
      <c r="B1973" s="3">
        <v>10.4</v>
      </c>
      <c r="C1973" s="3">
        <v>1.51</v>
      </c>
      <c r="D1973" s="3">
        <v>28.0</v>
      </c>
      <c r="E1973" s="3">
        <v>8.69</v>
      </c>
      <c r="F1973" s="3">
        <v>10.02</v>
      </c>
      <c r="G1973" s="3">
        <v>30.38</v>
      </c>
      <c r="H1973" s="3">
        <v>0.0</v>
      </c>
      <c r="I1973" s="3">
        <v>35.19</v>
      </c>
      <c r="J1973" s="3">
        <v>0.0</v>
      </c>
      <c r="K1973" s="4">
        <f t="shared" si="1"/>
        <v>1023.3448</v>
      </c>
      <c r="L1973" s="4">
        <f t="shared" si="2"/>
        <v>0.766115194</v>
      </c>
    </row>
    <row r="1974">
      <c r="A1974" s="3" t="s">
        <v>135</v>
      </c>
      <c r="B1974" s="3">
        <v>10.4</v>
      </c>
      <c r="C1974" s="3">
        <v>2.27</v>
      </c>
      <c r="D1974" s="3">
        <v>37.6</v>
      </c>
      <c r="E1974" s="3">
        <v>8.69</v>
      </c>
      <c r="F1974" s="3">
        <v>14.0</v>
      </c>
      <c r="G1974" s="3">
        <v>35.0</v>
      </c>
      <c r="H1974" s="3">
        <v>0.0</v>
      </c>
      <c r="I1974" s="3">
        <v>20.05</v>
      </c>
      <c r="J1974" s="3">
        <v>0.0</v>
      </c>
      <c r="K1974" s="4">
        <f t="shared" si="1"/>
        <v>1421</v>
      </c>
      <c r="L1974" s="4">
        <f t="shared" si="2"/>
        <v>0.9949049965</v>
      </c>
    </row>
    <row r="1975">
      <c r="A1975" s="3" t="s">
        <v>135</v>
      </c>
      <c r="B1975" s="3">
        <v>10.4</v>
      </c>
      <c r="C1975" s="3">
        <v>3.03</v>
      </c>
      <c r="D1975" s="3">
        <v>47.9</v>
      </c>
      <c r="E1975" s="3">
        <v>8.69</v>
      </c>
      <c r="F1975" s="3">
        <v>14.92</v>
      </c>
      <c r="G1975" s="3">
        <v>36.8</v>
      </c>
      <c r="H1975" s="3">
        <v>0.0</v>
      </c>
      <c r="I1975" s="3">
        <v>12.78</v>
      </c>
      <c r="J1975" s="3">
        <v>0.0</v>
      </c>
      <c r="K1975" s="4">
        <f t="shared" si="1"/>
        <v>1576.8464</v>
      </c>
      <c r="L1975" s="4">
        <f t="shared" si="2"/>
        <v>1.455062459</v>
      </c>
    </row>
    <row r="1976">
      <c r="A1976" s="3" t="s">
        <v>135</v>
      </c>
      <c r="B1976" s="3">
        <v>10.4</v>
      </c>
      <c r="C1976" s="3">
        <v>3.78</v>
      </c>
      <c r="D1976" s="3">
        <v>58.8</v>
      </c>
      <c r="E1976" s="3">
        <v>8.69</v>
      </c>
      <c r="F1976" s="3">
        <v>19.48</v>
      </c>
      <c r="G1976" s="3">
        <v>36.55</v>
      </c>
      <c r="H1976" s="3">
        <v>0.0</v>
      </c>
      <c r="I1976" s="3">
        <v>6.61</v>
      </c>
      <c r="J1976" s="3">
        <v>0.0</v>
      </c>
      <c r="K1976" s="4">
        <f t="shared" si="1"/>
        <v>1715.3729</v>
      </c>
      <c r="L1976" s="4">
        <f t="shared" si="2"/>
        <v>2.015561748</v>
      </c>
    </row>
    <row r="1977">
      <c r="A1977" s="3" t="s">
        <v>136</v>
      </c>
      <c r="B1977" s="3">
        <v>10.5</v>
      </c>
      <c r="C1977" s="3">
        <v>1.02</v>
      </c>
      <c r="D1977" s="3">
        <v>56.1</v>
      </c>
      <c r="E1977" s="3">
        <v>3.4</v>
      </c>
      <c r="F1977" s="3">
        <v>4.05</v>
      </c>
      <c r="G1977" s="3">
        <v>24.58</v>
      </c>
      <c r="H1977" s="3">
        <v>0.0</v>
      </c>
      <c r="I1977" s="3">
        <v>54.4</v>
      </c>
      <c r="J1977" s="3">
        <v>0.0</v>
      </c>
      <c r="K1977" s="4">
        <f t="shared" si="1"/>
        <v>620.5789</v>
      </c>
      <c r="L1977" s="4">
        <f t="shared" si="2"/>
        <v>5.071409937</v>
      </c>
    </row>
    <row r="1978">
      <c r="A1978" s="3" t="s">
        <v>136</v>
      </c>
      <c r="B1978" s="3">
        <v>10.5</v>
      </c>
      <c r="C1978" s="3">
        <v>2.04</v>
      </c>
      <c r="D1978" s="3">
        <v>71.1</v>
      </c>
      <c r="E1978" s="3">
        <v>3.0</v>
      </c>
      <c r="F1978" s="3">
        <v>7.98</v>
      </c>
      <c r="G1978" s="3">
        <v>36.06</v>
      </c>
      <c r="H1978" s="3">
        <v>0.0</v>
      </c>
      <c r="I1978" s="3">
        <v>30.79</v>
      </c>
      <c r="J1978" s="3">
        <v>0.0</v>
      </c>
      <c r="K1978" s="4">
        <f t="shared" si="1"/>
        <v>1364.004</v>
      </c>
      <c r="L1978" s="4">
        <f t="shared" si="2"/>
        <v>3.706154821</v>
      </c>
    </row>
    <row r="1979">
      <c r="A1979" s="3" t="s">
        <v>136</v>
      </c>
      <c r="B1979" s="3">
        <v>10.5</v>
      </c>
      <c r="C1979" s="3">
        <v>3.05</v>
      </c>
      <c r="D1979" s="3">
        <v>80.7</v>
      </c>
      <c r="E1979" s="3">
        <v>1.5</v>
      </c>
      <c r="F1979" s="3">
        <v>14.47</v>
      </c>
      <c r="G1979" s="3">
        <v>40.35</v>
      </c>
      <c r="H1979" s="3">
        <v>0.0</v>
      </c>
      <c r="I1979" s="3">
        <v>17.94</v>
      </c>
      <c r="J1979" s="3">
        <v>0.0</v>
      </c>
      <c r="K1979" s="4">
        <f t="shared" si="1"/>
        <v>1837.5034</v>
      </c>
      <c r="L1979" s="4">
        <f t="shared" si="2"/>
        <v>3.544205687</v>
      </c>
    </row>
    <row r="1980">
      <c r="A1980" s="3" t="s">
        <v>136</v>
      </c>
      <c r="B1980" s="3">
        <v>10.5</v>
      </c>
      <c r="C1980" s="3">
        <v>4.07</v>
      </c>
      <c r="D1980" s="3">
        <v>82.8</v>
      </c>
      <c r="E1980" s="3">
        <v>1.5</v>
      </c>
      <c r="F1980" s="3">
        <v>19.07</v>
      </c>
      <c r="G1980" s="3">
        <v>42.21</v>
      </c>
      <c r="H1980" s="3">
        <v>0.0</v>
      </c>
      <c r="I1980" s="3">
        <v>8.16</v>
      </c>
      <c r="J1980" s="3">
        <v>0.0</v>
      </c>
      <c r="K1980" s="4">
        <f t="shared" si="1"/>
        <v>2145.349</v>
      </c>
      <c r="L1980" s="4">
        <f t="shared" si="2"/>
        <v>3.195675855</v>
      </c>
    </row>
    <row r="1981">
      <c r="A1981" s="3" t="s">
        <v>136</v>
      </c>
      <c r="B1981" s="3">
        <v>10.5</v>
      </c>
      <c r="C1981" s="3">
        <v>5.09</v>
      </c>
      <c r="D1981" s="3">
        <v>83.7</v>
      </c>
      <c r="E1981" s="3">
        <v>1.5</v>
      </c>
      <c r="F1981" s="3">
        <v>21.9</v>
      </c>
      <c r="G1981" s="3">
        <v>39.32</v>
      </c>
      <c r="H1981" s="3">
        <v>0.0</v>
      </c>
      <c r="I1981" s="3">
        <v>4.45</v>
      </c>
      <c r="J1981" s="3">
        <v>0.0</v>
      </c>
      <c r="K1981" s="4">
        <f t="shared" si="1"/>
        <v>2025.6724</v>
      </c>
      <c r="L1981" s="4">
        <f t="shared" si="2"/>
        <v>3.458451623</v>
      </c>
    </row>
    <row r="1982">
      <c r="A1982" s="3" t="s">
        <v>136</v>
      </c>
      <c r="B1982" s="3">
        <v>10.5</v>
      </c>
      <c r="C1982" s="3">
        <v>6.11</v>
      </c>
      <c r="D1982" s="3">
        <v>86.0</v>
      </c>
      <c r="E1982" s="3">
        <v>1.5</v>
      </c>
      <c r="F1982" s="3">
        <v>24.6</v>
      </c>
      <c r="G1982" s="3">
        <v>37.93</v>
      </c>
      <c r="H1982" s="3">
        <v>0.0</v>
      </c>
      <c r="I1982" s="3">
        <v>2.49</v>
      </c>
      <c r="J1982" s="3">
        <v>0.0</v>
      </c>
      <c r="K1982" s="4">
        <f t="shared" si="1"/>
        <v>2043.8449</v>
      </c>
      <c r="L1982" s="4">
        <f t="shared" si="2"/>
        <v>3.61866989</v>
      </c>
    </row>
    <row r="1983">
      <c r="A1983" s="3" t="s">
        <v>136</v>
      </c>
      <c r="B1983" s="3">
        <v>10.5</v>
      </c>
      <c r="C1983" s="3">
        <v>7.13</v>
      </c>
      <c r="D1983" s="3">
        <v>88.3</v>
      </c>
      <c r="E1983" s="3">
        <v>2.3</v>
      </c>
      <c r="F1983" s="3">
        <v>26.68</v>
      </c>
      <c r="G1983" s="3">
        <v>36.09</v>
      </c>
      <c r="H1983" s="3">
        <v>0.0</v>
      </c>
      <c r="I1983" s="3">
        <v>1.32</v>
      </c>
      <c r="J1983" s="3">
        <v>0.0</v>
      </c>
      <c r="K1983" s="4">
        <f t="shared" si="1"/>
        <v>2014.3105</v>
      </c>
      <c r="L1983" s="4">
        <f t="shared" si="2"/>
        <v>3.870748824</v>
      </c>
    </row>
    <row r="1984">
      <c r="A1984" s="3" t="s">
        <v>136</v>
      </c>
      <c r="B1984" s="3">
        <v>10.5</v>
      </c>
      <c r="C1984" s="3">
        <v>8.14</v>
      </c>
      <c r="D1984" s="3">
        <v>90.0</v>
      </c>
      <c r="E1984" s="3">
        <v>3.0</v>
      </c>
      <c r="F1984" s="3">
        <v>25.72</v>
      </c>
      <c r="G1984" s="3">
        <v>33.53</v>
      </c>
      <c r="H1984" s="3">
        <v>0.0</v>
      </c>
      <c r="I1984" s="3">
        <v>0.0</v>
      </c>
      <c r="J1984" s="3">
        <v>0.0</v>
      </c>
      <c r="K1984" s="4">
        <f t="shared" si="1"/>
        <v>1785.7793</v>
      </c>
      <c r="L1984" s="4">
        <f t="shared" si="2"/>
        <v>4.535834859</v>
      </c>
    </row>
    <row r="1985">
      <c r="A1985" s="3" t="s">
        <v>137</v>
      </c>
      <c r="B1985" s="3">
        <v>6.92</v>
      </c>
      <c r="C1985" s="3">
        <v>0.5</v>
      </c>
      <c r="D1985" s="3">
        <v>16.9</v>
      </c>
      <c r="E1985" s="3">
        <v>3.64</v>
      </c>
      <c r="F1985" s="3">
        <v>2.1</v>
      </c>
      <c r="G1985" s="3">
        <v>41.15</v>
      </c>
      <c r="H1985" s="3">
        <v>0.0</v>
      </c>
      <c r="I1985" s="3">
        <v>372.13</v>
      </c>
      <c r="J1985" s="3">
        <v>0.0</v>
      </c>
      <c r="K1985" s="4">
        <f t="shared" si="1"/>
        <v>1697.7325</v>
      </c>
      <c r="L1985" s="4">
        <f t="shared" si="2"/>
        <v>0.1682302718</v>
      </c>
    </row>
    <row r="1986">
      <c r="A1986" s="3" t="s">
        <v>137</v>
      </c>
      <c r="B1986" s="3">
        <v>6.92</v>
      </c>
      <c r="C1986" s="3">
        <v>1.0</v>
      </c>
      <c r="D1986" s="3">
        <v>23.9</v>
      </c>
      <c r="E1986" s="3">
        <v>3.64</v>
      </c>
      <c r="F1986" s="3">
        <v>6.14</v>
      </c>
      <c r="G1986" s="3">
        <v>64.58</v>
      </c>
      <c r="H1986" s="3">
        <v>0.0</v>
      </c>
      <c r="I1986" s="3">
        <v>276.29</v>
      </c>
      <c r="J1986" s="3">
        <v>0.0</v>
      </c>
      <c r="K1986" s="4">
        <f t="shared" si="1"/>
        <v>4208.276</v>
      </c>
      <c r="L1986" s="4">
        <f t="shared" si="2"/>
        <v>0.1357349185</v>
      </c>
    </row>
    <row r="1987">
      <c r="A1987" s="3" t="s">
        <v>137</v>
      </c>
      <c r="B1987" s="3">
        <v>6.92</v>
      </c>
      <c r="C1987" s="3">
        <v>1.51</v>
      </c>
      <c r="D1987" s="3">
        <v>28.2</v>
      </c>
      <c r="E1987" s="3">
        <v>3.64</v>
      </c>
      <c r="F1987" s="3">
        <v>11.02</v>
      </c>
      <c r="G1987" s="3">
        <v>77.99</v>
      </c>
      <c r="H1987" s="3">
        <v>0.0</v>
      </c>
      <c r="I1987" s="3">
        <v>109.97</v>
      </c>
      <c r="J1987" s="3">
        <v>0.0</v>
      </c>
      <c r="K1987" s="4">
        <f t="shared" si="1"/>
        <v>6203.8805</v>
      </c>
      <c r="L1987" s="4">
        <f t="shared" si="2"/>
        <v>0.1281842872</v>
      </c>
    </row>
    <row r="1988">
      <c r="A1988" s="3" t="s">
        <v>137</v>
      </c>
      <c r="B1988" s="3">
        <v>6.92</v>
      </c>
      <c r="C1988" s="3">
        <v>2.01</v>
      </c>
      <c r="D1988" s="3">
        <v>33.0</v>
      </c>
      <c r="E1988" s="3">
        <v>3.64</v>
      </c>
      <c r="F1988" s="3">
        <v>15.45</v>
      </c>
      <c r="G1988" s="3">
        <v>76.28</v>
      </c>
      <c r="H1988" s="3">
        <v>0.0</v>
      </c>
      <c r="I1988" s="3">
        <v>69.15</v>
      </c>
      <c r="J1988" s="3">
        <v>0.0</v>
      </c>
      <c r="K1988" s="4">
        <f t="shared" si="1"/>
        <v>6057.3409</v>
      </c>
      <c r="L1988" s="4">
        <f t="shared" si="2"/>
        <v>0.1797818577</v>
      </c>
    </row>
    <row r="1989">
      <c r="A1989" s="3" t="s">
        <v>137</v>
      </c>
      <c r="B1989" s="3">
        <v>6.92</v>
      </c>
      <c r="C1989" s="3">
        <v>2.52</v>
      </c>
      <c r="D1989" s="3">
        <v>39.1</v>
      </c>
      <c r="E1989" s="3">
        <v>3.64</v>
      </c>
      <c r="F1989" s="3">
        <v>19.59</v>
      </c>
      <c r="G1989" s="3">
        <v>75.05</v>
      </c>
      <c r="H1989" s="3">
        <v>0.0</v>
      </c>
      <c r="I1989" s="3">
        <v>43.54</v>
      </c>
      <c r="J1989" s="3">
        <v>0.0</v>
      </c>
      <c r="K1989" s="4">
        <f t="shared" si="1"/>
        <v>6016.2706</v>
      </c>
      <c r="L1989" s="4">
        <f t="shared" si="2"/>
        <v>0.2541125727</v>
      </c>
    </row>
    <row r="1990">
      <c r="A1990" s="3" t="s">
        <v>137</v>
      </c>
      <c r="B1990" s="3">
        <v>6.92</v>
      </c>
      <c r="C1990" s="3">
        <v>3.02</v>
      </c>
      <c r="D1990" s="3">
        <v>43.8</v>
      </c>
      <c r="E1990" s="3">
        <v>3.64</v>
      </c>
      <c r="F1990" s="3">
        <v>23.74</v>
      </c>
      <c r="G1990" s="3">
        <v>73.51</v>
      </c>
      <c r="H1990" s="3">
        <v>0.0</v>
      </c>
      <c r="I1990" s="3">
        <v>23.55</v>
      </c>
      <c r="J1990" s="3">
        <v>0.0</v>
      </c>
      <c r="K1990" s="4">
        <f t="shared" si="1"/>
        <v>5967.3077</v>
      </c>
      <c r="L1990" s="4">
        <f t="shared" si="2"/>
        <v>0.3214917173</v>
      </c>
    </row>
    <row r="1991">
      <c r="A1991" s="3" t="s">
        <v>137</v>
      </c>
      <c r="B1991" s="3">
        <v>6.92</v>
      </c>
      <c r="C1991" s="3">
        <v>3.52</v>
      </c>
      <c r="D1991" s="3">
        <v>53.1</v>
      </c>
      <c r="E1991" s="3">
        <v>3.64</v>
      </c>
      <c r="F1991" s="3">
        <v>27.22</v>
      </c>
      <c r="G1991" s="3">
        <v>69.5</v>
      </c>
      <c r="H1991" s="3">
        <v>0.0</v>
      </c>
      <c r="I1991" s="3">
        <v>12.11</v>
      </c>
      <c r="J1991" s="3">
        <v>0.0</v>
      </c>
      <c r="K1991" s="4">
        <f t="shared" si="1"/>
        <v>5571.1784</v>
      </c>
      <c r="L1991" s="4">
        <f t="shared" si="2"/>
        <v>0.5061065716</v>
      </c>
    </row>
    <row r="1992">
      <c r="A1992" s="3" t="s">
        <v>137</v>
      </c>
      <c r="B1992" s="3">
        <v>6.92</v>
      </c>
      <c r="C1992" s="3">
        <v>4.03</v>
      </c>
      <c r="D1992" s="3">
        <v>61.0</v>
      </c>
      <c r="E1992" s="3">
        <v>3.64</v>
      </c>
      <c r="F1992" s="3">
        <v>29.76</v>
      </c>
      <c r="G1992" s="3">
        <v>65.25</v>
      </c>
      <c r="H1992" s="3">
        <v>0.0</v>
      </c>
      <c r="I1992" s="3">
        <v>7.01</v>
      </c>
      <c r="J1992" s="3">
        <v>0.0</v>
      </c>
      <c r="K1992" s="4">
        <f t="shared" si="1"/>
        <v>5143.2201</v>
      </c>
      <c r="L1992" s="4">
        <f t="shared" si="2"/>
        <v>0.7234767184</v>
      </c>
    </row>
    <row r="1993">
      <c r="A1993" s="3" t="s">
        <v>138</v>
      </c>
      <c r="B1993" s="3">
        <v>69.1</v>
      </c>
      <c r="C1993" s="3">
        <v>9.93</v>
      </c>
      <c r="D1993" s="3">
        <v>377.0</v>
      </c>
      <c r="E1993" s="3">
        <v>10.3</v>
      </c>
      <c r="F1993" s="3">
        <v>-13.26</v>
      </c>
      <c r="G1993" s="3">
        <v>255.96</v>
      </c>
      <c r="H1993" s="3">
        <v>207.88</v>
      </c>
      <c r="I1993" s="3">
        <v>296.2</v>
      </c>
      <c r="J1993" s="3">
        <v>20.38</v>
      </c>
      <c r="K1993" s="4">
        <f t="shared" si="1"/>
        <v>65691.3492</v>
      </c>
      <c r="L1993" s="4">
        <f t="shared" si="2"/>
        <v>2.163587774</v>
      </c>
    </row>
    <row r="1994">
      <c r="A1994" s="3" t="s">
        <v>138</v>
      </c>
      <c r="B1994" s="3">
        <v>69.1</v>
      </c>
      <c r="C1994" s="3">
        <v>10.05</v>
      </c>
      <c r="D1994" s="3">
        <v>377.0</v>
      </c>
      <c r="E1994" s="3">
        <v>19.7</v>
      </c>
      <c r="F1994" s="3">
        <v>-13.37</v>
      </c>
      <c r="G1994" s="3">
        <v>257.66</v>
      </c>
      <c r="H1994" s="3">
        <v>206.72</v>
      </c>
      <c r="I1994" s="3">
        <v>291.07</v>
      </c>
      <c r="J1994" s="3">
        <v>19.35</v>
      </c>
      <c r="K1994" s="4">
        <f t="shared" si="1"/>
        <v>66567.4325</v>
      </c>
      <c r="L1994" s="4">
        <f t="shared" si="2"/>
        <v>2.135113143</v>
      </c>
    </row>
    <row r="1995">
      <c r="A1995" s="3" t="s">
        <v>138</v>
      </c>
      <c r="B1995" s="3">
        <v>69.1</v>
      </c>
      <c r="C1995" s="3">
        <v>10.35</v>
      </c>
      <c r="D1995" s="3">
        <v>378.0</v>
      </c>
      <c r="E1995" s="3">
        <v>10.8</v>
      </c>
      <c r="F1995" s="3">
        <v>-13.47</v>
      </c>
      <c r="G1995" s="3">
        <v>261.62</v>
      </c>
      <c r="H1995" s="3">
        <v>204.38</v>
      </c>
      <c r="I1995" s="3">
        <v>276.87</v>
      </c>
      <c r="J1995" s="3">
        <v>17.03</v>
      </c>
      <c r="K1995" s="4">
        <f t="shared" si="1"/>
        <v>68626.4653</v>
      </c>
      <c r="L1995" s="4">
        <f t="shared" si="2"/>
        <v>2.082053904</v>
      </c>
    </row>
    <row r="1996">
      <c r="A1996" s="3" t="s">
        <v>138</v>
      </c>
      <c r="B1996" s="3">
        <v>69.1</v>
      </c>
      <c r="C1996" s="3">
        <v>15.07</v>
      </c>
      <c r="D1996" s="3">
        <v>367.0</v>
      </c>
      <c r="E1996" s="3">
        <v>10.7</v>
      </c>
      <c r="F1996" s="3">
        <v>-11.85</v>
      </c>
      <c r="G1996" s="3">
        <v>272.35</v>
      </c>
      <c r="H1996" s="3">
        <v>172.87</v>
      </c>
      <c r="I1996" s="3">
        <v>136.01</v>
      </c>
      <c r="J1996" s="3">
        <v>2.35</v>
      </c>
      <c r="K1996" s="4">
        <f t="shared" si="1"/>
        <v>74314.945</v>
      </c>
      <c r="L1996" s="4">
        <f t="shared" si="2"/>
        <v>1.812407989</v>
      </c>
    </row>
    <row r="1997">
      <c r="A1997" s="3" t="s">
        <v>138</v>
      </c>
      <c r="B1997" s="3">
        <v>69.1</v>
      </c>
      <c r="C1997" s="3">
        <v>20.09</v>
      </c>
      <c r="D1997" s="3">
        <v>364.0</v>
      </c>
      <c r="E1997" s="3">
        <v>6.67</v>
      </c>
      <c r="F1997" s="3">
        <v>13.97</v>
      </c>
      <c r="G1997" s="3">
        <v>269.96</v>
      </c>
      <c r="H1997" s="3">
        <v>151.39</v>
      </c>
      <c r="I1997" s="3">
        <v>75.01</v>
      </c>
      <c r="J1997" s="3">
        <v>0.29</v>
      </c>
      <c r="K1997" s="4">
        <f t="shared" si="1"/>
        <v>73073.5625</v>
      </c>
      <c r="L1997" s="4">
        <f t="shared" si="2"/>
        <v>1.813186541</v>
      </c>
    </row>
    <row r="1998">
      <c r="A1998" s="3" t="s">
        <v>138</v>
      </c>
      <c r="B1998" s="3">
        <v>69.1</v>
      </c>
      <c r="C1998" s="3">
        <v>25.12</v>
      </c>
      <c r="D1998" s="3">
        <v>375.0</v>
      </c>
      <c r="E1998" s="3">
        <v>6.19</v>
      </c>
      <c r="F1998" s="3">
        <v>27.34</v>
      </c>
      <c r="G1998" s="3">
        <v>262.34</v>
      </c>
      <c r="H1998" s="3">
        <v>134.72</v>
      </c>
      <c r="I1998" s="3">
        <v>44.66</v>
      </c>
      <c r="J1998" s="3">
        <v>0.03</v>
      </c>
      <c r="K1998" s="4">
        <f t="shared" si="1"/>
        <v>69569.7512</v>
      </c>
      <c r="L1998" s="4">
        <f t="shared" si="2"/>
        <v>2.021352636</v>
      </c>
    </row>
    <row r="1999">
      <c r="A1999" s="3" t="s">
        <v>138</v>
      </c>
      <c r="B1999" s="3">
        <v>69.1</v>
      </c>
      <c r="C1999" s="3">
        <v>30.14</v>
      </c>
      <c r="D1999" s="3">
        <v>383.0</v>
      </c>
      <c r="E1999" s="3">
        <v>3.82</v>
      </c>
      <c r="F1999" s="3">
        <v>34.12</v>
      </c>
      <c r="G1999" s="3">
        <v>253.37</v>
      </c>
      <c r="H1999" s="3">
        <v>123.32</v>
      </c>
      <c r="I1999" s="3">
        <v>22.26</v>
      </c>
      <c r="J1999" s="3">
        <v>0.0</v>
      </c>
      <c r="K1999" s="4">
        <f t="shared" si="1"/>
        <v>65360.5313</v>
      </c>
      <c r="L1999" s="4">
        <f t="shared" si="2"/>
        <v>2.244305502</v>
      </c>
    </row>
    <row r="2000">
      <c r="A2000" s="3" t="s">
        <v>138</v>
      </c>
      <c r="B2000" s="3">
        <v>69.1</v>
      </c>
      <c r="C2000" s="3">
        <v>35.17</v>
      </c>
      <c r="D2000" s="3">
        <v>378.0</v>
      </c>
      <c r="E2000" s="3">
        <v>2.21</v>
      </c>
      <c r="F2000" s="3">
        <v>36.15</v>
      </c>
      <c r="G2000" s="3">
        <v>235.34</v>
      </c>
      <c r="H2000" s="3">
        <v>114.11</v>
      </c>
      <c r="I2000" s="3">
        <v>10.73</v>
      </c>
      <c r="J2000" s="3">
        <v>0.0</v>
      </c>
      <c r="K2000" s="4">
        <f t="shared" si="1"/>
        <v>56691.7381</v>
      </c>
      <c r="L2000" s="4">
        <f t="shared" si="2"/>
        <v>2.520367249</v>
      </c>
    </row>
    <row r="2001">
      <c r="A2001" s="3" t="s">
        <v>138</v>
      </c>
      <c r="B2001" s="3">
        <v>69.1</v>
      </c>
      <c r="C2001" s="3">
        <v>40.19</v>
      </c>
      <c r="D2001" s="3">
        <v>364.0</v>
      </c>
      <c r="E2001" s="3">
        <v>4.0</v>
      </c>
      <c r="F2001" s="3">
        <v>36.15</v>
      </c>
      <c r="G2001" s="3">
        <v>219.18</v>
      </c>
      <c r="H2001" s="3">
        <v>106.71</v>
      </c>
      <c r="I2001" s="3">
        <v>6.11</v>
      </c>
      <c r="J2001" s="3">
        <v>0.0</v>
      </c>
      <c r="K2001" s="4">
        <f t="shared" si="1"/>
        <v>49346.6949</v>
      </c>
      <c r="L2001" s="4">
        <f t="shared" si="2"/>
        <v>2.685002517</v>
      </c>
    </row>
    <row r="2002">
      <c r="A2002" s="3" t="s">
        <v>138</v>
      </c>
      <c r="B2002" s="3">
        <v>69.1</v>
      </c>
      <c r="C2002" s="3">
        <v>45.21</v>
      </c>
      <c r="D2002" s="3">
        <v>349.0</v>
      </c>
      <c r="E2002" s="3">
        <v>3.0</v>
      </c>
      <c r="F2002" s="3">
        <v>35.84</v>
      </c>
      <c r="G2002" s="3">
        <v>206.41</v>
      </c>
      <c r="H2002" s="3">
        <v>100.63</v>
      </c>
      <c r="I2002" s="3">
        <v>3.48</v>
      </c>
      <c r="J2002" s="3">
        <v>0.0</v>
      </c>
      <c r="K2002" s="4">
        <f t="shared" si="1"/>
        <v>43889.5937</v>
      </c>
      <c r="L2002" s="4">
        <f t="shared" si="2"/>
        <v>2.775168092</v>
      </c>
    </row>
    <row r="2003">
      <c r="A2003" s="3" t="s">
        <v>138</v>
      </c>
      <c r="B2003" s="3">
        <v>69.1</v>
      </c>
      <c r="C2003" s="3">
        <v>50.24</v>
      </c>
      <c r="D2003" s="3">
        <v>338.0</v>
      </c>
      <c r="E2003" s="3">
        <v>3.08</v>
      </c>
      <c r="F2003" s="3">
        <v>37.87</v>
      </c>
      <c r="G2003" s="3">
        <v>194.11</v>
      </c>
      <c r="H2003" s="3">
        <v>95.47</v>
      </c>
      <c r="I2003" s="3">
        <v>1.63</v>
      </c>
      <c r="J2003" s="3">
        <v>0.0</v>
      </c>
      <c r="K2003" s="4">
        <f t="shared" si="1"/>
        <v>39112.829</v>
      </c>
      <c r="L2003" s="4">
        <f t="shared" si="2"/>
        <v>2.920883069</v>
      </c>
    </row>
    <row r="2004">
      <c r="A2004" s="3" t="s">
        <v>138</v>
      </c>
      <c r="B2004" s="3">
        <v>69.1</v>
      </c>
      <c r="C2004" s="3">
        <v>55.26</v>
      </c>
      <c r="D2004" s="3">
        <v>332.0</v>
      </c>
      <c r="E2004" s="3">
        <v>2.19</v>
      </c>
      <c r="F2004" s="3">
        <v>41.62</v>
      </c>
      <c r="G2004" s="3">
        <v>183.23</v>
      </c>
      <c r="H2004" s="3">
        <v>91.03</v>
      </c>
      <c r="I2004" s="3">
        <v>1.27</v>
      </c>
      <c r="J2004" s="3">
        <v>0.0</v>
      </c>
      <c r="K2004" s="4">
        <f t="shared" si="1"/>
        <v>35305.4573</v>
      </c>
      <c r="L2004" s="4">
        <f t="shared" si="2"/>
        <v>3.122010262</v>
      </c>
    </row>
    <row r="2005">
      <c r="A2005" s="3" t="s">
        <v>138</v>
      </c>
      <c r="B2005" s="3">
        <v>69.1</v>
      </c>
      <c r="C2005" s="3">
        <v>60.28</v>
      </c>
      <c r="D2005" s="3">
        <v>330.0</v>
      </c>
      <c r="E2005" s="3">
        <v>1.61</v>
      </c>
      <c r="F2005" s="3">
        <v>44.55</v>
      </c>
      <c r="G2005" s="3">
        <v>174.98</v>
      </c>
      <c r="H2005" s="3">
        <v>87.16</v>
      </c>
      <c r="I2005" s="3">
        <v>0.47</v>
      </c>
      <c r="J2005" s="3">
        <v>0.0</v>
      </c>
      <c r="K2005" s="4">
        <f t="shared" si="1"/>
        <v>32602.7029</v>
      </c>
      <c r="L2005" s="4">
        <f t="shared" si="2"/>
        <v>3.340213857</v>
      </c>
    </row>
    <row r="2006">
      <c r="A2006" s="3" t="s">
        <v>138</v>
      </c>
      <c r="B2006" s="3">
        <v>69.1</v>
      </c>
      <c r="C2006" s="3">
        <v>65.31</v>
      </c>
      <c r="D2006" s="3">
        <v>329.0</v>
      </c>
      <c r="E2006" s="3">
        <v>2.2</v>
      </c>
      <c r="F2006" s="3">
        <v>46.17</v>
      </c>
      <c r="G2006" s="3">
        <v>166.27</v>
      </c>
      <c r="H2006" s="3">
        <v>83.74</v>
      </c>
      <c r="I2006" s="3">
        <v>0.25</v>
      </c>
      <c r="J2006" s="3">
        <v>0.0</v>
      </c>
      <c r="K2006" s="4">
        <f t="shared" si="1"/>
        <v>29777.3818</v>
      </c>
      <c r="L2006" s="4">
        <f t="shared" si="2"/>
        <v>3.635007293</v>
      </c>
    </row>
    <row r="2007">
      <c r="A2007" s="3" t="s">
        <v>138</v>
      </c>
      <c r="B2007" s="3">
        <v>69.1</v>
      </c>
      <c r="C2007" s="3">
        <v>70.33</v>
      </c>
      <c r="D2007" s="3">
        <v>330.0</v>
      </c>
      <c r="E2007" s="3">
        <v>3.53</v>
      </c>
      <c r="F2007" s="3">
        <v>46.48</v>
      </c>
      <c r="G2007" s="3">
        <v>159.17</v>
      </c>
      <c r="H2007" s="3">
        <v>80.69</v>
      </c>
      <c r="I2007" s="3">
        <v>0.13</v>
      </c>
      <c r="J2007" s="3">
        <v>0.0</v>
      </c>
      <c r="K2007" s="4">
        <f t="shared" si="1"/>
        <v>27495.4793</v>
      </c>
      <c r="L2007" s="4">
        <f t="shared" si="2"/>
        <v>3.960651088</v>
      </c>
    </row>
    <row r="2008">
      <c r="A2008" s="3" t="s">
        <v>138</v>
      </c>
      <c r="B2008" s="3">
        <v>69.1</v>
      </c>
      <c r="C2008" s="3">
        <v>75.35</v>
      </c>
      <c r="D2008" s="3">
        <v>332.0</v>
      </c>
      <c r="E2008" s="3">
        <v>13.4</v>
      </c>
      <c r="F2008" s="3">
        <v>44.86</v>
      </c>
      <c r="G2008" s="3">
        <v>152.96</v>
      </c>
      <c r="H2008" s="3">
        <v>77.96</v>
      </c>
      <c r="I2008" s="3">
        <v>0.07</v>
      </c>
      <c r="J2008" s="3">
        <v>0.0</v>
      </c>
      <c r="K2008" s="4">
        <f t="shared" si="1"/>
        <v>25409.1812</v>
      </c>
      <c r="L2008" s="4">
        <f t="shared" si="2"/>
        <v>4.33795954</v>
      </c>
    </row>
    <row r="2009">
      <c r="A2009" s="3" t="s">
        <v>138</v>
      </c>
      <c r="B2009" s="3">
        <v>69.1</v>
      </c>
      <c r="C2009" s="3">
        <v>80.38</v>
      </c>
      <c r="D2009" s="3">
        <v>333.0</v>
      </c>
      <c r="E2009" s="3">
        <v>15.3</v>
      </c>
      <c r="F2009" s="3">
        <v>42.32</v>
      </c>
      <c r="G2009" s="3">
        <v>147.51</v>
      </c>
      <c r="H2009" s="3">
        <v>75.48</v>
      </c>
      <c r="I2009" s="3">
        <v>0.0</v>
      </c>
      <c r="J2009" s="3">
        <v>0.0</v>
      </c>
      <c r="K2009" s="4">
        <f t="shared" si="1"/>
        <v>23550.1825</v>
      </c>
      <c r="L2009" s="4">
        <f t="shared" si="2"/>
        <v>4.708625931</v>
      </c>
    </row>
    <row r="2010">
      <c r="A2010" s="3" t="s">
        <v>139</v>
      </c>
      <c r="B2010" s="3">
        <v>80.6</v>
      </c>
      <c r="C2010" s="3">
        <v>1.7</v>
      </c>
      <c r="D2010" s="3">
        <v>305.0</v>
      </c>
      <c r="E2010" s="3">
        <v>10.0</v>
      </c>
      <c r="F2010" s="3">
        <v>0.0</v>
      </c>
      <c r="G2010" s="3">
        <v>92.31</v>
      </c>
      <c r="H2010" s="3">
        <v>265.84</v>
      </c>
      <c r="I2010" s="3">
        <v>879.93</v>
      </c>
      <c r="J2010" s="3">
        <v>1173.44</v>
      </c>
      <c r="K2010" s="4">
        <f t="shared" si="1"/>
        <v>8521.1361</v>
      </c>
      <c r="L2010" s="4">
        <f t="shared" si="2"/>
        <v>10.91697151</v>
      </c>
    </row>
    <row r="2011">
      <c r="A2011" s="3" t="s">
        <v>139</v>
      </c>
      <c r="B2011" s="3">
        <v>80.6</v>
      </c>
      <c r="C2011" s="3">
        <v>3.41</v>
      </c>
      <c r="D2011" s="3">
        <v>257.0</v>
      </c>
      <c r="E2011" s="3">
        <v>10.0</v>
      </c>
      <c r="F2011" s="3">
        <v>0.0</v>
      </c>
      <c r="G2011" s="3">
        <v>152.76</v>
      </c>
      <c r="H2011" s="3">
        <v>236.42</v>
      </c>
      <c r="I2011" s="3">
        <v>657.78</v>
      </c>
      <c r="J2011" s="3">
        <v>159.82</v>
      </c>
      <c r="K2011" s="4">
        <f t="shared" si="1"/>
        <v>23335.6176</v>
      </c>
      <c r="L2011" s="4">
        <f t="shared" si="2"/>
        <v>2.830394341</v>
      </c>
    </row>
    <row r="2012">
      <c r="A2012" s="3" t="s">
        <v>139</v>
      </c>
      <c r="B2012" s="3">
        <v>80.6</v>
      </c>
      <c r="C2012" s="3">
        <v>6.82</v>
      </c>
      <c r="D2012" s="3">
        <v>256.0</v>
      </c>
      <c r="E2012" s="3">
        <v>10.0</v>
      </c>
      <c r="F2012" s="3">
        <v>0.0</v>
      </c>
      <c r="G2012" s="3">
        <v>220.93</v>
      </c>
      <c r="H2012" s="3">
        <v>175.44</v>
      </c>
      <c r="I2012" s="3">
        <v>363.12</v>
      </c>
      <c r="J2012" s="3">
        <v>0.01</v>
      </c>
      <c r="K2012" s="4">
        <f t="shared" si="1"/>
        <v>48810.0649</v>
      </c>
      <c r="L2012" s="4">
        <f t="shared" si="2"/>
        <v>1.342673896</v>
      </c>
    </row>
    <row r="2013">
      <c r="A2013" s="3" t="s">
        <v>139</v>
      </c>
      <c r="B2013" s="3">
        <v>80.6</v>
      </c>
      <c r="C2013" s="3">
        <v>13.67</v>
      </c>
      <c r="D2013" s="3">
        <v>271.0</v>
      </c>
      <c r="E2013" s="3">
        <v>10.0</v>
      </c>
      <c r="F2013" s="3">
        <v>0.0</v>
      </c>
      <c r="G2013" s="3">
        <v>244.9</v>
      </c>
      <c r="H2013" s="3">
        <v>123.9</v>
      </c>
      <c r="I2013" s="3">
        <v>125.25</v>
      </c>
      <c r="J2013" s="3">
        <v>0.0</v>
      </c>
      <c r="K2013" s="4">
        <f t="shared" si="1"/>
        <v>59976.01</v>
      </c>
      <c r="L2013" s="4">
        <f t="shared" si="2"/>
        <v>1.224506265</v>
      </c>
    </row>
    <row r="2014">
      <c r="A2014" s="3" t="s">
        <v>139</v>
      </c>
      <c r="B2014" s="3">
        <v>80.6</v>
      </c>
      <c r="C2014" s="3">
        <v>19.49</v>
      </c>
      <c r="D2014" s="3">
        <v>282.0</v>
      </c>
      <c r="E2014" s="3">
        <v>10.0</v>
      </c>
      <c r="F2014" s="3">
        <v>0.0</v>
      </c>
      <c r="G2014" s="3">
        <v>240.52</v>
      </c>
      <c r="H2014" s="3">
        <v>103.77</v>
      </c>
      <c r="I2014" s="3">
        <v>61.48</v>
      </c>
      <c r="J2014" s="3">
        <v>0.0</v>
      </c>
      <c r="K2014" s="4">
        <f t="shared" si="1"/>
        <v>57849.8704</v>
      </c>
      <c r="L2014" s="4">
        <f t="shared" si="2"/>
        <v>1.374661679</v>
      </c>
    </row>
    <row r="2015">
      <c r="A2015" s="3" t="s">
        <v>139</v>
      </c>
      <c r="B2015" s="3">
        <v>80.6</v>
      </c>
      <c r="C2015" s="3">
        <v>23.36</v>
      </c>
      <c r="D2015" s="3">
        <v>287.0</v>
      </c>
      <c r="E2015" s="3">
        <v>10.0</v>
      </c>
      <c r="F2015" s="3">
        <v>28.79</v>
      </c>
      <c r="G2015" s="3">
        <v>238.85</v>
      </c>
      <c r="H2015" s="3">
        <v>94.78</v>
      </c>
      <c r="I2015" s="3">
        <v>47.36</v>
      </c>
      <c r="J2015" s="3">
        <v>0.0</v>
      </c>
      <c r="K2015" s="4">
        <f t="shared" si="1"/>
        <v>57878.1866</v>
      </c>
      <c r="L2015" s="4">
        <f t="shared" si="2"/>
        <v>1.423144104</v>
      </c>
    </row>
    <row r="2016">
      <c r="A2016" s="3" t="s">
        <v>139</v>
      </c>
      <c r="B2016" s="3">
        <v>80.6</v>
      </c>
      <c r="C2016" s="3">
        <v>27.24</v>
      </c>
      <c r="D2016" s="3">
        <v>283.0</v>
      </c>
      <c r="E2016" s="3">
        <v>10.0</v>
      </c>
      <c r="F2016" s="3">
        <v>40.2</v>
      </c>
      <c r="G2016" s="3">
        <v>232.97</v>
      </c>
      <c r="H2016" s="3">
        <v>87.77</v>
      </c>
      <c r="I2016" s="3">
        <v>30.75</v>
      </c>
      <c r="J2016" s="3">
        <v>0.0</v>
      </c>
      <c r="K2016" s="4">
        <f t="shared" si="1"/>
        <v>55891.0609</v>
      </c>
      <c r="L2016" s="4">
        <f t="shared" si="2"/>
        <v>1.432948287</v>
      </c>
    </row>
    <row r="2017">
      <c r="A2017" s="3" t="s">
        <v>139</v>
      </c>
      <c r="B2017" s="3">
        <v>80.6</v>
      </c>
      <c r="C2017" s="3">
        <v>31.22</v>
      </c>
      <c r="D2017" s="3">
        <v>280.0</v>
      </c>
      <c r="E2017" s="3">
        <v>10.0</v>
      </c>
      <c r="F2017" s="3">
        <v>45.05</v>
      </c>
      <c r="G2017" s="3">
        <v>223.71</v>
      </c>
      <c r="H2017" s="3">
        <v>81.99</v>
      </c>
      <c r="I2017" s="3">
        <v>18.49</v>
      </c>
      <c r="J2017" s="3">
        <v>0.0</v>
      </c>
      <c r="K2017" s="4">
        <f t="shared" si="1"/>
        <v>52075.6666</v>
      </c>
      <c r="L2017" s="4">
        <f t="shared" si="2"/>
        <v>1.505501612</v>
      </c>
    </row>
    <row r="2018">
      <c r="A2018" s="3" t="s">
        <v>139</v>
      </c>
      <c r="B2018" s="3">
        <v>80.6</v>
      </c>
      <c r="C2018" s="3">
        <v>35.1</v>
      </c>
      <c r="D2018" s="3">
        <v>280.0</v>
      </c>
      <c r="E2018" s="3">
        <v>10.0</v>
      </c>
      <c r="F2018" s="3">
        <v>50.3</v>
      </c>
      <c r="G2018" s="3">
        <v>214.74</v>
      </c>
      <c r="H2018" s="3">
        <v>77.32</v>
      </c>
      <c r="I2018" s="3">
        <v>13.99</v>
      </c>
      <c r="J2018" s="3">
        <v>0.0</v>
      </c>
      <c r="K2018" s="4">
        <f t="shared" si="1"/>
        <v>48643.3576</v>
      </c>
      <c r="L2018" s="4">
        <f t="shared" si="2"/>
        <v>1.611730848</v>
      </c>
    </row>
    <row r="2019">
      <c r="A2019" s="3" t="s">
        <v>139</v>
      </c>
      <c r="B2019" s="3">
        <v>80.6</v>
      </c>
      <c r="C2019" s="3">
        <v>38.97</v>
      </c>
      <c r="D2019" s="3">
        <v>281.0</v>
      </c>
      <c r="E2019" s="3">
        <v>10.0</v>
      </c>
      <c r="F2019" s="3">
        <v>59.7</v>
      </c>
      <c r="G2019" s="3">
        <v>206.96</v>
      </c>
      <c r="H2019" s="3">
        <v>73.38</v>
      </c>
      <c r="I2019" s="3">
        <v>9.86</v>
      </c>
      <c r="J2019" s="3">
        <v>0.0</v>
      </c>
      <c r="K2019" s="4">
        <f t="shared" si="1"/>
        <v>46396.5316</v>
      </c>
      <c r="L2019" s="4">
        <f t="shared" si="2"/>
        <v>1.701872905</v>
      </c>
    </row>
    <row r="2020">
      <c r="A2020" s="3" t="s">
        <v>139</v>
      </c>
      <c r="B2020" s="3">
        <v>80.6</v>
      </c>
      <c r="C2020" s="3">
        <v>42.85</v>
      </c>
      <c r="D2020" s="3">
        <v>282.0</v>
      </c>
      <c r="E2020" s="3">
        <v>10.0</v>
      </c>
      <c r="F2020" s="3">
        <v>67.17</v>
      </c>
      <c r="G2020" s="3">
        <v>198.69</v>
      </c>
      <c r="H2020" s="3">
        <v>69.98</v>
      </c>
      <c r="I2020" s="3">
        <v>6.64</v>
      </c>
      <c r="J2020" s="3">
        <v>0.0</v>
      </c>
      <c r="K2020" s="4">
        <f t="shared" si="1"/>
        <v>43989.525</v>
      </c>
      <c r="L2020" s="4">
        <f t="shared" si="2"/>
        <v>1.807794015</v>
      </c>
    </row>
    <row r="2021">
      <c r="A2021" s="3" t="s">
        <v>139</v>
      </c>
      <c r="B2021" s="3">
        <v>80.6</v>
      </c>
      <c r="C2021" s="3">
        <v>46.73</v>
      </c>
      <c r="D2021" s="3">
        <v>287.0</v>
      </c>
      <c r="E2021" s="3">
        <v>10.0</v>
      </c>
      <c r="F2021" s="3">
        <v>65.05</v>
      </c>
      <c r="G2021" s="3">
        <v>189.07</v>
      </c>
      <c r="H2021" s="3">
        <v>67.02</v>
      </c>
      <c r="I2021" s="3">
        <v>5.23</v>
      </c>
      <c r="J2021" s="3">
        <v>0.0</v>
      </c>
      <c r="K2021" s="4">
        <f t="shared" si="1"/>
        <v>39978.9674</v>
      </c>
      <c r="L2021" s="4">
        <f t="shared" si="2"/>
        <v>2.060308341</v>
      </c>
    </row>
    <row r="2022">
      <c r="A2022" s="3" t="s">
        <v>139</v>
      </c>
      <c r="B2022" s="3">
        <v>80.6</v>
      </c>
      <c r="C2022" s="3">
        <v>50.71</v>
      </c>
      <c r="D2022" s="3">
        <v>292.0</v>
      </c>
      <c r="E2022" s="3">
        <v>10.0</v>
      </c>
      <c r="F2022" s="3">
        <v>71.21</v>
      </c>
      <c r="G2022" s="3">
        <v>184.25</v>
      </c>
      <c r="H2022" s="3">
        <v>64.33</v>
      </c>
      <c r="I2022" s="3">
        <v>4.79</v>
      </c>
      <c r="J2022" s="3">
        <v>0.0</v>
      </c>
      <c r="K2022" s="4">
        <f t="shared" si="1"/>
        <v>39018.9266</v>
      </c>
      <c r="L2022" s="4">
        <f t="shared" si="2"/>
        <v>2.18519594</v>
      </c>
    </row>
    <row r="2023">
      <c r="A2023" s="3" t="s">
        <v>139</v>
      </c>
      <c r="B2023" s="3">
        <v>80.6</v>
      </c>
      <c r="C2023" s="3">
        <v>54.58</v>
      </c>
      <c r="D2023" s="3">
        <v>298.0</v>
      </c>
      <c r="E2023" s="3">
        <v>10.0</v>
      </c>
      <c r="F2023" s="3">
        <v>79.19</v>
      </c>
      <c r="G2023" s="3">
        <v>180.41</v>
      </c>
      <c r="H2023" s="3">
        <v>62.01</v>
      </c>
      <c r="I2023" s="3">
        <v>3.46</v>
      </c>
      <c r="J2023" s="3">
        <v>0.0</v>
      </c>
      <c r="K2023" s="4">
        <f t="shared" si="1"/>
        <v>38818.8242</v>
      </c>
      <c r="L2023" s="4">
        <f t="shared" si="2"/>
        <v>2.287653009</v>
      </c>
    </row>
    <row r="2024">
      <c r="A2024" s="3" t="s">
        <v>139</v>
      </c>
      <c r="B2024" s="3">
        <v>80.6</v>
      </c>
      <c r="C2024" s="3">
        <v>58.46</v>
      </c>
      <c r="D2024" s="3">
        <v>298.0</v>
      </c>
      <c r="E2024" s="3">
        <v>10.0</v>
      </c>
      <c r="F2024" s="3">
        <v>83.33</v>
      </c>
      <c r="G2024" s="3">
        <v>174.83</v>
      </c>
      <c r="H2024" s="3">
        <v>59.92</v>
      </c>
      <c r="I2024" s="3">
        <v>1.94</v>
      </c>
      <c r="J2024" s="3">
        <v>0.0</v>
      </c>
      <c r="K2024" s="4">
        <f t="shared" si="1"/>
        <v>37509.4178</v>
      </c>
      <c r="L2024" s="4">
        <f t="shared" si="2"/>
        <v>2.367512087</v>
      </c>
    </row>
    <row r="2025">
      <c r="A2025" s="3" t="s">
        <v>139</v>
      </c>
      <c r="B2025" s="3">
        <v>80.6</v>
      </c>
      <c r="C2025" s="3">
        <v>62.34</v>
      </c>
      <c r="D2025" s="3">
        <v>298.0</v>
      </c>
      <c r="E2025" s="3">
        <v>10.0</v>
      </c>
      <c r="F2025" s="3">
        <v>83.33</v>
      </c>
      <c r="G2025" s="3">
        <v>168.07</v>
      </c>
      <c r="H2025" s="3">
        <v>58.02</v>
      </c>
      <c r="I2025" s="3">
        <v>1.38</v>
      </c>
      <c r="J2025" s="3">
        <v>0.0</v>
      </c>
      <c r="K2025" s="4">
        <f t="shared" si="1"/>
        <v>35191.4138</v>
      </c>
      <c r="L2025" s="4">
        <f t="shared" si="2"/>
        <v>2.523456446</v>
      </c>
    </row>
    <row r="2026">
      <c r="A2026" s="3" t="s">
        <v>139</v>
      </c>
      <c r="B2026" s="3">
        <v>80.6</v>
      </c>
      <c r="C2026" s="3">
        <v>66.21</v>
      </c>
      <c r="D2026" s="3">
        <v>298.0</v>
      </c>
      <c r="E2026" s="3">
        <v>10.0</v>
      </c>
      <c r="F2026" s="3">
        <v>82.83</v>
      </c>
      <c r="G2026" s="3">
        <v>162.78</v>
      </c>
      <c r="H2026" s="3">
        <v>56.3</v>
      </c>
      <c r="I2026" s="3">
        <v>1.0</v>
      </c>
      <c r="J2026" s="3">
        <v>0.0</v>
      </c>
      <c r="K2026" s="4">
        <f t="shared" si="1"/>
        <v>33358.1373</v>
      </c>
      <c r="L2026" s="4">
        <f t="shared" si="2"/>
        <v>2.662139052</v>
      </c>
    </row>
    <row r="2027">
      <c r="A2027" s="3" t="s">
        <v>139</v>
      </c>
      <c r="B2027" s="3">
        <v>80.6</v>
      </c>
      <c r="C2027" s="3">
        <v>70.19</v>
      </c>
      <c r="D2027" s="3">
        <v>298.0</v>
      </c>
      <c r="E2027" s="3">
        <v>10.0</v>
      </c>
      <c r="F2027" s="3">
        <v>85.86</v>
      </c>
      <c r="G2027" s="3">
        <v>158.17</v>
      </c>
      <c r="H2027" s="3">
        <v>54.68</v>
      </c>
      <c r="I2027" s="3">
        <v>0.71</v>
      </c>
      <c r="J2027" s="3">
        <v>0.0</v>
      </c>
      <c r="K2027" s="4">
        <f t="shared" si="1"/>
        <v>32389.6885</v>
      </c>
      <c r="L2027" s="4">
        <f t="shared" si="2"/>
        <v>2.741736772</v>
      </c>
    </row>
    <row r="2028">
      <c r="A2028" s="3" t="s">
        <v>139</v>
      </c>
      <c r="B2028" s="3">
        <v>80.6</v>
      </c>
      <c r="C2028" s="3">
        <v>74.07</v>
      </c>
      <c r="D2028" s="3">
        <v>298.0</v>
      </c>
      <c r="E2028" s="3">
        <v>10.0</v>
      </c>
      <c r="F2028" s="3">
        <v>86.26</v>
      </c>
      <c r="G2028" s="3">
        <v>152.97</v>
      </c>
      <c r="H2028" s="3">
        <v>53.23</v>
      </c>
      <c r="I2028" s="3">
        <v>0.0</v>
      </c>
      <c r="J2028" s="3">
        <v>0.0</v>
      </c>
      <c r="K2028" s="4">
        <f t="shared" si="1"/>
        <v>30840.6085</v>
      </c>
      <c r="L2028" s="4">
        <f t="shared" si="2"/>
        <v>2.87945032</v>
      </c>
    </row>
    <row r="2029">
      <c r="A2029" s="3" t="s">
        <v>140</v>
      </c>
      <c r="B2029" s="3">
        <v>65.4</v>
      </c>
      <c r="C2029" s="3">
        <v>0.37</v>
      </c>
      <c r="D2029" s="3">
        <v>183.0</v>
      </c>
      <c r="E2029" s="3">
        <v>47.6</v>
      </c>
      <c r="F2029" s="3">
        <v>-2.62</v>
      </c>
      <c r="G2029" s="3">
        <v>11.2</v>
      </c>
      <c r="H2029" s="3">
        <v>123.59</v>
      </c>
      <c r="I2029" s="3">
        <v>213.07</v>
      </c>
      <c r="J2029" s="3">
        <v>8848.49</v>
      </c>
      <c r="K2029" s="4">
        <f t="shared" si="1"/>
        <v>132.3044</v>
      </c>
      <c r="L2029" s="4">
        <f t="shared" si="2"/>
        <v>253.1208335</v>
      </c>
    </row>
    <row r="2030">
      <c r="A2030" s="3" t="s">
        <v>140</v>
      </c>
      <c r="B2030" s="3">
        <v>65.4</v>
      </c>
      <c r="C2030" s="3">
        <v>0.74</v>
      </c>
      <c r="D2030" s="3">
        <v>196.0</v>
      </c>
      <c r="E2030" s="3">
        <v>40.7</v>
      </c>
      <c r="F2030" s="3">
        <v>-3.79</v>
      </c>
      <c r="G2030" s="3">
        <v>21.14</v>
      </c>
      <c r="H2030" s="3">
        <v>191.42</v>
      </c>
      <c r="I2030" s="3">
        <v>200.63</v>
      </c>
      <c r="J2030" s="3">
        <v>5187.42</v>
      </c>
      <c r="K2030" s="4">
        <f t="shared" si="1"/>
        <v>461.2637</v>
      </c>
      <c r="L2030" s="4">
        <f t="shared" si="2"/>
        <v>83.28424717</v>
      </c>
    </row>
    <row r="2031">
      <c r="A2031" s="3" t="s">
        <v>140</v>
      </c>
      <c r="B2031" s="3">
        <v>65.4</v>
      </c>
      <c r="C2031" s="3">
        <v>1.11</v>
      </c>
      <c r="D2031" s="3">
        <v>205.0</v>
      </c>
      <c r="E2031" s="3">
        <v>14.1</v>
      </c>
      <c r="F2031" s="3">
        <v>-4.87</v>
      </c>
      <c r="G2031" s="3">
        <v>30.05</v>
      </c>
      <c r="H2031" s="3">
        <v>218.87</v>
      </c>
      <c r="I2031" s="3">
        <v>188.92</v>
      </c>
      <c r="J2031" s="3">
        <v>3807.55</v>
      </c>
      <c r="K2031" s="4">
        <f t="shared" si="1"/>
        <v>926.7194</v>
      </c>
      <c r="L2031" s="4">
        <f t="shared" si="2"/>
        <v>45.34813882</v>
      </c>
    </row>
    <row r="2032">
      <c r="A2032" s="3" t="s">
        <v>140</v>
      </c>
      <c r="B2032" s="3">
        <v>65.4</v>
      </c>
      <c r="C2032" s="3">
        <v>1.48</v>
      </c>
      <c r="D2032" s="3">
        <v>211.0</v>
      </c>
      <c r="E2032" s="3">
        <v>7.89</v>
      </c>
      <c r="F2032" s="3">
        <v>-5.72</v>
      </c>
      <c r="G2032" s="3">
        <v>38.06</v>
      </c>
      <c r="H2032" s="3">
        <v>240.05</v>
      </c>
      <c r="I2032" s="3">
        <v>177.89</v>
      </c>
      <c r="J2032" s="3">
        <v>2861.06</v>
      </c>
      <c r="K2032" s="4">
        <f t="shared" si="1"/>
        <v>1481.282</v>
      </c>
      <c r="L2032" s="4">
        <f t="shared" si="2"/>
        <v>30.055722</v>
      </c>
    </row>
    <row r="2033">
      <c r="A2033" s="3" t="s">
        <v>140</v>
      </c>
      <c r="B2033" s="3">
        <v>65.4</v>
      </c>
      <c r="C2033" s="3">
        <v>1.84</v>
      </c>
      <c r="D2033" s="3">
        <v>214.0</v>
      </c>
      <c r="E2033" s="3">
        <v>1.48</v>
      </c>
      <c r="F2033" s="3">
        <v>-6.31</v>
      </c>
      <c r="G2033" s="3">
        <v>45.23</v>
      </c>
      <c r="H2033" s="3">
        <v>258.74</v>
      </c>
      <c r="I2033" s="3">
        <v>167.77</v>
      </c>
      <c r="J2033" s="3">
        <v>2139.16</v>
      </c>
      <c r="K2033" s="4">
        <f t="shared" si="1"/>
        <v>2085.569</v>
      </c>
      <c r="L2033" s="4">
        <f t="shared" si="2"/>
        <v>21.95851588</v>
      </c>
    </row>
    <row r="2034">
      <c r="A2034" s="3" t="s">
        <v>140</v>
      </c>
      <c r="B2034" s="3">
        <v>65.4</v>
      </c>
      <c r="C2034" s="3">
        <v>2.21</v>
      </c>
      <c r="D2034" s="3">
        <v>214.0</v>
      </c>
      <c r="E2034" s="3">
        <v>1.5</v>
      </c>
      <c r="F2034" s="3">
        <v>-6.65</v>
      </c>
      <c r="G2034" s="3">
        <v>51.92</v>
      </c>
      <c r="H2034" s="3">
        <v>273.65</v>
      </c>
      <c r="I2034" s="3">
        <v>157.98</v>
      </c>
      <c r="J2034" s="3">
        <v>1447.96</v>
      </c>
      <c r="K2034" s="4">
        <f t="shared" si="1"/>
        <v>2739.9089</v>
      </c>
      <c r="L2034" s="4">
        <f t="shared" si="2"/>
        <v>16.71442434</v>
      </c>
    </row>
    <row r="2035">
      <c r="A2035" s="3" t="s">
        <v>140</v>
      </c>
      <c r="B2035" s="3">
        <v>65.4</v>
      </c>
      <c r="C2035" s="3">
        <v>2.6</v>
      </c>
      <c r="D2035" s="3">
        <v>213.0</v>
      </c>
      <c r="E2035" s="3">
        <v>2.64</v>
      </c>
      <c r="F2035" s="3">
        <v>-6.69</v>
      </c>
      <c r="G2035" s="3">
        <v>58.41</v>
      </c>
      <c r="H2035" s="3">
        <v>280.2</v>
      </c>
      <c r="I2035" s="3">
        <v>148.27</v>
      </c>
      <c r="J2035" s="3">
        <v>808.78</v>
      </c>
      <c r="K2035" s="4">
        <f t="shared" si="1"/>
        <v>3456.4842</v>
      </c>
      <c r="L2035" s="4">
        <f t="shared" si="2"/>
        <v>13.12576519</v>
      </c>
    </row>
    <row r="2036">
      <c r="A2036" s="3" t="s">
        <v>140</v>
      </c>
      <c r="B2036" s="3">
        <v>65.4</v>
      </c>
      <c r="C2036" s="3">
        <v>2.96</v>
      </c>
      <c r="D2036" s="3">
        <v>211.0</v>
      </c>
      <c r="E2036" s="3">
        <v>4.5</v>
      </c>
      <c r="F2036" s="3">
        <v>-6.41</v>
      </c>
      <c r="G2036" s="3">
        <v>63.99</v>
      </c>
      <c r="H2036" s="3">
        <v>275.3</v>
      </c>
      <c r="I2036" s="3">
        <v>139.85</v>
      </c>
      <c r="J2036" s="3">
        <v>573.6</v>
      </c>
      <c r="K2036" s="4">
        <f t="shared" si="1"/>
        <v>4135.8082</v>
      </c>
      <c r="L2036" s="4">
        <f t="shared" si="2"/>
        <v>10.76476419</v>
      </c>
    </row>
    <row r="2037">
      <c r="A2037" s="3" t="s">
        <v>140</v>
      </c>
      <c r="B2037" s="3">
        <v>65.4</v>
      </c>
      <c r="C2037" s="3">
        <v>3.17</v>
      </c>
      <c r="D2037" s="3">
        <v>210.0</v>
      </c>
      <c r="E2037" s="3">
        <v>8.68</v>
      </c>
      <c r="F2037" s="3">
        <v>-6.08</v>
      </c>
      <c r="G2037" s="3">
        <v>66.97</v>
      </c>
      <c r="H2037" s="3">
        <v>274.94</v>
      </c>
      <c r="I2037" s="3">
        <v>135.15</v>
      </c>
      <c r="J2037" s="3">
        <v>462.34</v>
      </c>
      <c r="K2037" s="4">
        <f t="shared" si="1"/>
        <v>4521.9473</v>
      </c>
      <c r="L2037" s="4">
        <f t="shared" si="2"/>
        <v>9.752435638</v>
      </c>
    </row>
    <row r="2038">
      <c r="A2038" s="3" t="s">
        <v>140</v>
      </c>
      <c r="B2038" s="3">
        <v>65.4</v>
      </c>
      <c r="C2038" s="3">
        <v>3.33</v>
      </c>
      <c r="D2038" s="3">
        <v>209.0</v>
      </c>
      <c r="E2038" s="3">
        <v>3.0</v>
      </c>
      <c r="F2038" s="3">
        <v>-5.72</v>
      </c>
      <c r="G2038" s="3">
        <v>69.15</v>
      </c>
      <c r="H2038" s="3">
        <v>273.2</v>
      </c>
      <c r="I2038" s="3">
        <v>131.68</v>
      </c>
      <c r="J2038" s="3">
        <v>390.24</v>
      </c>
      <c r="K2038" s="4">
        <f t="shared" si="1"/>
        <v>4814.4409</v>
      </c>
      <c r="L2038" s="4">
        <f t="shared" si="2"/>
        <v>9.072912288</v>
      </c>
    </row>
    <row r="2039">
      <c r="A2039" s="3" t="s">
        <v>140</v>
      </c>
      <c r="B2039" s="3">
        <v>65.4</v>
      </c>
      <c r="C2039" s="3">
        <v>3.7</v>
      </c>
      <c r="D2039" s="3">
        <v>207.0</v>
      </c>
      <c r="E2039" s="3">
        <v>1.6</v>
      </c>
      <c r="F2039" s="3">
        <v>-4.34</v>
      </c>
      <c r="G2039" s="3">
        <v>74.09</v>
      </c>
      <c r="H2039" s="3">
        <v>268.56</v>
      </c>
      <c r="I2039" s="3">
        <v>123.99</v>
      </c>
      <c r="J2039" s="3">
        <v>254.51</v>
      </c>
      <c r="K2039" s="4">
        <f t="shared" si="1"/>
        <v>5508.1637</v>
      </c>
      <c r="L2039" s="4">
        <f t="shared" si="2"/>
        <v>7.779180564</v>
      </c>
    </row>
    <row r="2040">
      <c r="A2040" s="3" t="s">
        <v>140</v>
      </c>
      <c r="B2040" s="3">
        <v>65.4</v>
      </c>
      <c r="C2040" s="3">
        <v>4.07</v>
      </c>
      <c r="D2040" s="3">
        <v>206.0</v>
      </c>
      <c r="E2040" s="3">
        <v>1.73</v>
      </c>
      <c r="F2040" s="3">
        <v>0.84</v>
      </c>
      <c r="G2040" s="3">
        <v>78.64</v>
      </c>
      <c r="H2040" s="3">
        <v>262.81</v>
      </c>
      <c r="I2040" s="3">
        <v>116.75</v>
      </c>
      <c r="J2040" s="3">
        <v>150.84</v>
      </c>
      <c r="K2040" s="4">
        <f t="shared" si="1"/>
        <v>6184.9552</v>
      </c>
      <c r="L2040" s="4">
        <f t="shared" si="2"/>
        <v>6.8611653</v>
      </c>
    </row>
    <row r="2041">
      <c r="A2041" s="3" t="s">
        <v>140</v>
      </c>
      <c r="B2041" s="3">
        <v>65.4</v>
      </c>
      <c r="C2041" s="3">
        <v>4.44</v>
      </c>
      <c r="D2041" s="3">
        <v>205.0</v>
      </c>
      <c r="E2041" s="3">
        <v>3.45</v>
      </c>
      <c r="F2041" s="3">
        <v>5.14</v>
      </c>
      <c r="G2041" s="3">
        <v>83.02</v>
      </c>
      <c r="H2041" s="3">
        <v>255.92</v>
      </c>
      <c r="I2041" s="3">
        <v>109.94</v>
      </c>
      <c r="J2041" s="3">
        <v>84.07</v>
      </c>
      <c r="K2041" s="4">
        <f t="shared" si="1"/>
        <v>6918.74</v>
      </c>
      <c r="L2041" s="4">
        <f t="shared" si="2"/>
        <v>6.074082853</v>
      </c>
    </row>
    <row r="2042">
      <c r="A2042" s="3" t="s">
        <v>140</v>
      </c>
      <c r="B2042" s="3">
        <v>65.4</v>
      </c>
      <c r="C2042" s="3">
        <v>4.81</v>
      </c>
      <c r="D2042" s="3">
        <v>205.0</v>
      </c>
      <c r="E2042" s="3">
        <v>2.77</v>
      </c>
      <c r="F2042" s="3">
        <v>7.67</v>
      </c>
      <c r="G2042" s="3">
        <v>87.31</v>
      </c>
      <c r="H2042" s="3">
        <v>248.41</v>
      </c>
      <c r="I2042" s="3">
        <v>103.48</v>
      </c>
      <c r="J2042" s="3">
        <v>50.43</v>
      </c>
      <c r="K2042" s="4">
        <f t="shared" si="1"/>
        <v>7681.865</v>
      </c>
      <c r="L2042" s="4">
        <f t="shared" si="2"/>
        <v>5.470676717</v>
      </c>
    </row>
    <row r="2043">
      <c r="A2043" s="3" t="s">
        <v>140</v>
      </c>
      <c r="B2043" s="3">
        <v>65.4</v>
      </c>
      <c r="C2043" s="3">
        <v>5.18</v>
      </c>
      <c r="D2043" s="3">
        <v>206.0</v>
      </c>
      <c r="E2043" s="3">
        <v>7.48</v>
      </c>
      <c r="F2043" s="3">
        <v>9.9</v>
      </c>
      <c r="G2043" s="3">
        <v>90.63</v>
      </c>
      <c r="H2043" s="3">
        <v>241.01</v>
      </c>
      <c r="I2043" s="3">
        <v>89.73</v>
      </c>
      <c r="J2043" s="3">
        <v>30.04</v>
      </c>
      <c r="K2043" s="4">
        <f t="shared" si="1"/>
        <v>8311.8069</v>
      </c>
      <c r="L2043" s="4">
        <f t="shared" si="2"/>
        <v>5.105508406</v>
      </c>
    </row>
    <row r="2044">
      <c r="A2044" s="3" t="s">
        <v>140</v>
      </c>
      <c r="B2044" s="3">
        <v>65.4</v>
      </c>
      <c r="C2044" s="3">
        <v>5.55</v>
      </c>
      <c r="D2044" s="3">
        <v>207.0</v>
      </c>
      <c r="E2044" s="3">
        <v>5.02</v>
      </c>
      <c r="F2044" s="3">
        <v>12.08</v>
      </c>
      <c r="G2044" s="3">
        <v>91.17</v>
      </c>
      <c r="H2044" s="3">
        <v>233.88</v>
      </c>
      <c r="I2044" s="3">
        <v>79.83</v>
      </c>
      <c r="J2044" s="3">
        <v>17.93</v>
      </c>
      <c r="K2044" s="4">
        <f t="shared" si="1"/>
        <v>8457.8953</v>
      </c>
      <c r="L2044" s="4">
        <f t="shared" si="2"/>
        <v>5.066153988</v>
      </c>
    </row>
    <row r="2045">
      <c r="A2045" s="3" t="s">
        <v>140</v>
      </c>
      <c r="B2045" s="3">
        <v>65.4</v>
      </c>
      <c r="C2045" s="3">
        <v>5.92</v>
      </c>
      <c r="D2045" s="3">
        <v>208.0</v>
      </c>
      <c r="E2045" s="3">
        <v>7.7</v>
      </c>
      <c r="F2045" s="3">
        <v>14.21</v>
      </c>
      <c r="G2045" s="3">
        <v>91.98</v>
      </c>
      <c r="H2045" s="3">
        <v>227.13</v>
      </c>
      <c r="I2045" s="3">
        <v>78.76</v>
      </c>
      <c r="J2045" s="3">
        <v>10.75</v>
      </c>
      <c r="K2045" s="4">
        <f t="shared" si="1"/>
        <v>8662.2445</v>
      </c>
      <c r="L2045" s="4">
        <f t="shared" si="2"/>
        <v>4.994548468</v>
      </c>
    </row>
    <row r="2046">
      <c r="A2046" s="3" t="s">
        <v>140</v>
      </c>
      <c r="B2046" s="3">
        <v>65.4</v>
      </c>
      <c r="C2046" s="3">
        <v>6.28</v>
      </c>
      <c r="D2046" s="3">
        <v>210.0</v>
      </c>
      <c r="E2046" s="3">
        <v>1.95</v>
      </c>
      <c r="F2046" s="3">
        <v>16.44</v>
      </c>
      <c r="G2046" s="3">
        <v>93.75</v>
      </c>
      <c r="H2046" s="3">
        <v>220.9</v>
      </c>
      <c r="I2046" s="3">
        <v>77.91</v>
      </c>
      <c r="J2046" s="3">
        <v>6.52</v>
      </c>
      <c r="K2046" s="4">
        <f t="shared" si="1"/>
        <v>9059.3361</v>
      </c>
      <c r="L2046" s="4">
        <f t="shared" si="2"/>
        <v>4.86790638</v>
      </c>
    </row>
    <row r="2047">
      <c r="A2047" s="3" t="s">
        <v>140</v>
      </c>
      <c r="B2047" s="3">
        <v>65.4</v>
      </c>
      <c r="C2047" s="3">
        <v>6.34</v>
      </c>
      <c r="D2047" s="3">
        <v>210.0</v>
      </c>
      <c r="E2047" s="3">
        <v>4.78</v>
      </c>
      <c r="F2047" s="3">
        <v>16.75</v>
      </c>
      <c r="G2047" s="3">
        <v>94.14</v>
      </c>
      <c r="H2047" s="3">
        <v>219.93</v>
      </c>
      <c r="I2047" s="3">
        <v>77.94</v>
      </c>
      <c r="J2047" s="3">
        <v>6.01</v>
      </c>
      <c r="K2047" s="4">
        <f t="shared" si="1"/>
        <v>9142.9021</v>
      </c>
      <c r="L2047" s="4">
        <f t="shared" si="2"/>
        <v>4.823413782</v>
      </c>
    </row>
    <row r="2048">
      <c r="A2048" s="3" t="s">
        <v>140</v>
      </c>
      <c r="B2048" s="3">
        <v>65.4</v>
      </c>
      <c r="C2048" s="3">
        <v>6.65</v>
      </c>
      <c r="D2048" s="3">
        <v>212.0</v>
      </c>
      <c r="E2048" s="3">
        <v>1.96</v>
      </c>
      <c r="F2048" s="3">
        <v>18.67</v>
      </c>
      <c r="G2048" s="3">
        <v>96.53</v>
      </c>
      <c r="H2048" s="3">
        <v>214.9</v>
      </c>
      <c r="I2048" s="3">
        <v>75.88</v>
      </c>
      <c r="J2048" s="3">
        <v>3.89</v>
      </c>
      <c r="K2048" s="4">
        <f t="shared" si="1"/>
        <v>9666.6098</v>
      </c>
      <c r="L2048" s="4">
        <f t="shared" si="2"/>
        <v>4.649406662</v>
      </c>
    </row>
    <row r="2049">
      <c r="A2049" s="3" t="s">
        <v>140</v>
      </c>
      <c r="B2049" s="3">
        <v>65.4</v>
      </c>
      <c r="C2049" s="3">
        <v>7.03</v>
      </c>
      <c r="D2049" s="3">
        <v>214.0</v>
      </c>
      <c r="E2049" s="3">
        <v>0.76</v>
      </c>
      <c r="F2049" s="3">
        <v>20.8</v>
      </c>
      <c r="G2049" s="3">
        <v>99.17</v>
      </c>
      <c r="H2049" s="3">
        <v>209.22</v>
      </c>
      <c r="I2049" s="3">
        <v>70.88</v>
      </c>
      <c r="J2049" s="3">
        <v>2.31</v>
      </c>
      <c r="K2049" s="4">
        <f t="shared" si="1"/>
        <v>10267.3289</v>
      </c>
      <c r="L2049" s="4">
        <f t="shared" si="2"/>
        <v>4.460361643</v>
      </c>
    </row>
    <row r="2050">
      <c r="A2050" s="3" t="s">
        <v>140</v>
      </c>
      <c r="B2050" s="3">
        <v>65.4</v>
      </c>
      <c r="C2050" s="3">
        <v>7.39</v>
      </c>
      <c r="D2050" s="3">
        <v>215.0</v>
      </c>
      <c r="E2050" s="3">
        <v>2.22</v>
      </c>
      <c r="F2050" s="3">
        <v>22.73</v>
      </c>
      <c r="G2050" s="3">
        <v>101.39</v>
      </c>
      <c r="H2050" s="3">
        <v>204.19</v>
      </c>
      <c r="I2050" s="3">
        <v>67.18</v>
      </c>
      <c r="J2050" s="3">
        <v>1.39</v>
      </c>
      <c r="K2050" s="4">
        <f t="shared" si="1"/>
        <v>10796.585</v>
      </c>
      <c r="L2050" s="4">
        <f t="shared" si="2"/>
        <v>4.281446402</v>
      </c>
    </row>
    <row r="2051">
      <c r="A2051" s="3" t="s">
        <v>140</v>
      </c>
      <c r="B2051" s="3">
        <v>65.4</v>
      </c>
      <c r="C2051" s="3">
        <v>7.77</v>
      </c>
      <c r="D2051" s="3">
        <v>216.0</v>
      </c>
      <c r="E2051" s="3">
        <v>1.76</v>
      </c>
      <c r="F2051" s="3">
        <v>24.56</v>
      </c>
      <c r="G2051" s="3">
        <v>103.08</v>
      </c>
      <c r="H2051" s="3">
        <v>199.24</v>
      </c>
      <c r="I2051" s="3">
        <v>63.61</v>
      </c>
      <c r="J2051" s="3">
        <v>0.82</v>
      </c>
      <c r="K2051" s="4">
        <f t="shared" si="1"/>
        <v>11228.68</v>
      </c>
      <c r="L2051" s="4">
        <f t="shared" si="2"/>
        <v>4.155074328</v>
      </c>
    </row>
    <row r="2052">
      <c r="A2052" s="3" t="s">
        <v>140</v>
      </c>
      <c r="B2052" s="3">
        <v>65.4</v>
      </c>
      <c r="C2052" s="3">
        <v>8.14</v>
      </c>
      <c r="D2052" s="3">
        <v>217.0</v>
      </c>
      <c r="E2052" s="3">
        <v>1.53</v>
      </c>
      <c r="F2052" s="3">
        <v>26.28</v>
      </c>
      <c r="G2052" s="3">
        <v>105.18</v>
      </c>
      <c r="H2052" s="3">
        <v>194.76</v>
      </c>
      <c r="I2052" s="3">
        <v>60.05</v>
      </c>
      <c r="J2052" s="3">
        <v>0.49</v>
      </c>
      <c r="K2052" s="4">
        <f t="shared" si="1"/>
        <v>11753.4708</v>
      </c>
      <c r="L2052" s="4">
        <f t="shared" si="2"/>
        <v>4.006391031</v>
      </c>
    </row>
    <row r="2053">
      <c r="A2053" s="3" t="s">
        <v>140</v>
      </c>
      <c r="B2053" s="3">
        <v>65.4</v>
      </c>
      <c r="C2053" s="3">
        <v>8.51</v>
      </c>
      <c r="D2053" s="3">
        <v>218.0</v>
      </c>
      <c r="E2053" s="3">
        <v>7.7</v>
      </c>
      <c r="F2053" s="3">
        <v>27.91</v>
      </c>
      <c r="G2053" s="3">
        <v>106.86</v>
      </c>
      <c r="H2053" s="3">
        <v>190.42</v>
      </c>
      <c r="I2053" s="3">
        <v>56.59</v>
      </c>
      <c r="J2053" s="3">
        <v>0.29</v>
      </c>
      <c r="K2053" s="4">
        <f t="shared" si="1"/>
        <v>12198.0277</v>
      </c>
      <c r="L2053" s="4">
        <f t="shared" si="2"/>
        <v>3.896039685</v>
      </c>
    </row>
    <row r="2054">
      <c r="A2054" s="3" t="s">
        <v>140</v>
      </c>
      <c r="B2054" s="3">
        <v>65.4</v>
      </c>
      <c r="C2054" s="3">
        <v>8.88</v>
      </c>
      <c r="D2054" s="3">
        <v>218.0</v>
      </c>
      <c r="E2054" s="3">
        <v>6.86</v>
      </c>
      <c r="F2054" s="3">
        <v>29.33</v>
      </c>
      <c r="G2054" s="3">
        <v>108.2</v>
      </c>
      <c r="H2054" s="3">
        <v>186.31</v>
      </c>
      <c r="I2054" s="3">
        <v>53.33</v>
      </c>
      <c r="J2054" s="3">
        <v>0.18</v>
      </c>
      <c r="K2054" s="4">
        <f t="shared" si="1"/>
        <v>12567.4889</v>
      </c>
      <c r="L2054" s="4">
        <f t="shared" si="2"/>
        <v>3.78150324</v>
      </c>
    </row>
    <row r="2055">
      <c r="A2055" s="3" t="s">
        <v>140</v>
      </c>
      <c r="B2055" s="3">
        <v>65.4</v>
      </c>
      <c r="C2055" s="3">
        <v>9.25</v>
      </c>
      <c r="D2055" s="3">
        <v>218.0</v>
      </c>
      <c r="E2055" s="3">
        <v>8.37</v>
      </c>
      <c r="F2055" s="3">
        <v>30.55</v>
      </c>
      <c r="G2055" s="3">
        <v>109.65</v>
      </c>
      <c r="H2055" s="3">
        <v>182.7</v>
      </c>
      <c r="I2055" s="3">
        <v>50.25</v>
      </c>
      <c r="J2055" s="3">
        <v>0.11</v>
      </c>
      <c r="K2055" s="4">
        <f t="shared" si="1"/>
        <v>12956.425</v>
      </c>
      <c r="L2055" s="4">
        <f t="shared" si="2"/>
        <v>3.667987118</v>
      </c>
    </row>
    <row r="2056">
      <c r="A2056" s="3" t="s">
        <v>140</v>
      </c>
      <c r="B2056" s="3">
        <v>65.4</v>
      </c>
      <c r="C2056" s="3">
        <v>9.52</v>
      </c>
      <c r="D2056" s="3">
        <v>218.0</v>
      </c>
      <c r="E2056" s="3">
        <v>3.93</v>
      </c>
      <c r="F2056" s="3">
        <v>31.16</v>
      </c>
      <c r="G2056" s="3">
        <v>110.49</v>
      </c>
      <c r="H2056" s="3">
        <v>180.08</v>
      </c>
      <c r="I2056" s="3">
        <v>48.1</v>
      </c>
      <c r="J2056" s="3">
        <v>0.07</v>
      </c>
      <c r="K2056" s="4">
        <f t="shared" si="1"/>
        <v>13178.9857</v>
      </c>
      <c r="L2056" s="4">
        <f t="shared" si="2"/>
        <v>3.606043825</v>
      </c>
    </row>
    <row r="2057">
      <c r="A2057" s="3" t="s">
        <v>140</v>
      </c>
      <c r="B2057" s="3">
        <v>65.4</v>
      </c>
      <c r="C2057" s="3">
        <v>9.62</v>
      </c>
      <c r="D2057" s="3">
        <v>218.0</v>
      </c>
      <c r="E2057" s="3">
        <v>4.05</v>
      </c>
      <c r="F2057" s="3">
        <v>31.36</v>
      </c>
      <c r="G2057" s="3">
        <v>110.78</v>
      </c>
      <c r="H2057" s="3">
        <v>179.14</v>
      </c>
      <c r="I2057" s="3">
        <v>47.33</v>
      </c>
      <c r="J2057" s="3">
        <v>0.06</v>
      </c>
      <c r="K2057" s="4">
        <f t="shared" si="1"/>
        <v>13255.658</v>
      </c>
      <c r="L2057" s="4">
        <f t="shared" si="2"/>
        <v>3.585186039</v>
      </c>
    </row>
    <row r="2058">
      <c r="A2058" s="3" t="s">
        <v>140</v>
      </c>
      <c r="B2058" s="3">
        <v>65.4</v>
      </c>
      <c r="C2058" s="3">
        <v>9.99</v>
      </c>
      <c r="D2058" s="3">
        <v>217.0</v>
      </c>
      <c r="E2058" s="3">
        <v>20.2</v>
      </c>
      <c r="F2058" s="3">
        <v>32.17</v>
      </c>
      <c r="G2058" s="3">
        <v>111.77</v>
      </c>
      <c r="H2058" s="3">
        <v>175.79</v>
      </c>
      <c r="I2058" s="3">
        <v>44.58</v>
      </c>
      <c r="J2058" s="3">
        <v>0.04</v>
      </c>
      <c r="K2058" s="4">
        <f t="shared" si="1"/>
        <v>13527.4418</v>
      </c>
      <c r="L2058" s="4">
        <f t="shared" si="2"/>
        <v>3.480998159</v>
      </c>
    </row>
    <row r="2059">
      <c r="A2059" s="3" t="s">
        <v>140</v>
      </c>
      <c r="B2059" s="3">
        <v>65.4</v>
      </c>
      <c r="C2059" s="3">
        <v>10.4</v>
      </c>
      <c r="D2059" s="3">
        <v>217.0</v>
      </c>
      <c r="E2059" s="3">
        <v>4.2</v>
      </c>
      <c r="F2059" s="3">
        <v>33.08</v>
      </c>
      <c r="G2059" s="3">
        <v>112.69</v>
      </c>
      <c r="H2059" s="3">
        <v>172.23</v>
      </c>
      <c r="I2059" s="3">
        <v>41.71</v>
      </c>
      <c r="J2059" s="3">
        <v>0.02</v>
      </c>
      <c r="K2059" s="4">
        <f t="shared" si="1"/>
        <v>13793.3225</v>
      </c>
      <c r="L2059" s="4">
        <f t="shared" si="2"/>
        <v>3.413898283</v>
      </c>
    </row>
    <row r="2060">
      <c r="A2060" s="3" t="s">
        <v>140</v>
      </c>
      <c r="B2060" s="3">
        <v>65.4</v>
      </c>
      <c r="C2060" s="3">
        <v>10.71</v>
      </c>
      <c r="D2060" s="3">
        <v>216.0</v>
      </c>
      <c r="E2060" s="3">
        <v>3.16</v>
      </c>
      <c r="F2060" s="3">
        <v>34.0</v>
      </c>
      <c r="G2060" s="3">
        <v>113.45</v>
      </c>
      <c r="H2060" s="3">
        <v>169.76</v>
      </c>
      <c r="I2060" s="3">
        <v>39.66</v>
      </c>
      <c r="J2060" s="3">
        <v>0.01</v>
      </c>
      <c r="K2060" s="4">
        <f t="shared" si="1"/>
        <v>14026.9025</v>
      </c>
      <c r="L2060" s="4">
        <f t="shared" si="2"/>
        <v>3.326179818</v>
      </c>
    </row>
    <row r="2061">
      <c r="A2061" s="3" t="s">
        <v>140</v>
      </c>
      <c r="B2061" s="3">
        <v>65.4</v>
      </c>
      <c r="C2061" s="3">
        <v>11.12</v>
      </c>
      <c r="D2061" s="3">
        <v>215.0</v>
      </c>
      <c r="E2061" s="3">
        <v>6.72</v>
      </c>
      <c r="F2061" s="3">
        <v>35.01</v>
      </c>
      <c r="G2061" s="3">
        <v>114.16</v>
      </c>
      <c r="H2061" s="3">
        <v>166.6</v>
      </c>
      <c r="I2061" s="3">
        <v>37.11</v>
      </c>
      <c r="J2061" s="3">
        <v>0.01</v>
      </c>
      <c r="K2061" s="4">
        <f t="shared" si="1"/>
        <v>14258.2057</v>
      </c>
      <c r="L2061" s="4">
        <f t="shared" si="2"/>
        <v>3.241992785</v>
      </c>
    </row>
    <row r="2062">
      <c r="A2062" s="3" t="s">
        <v>140</v>
      </c>
      <c r="B2062" s="3">
        <v>65.4</v>
      </c>
      <c r="C2062" s="3">
        <v>12.67</v>
      </c>
      <c r="D2062" s="3">
        <v>212.0</v>
      </c>
      <c r="E2062" s="3">
        <v>1.82</v>
      </c>
      <c r="F2062" s="3">
        <v>39.99</v>
      </c>
      <c r="G2062" s="3">
        <v>115.88</v>
      </c>
      <c r="H2062" s="3">
        <v>156.1</v>
      </c>
      <c r="I2062" s="3">
        <v>28.84</v>
      </c>
      <c r="J2062" s="3">
        <v>0.0</v>
      </c>
      <c r="K2062" s="4">
        <f t="shared" si="1"/>
        <v>15027.3745</v>
      </c>
      <c r="L2062" s="4">
        <f t="shared" si="2"/>
        <v>2.990808541</v>
      </c>
    </row>
    <row r="2063">
      <c r="A2063" s="3" t="s">
        <v>140</v>
      </c>
      <c r="B2063" s="3">
        <v>65.4</v>
      </c>
      <c r="C2063" s="3">
        <v>12.98</v>
      </c>
      <c r="D2063" s="3">
        <v>211.0</v>
      </c>
      <c r="E2063" s="3">
        <v>16.6</v>
      </c>
      <c r="F2063" s="3">
        <v>41.0</v>
      </c>
      <c r="G2063" s="3">
        <v>116.15</v>
      </c>
      <c r="H2063" s="3">
        <v>154.24</v>
      </c>
      <c r="I2063" s="3">
        <v>27.43</v>
      </c>
      <c r="J2063" s="3">
        <v>0.0</v>
      </c>
      <c r="K2063" s="4">
        <f t="shared" si="1"/>
        <v>15171.8225</v>
      </c>
      <c r="L2063" s="4">
        <f t="shared" si="2"/>
        <v>2.934452997</v>
      </c>
    </row>
    <row r="2064">
      <c r="A2064" s="3" t="s">
        <v>140</v>
      </c>
      <c r="B2064" s="3">
        <v>65.4</v>
      </c>
      <c r="C2064" s="3">
        <v>15.86</v>
      </c>
      <c r="D2064" s="3">
        <v>209.0</v>
      </c>
      <c r="E2064" s="3">
        <v>8.38</v>
      </c>
      <c r="F2064" s="3">
        <v>52.47</v>
      </c>
      <c r="G2064" s="3">
        <v>115.82</v>
      </c>
      <c r="H2064" s="3">
        <v>139.51</v>
      </c>
      <c r="I2064" s="3">
        <v>17.17</v>
      </c>
      <c r="J2064" s="3">
        <v>0.0</v>
      </c>
      <c r="K2064" s="4">
        <f t="shared" si="1"/>
        <v>16167.3733</v>
      </c>
      <c r="L2064" s="4">
        <f t="shared" si="2"/>
        <v>2.701799432</v>
      </c>
    </row>
    <row r="2065">
      <c r="A2065" s="3" t="s">
        <v>140</v>
      </c>
      <c r="B2065" s="3">
        <v>65.4</v>
      </c>
      <c r="C2065" s="3">
        <v>19.05</v>
      </c>
      <c r="D2065" s="3">
        <v>215.0</v>
      </c>
      <c r="E2065" s="3">
        <v>13.2</v>
      </c>
      <c r="F2065" s="3">
        <v>66.17</v>
      </c>
      <c r="G2065" s="3">
        <v>112.66</v>
      </c>
      <c r="H2065" s="3">
        <v>127.33</v>
      </c>
      <c r="I2065" s="3">
        <v>10.22</v>
      </c>
      <c r="J2065" s="3">
        <v>0.0</v>
      </c>
      <c r="K2065" s="4">
        <f t="shared" si="1"/>
        <v>17070.7445</v>
      </c>
      <c r="L2065" s="4">
        <f t="shared" si="2"/>
        <v>2.707849092</v>
      </c>
    </row>
    <row r="2066">
      <c r="A2066" s="3" t="s">
        <v>140</v>
      </c>
      <c r="B2066" s="3">
        <v>65.4</v>
      </c>
      <c r="C2066" s="3">
        <v>22.14</v>
      </c>
      <c r="D2066" s="3">
        <v>215.0</v>
      </c>
      <c r="E2066" s="3">
        <v>13.9</v>
      </c>
      <c r="F2066" s="3">
        <v>76.32</v>
      </c>
      <c r="G2066" s="3">
        <v>108.18</v>
      </c>
      <c r="H2066" s="3">
        <v>118.11</v>
      </c>
      <c r="I2066" s="3">
        <v>6.19</v>
      </c>
      <c r="J2066" s="3">
        <v>0.0</v>
      </c>
      <c r="K2066" s="4">
        <f t="shared" si="1"/>
        <v>17527.6548</v>
      </c>
      <c r="L2066" s="4">
        <f t="shared" si="2"/>
        <v>2.637260976</v>
      </c>
    </row>
    <row r="2067">
      <c r="A2067" s="3" t="s">
        <v>140</v>
      </c>
      <c r="B2067" s="3">
        <v>65.4</v>
      </c>
      <c r="C2067" s="3">
        <v>25.34</v>
      </c>
      <c r="D2067" s="3">
        <v>210.0</v>
      </c>
      <c r="E2067" s="3">
        <v>10.6</v>
      </c>
      <c r="F2067" s="3">
        <v>79.67</v>
      </c>
      <c r="G2067" s="3">
        <v>102.95</v>
      </c>
      <c r="H2067" s="3">
        <v>110.4</v>
      </c>
      <c r="I2067" s="3">
        <v>3.68</v>
      </c>
      <c r="J2067" s="3">
        <v>0.0</v>
      </c>
      <c r="K2067" s="4">
        <f t="shared" si="1"/>
        <v>16946.0114</v>
      </c>
      <c r="L2067" s="4">
        <f t="shared" si="2"/>
        <v>2.602382293</v>
      </c>
    </row>
    <row r="2068">
      <c r="A2068" s="3" t="s">
        <v>140</v>
      </c>
      <c r="B2068" s="3">
        <v>65.4</v>
      </c>
      <c r="C2068" s="3">
        <v>28.53</v>
      </c>
      <c r="D2068" s="3">
        <v>196.0</v>
      </c>
      <c r="E2068" s="3">
        <v>12.8</v>
      </c>
      <c r="F2068" s="3">
        <v>78.35</v>
      </c>
      <c r="G2068" s="3">
        <v>97.69</v>
      </c>
      <c r="H2068" s="3">
        <v>104.04</v>
      </c>
      <c r="I2068" s="3">
        <v>2.19</v>
      </c>
      <c r="J2068" s="3">
        <v>0.0</v>
      </c>
      <c r="K2068" s="4">
        <f t="shared" si="1"/>
        <v>15682.0586</v>
      </c>
      <c r="L2068" s="4">
        <f t="shared" si="2"/>
        <v>2.449678386</v>
      </c>
    </row>
    <row r="2069">
      <c r="A2069" s="3" t="s">
        <v>140</v>
      </c>
      <c r="B2069" s="3">
        <v>65.4</v>
      </c>
      <c r="C2069" s="3">
        <v>31.72</v>
      </c>
      <c r="D2069" s="3">
        <v>185.0</v>
      </c>
      <c r="E2069" s="3">
        <v>11.5</v>
      </c>
      <c r="F2069" s="3">
        <v>74.49</v>
      </c>
      <c r="G2069" s="3">
        <v>92.71</v>
      </c>
      <c r="H2069" s="3">
        <v>98.67</v>
      </c>
      <c r="I2069" s="3">
        <v>1.3</v>
      </c>
      <c r="J2069" s="3">
        <v>0.0</v>
      </c>
      <c r="K2069" s="4">
        <f t="shared" si="1"/>
        <v>14143.9042</v>
      </c>
      <c r="L2069" s="4">
        <f t="shared" si="2"/>
        <v>2.419770349</v>
      </c>
    </row>
    <row r="2070">
      <c r="A2070" s="3" t="s">
        <v>140</v>
      </c>
      <c r="B2070" s="3">
        <v>65.4</v>
      </c>
      <c r="C2070" s="3">
        <v>34.91</v>
      </c>
      <c r="D2070" s="3">
        <v>182.0</v>
      </c>
      <c r="E2070" s="3">
        <v>10.8</v>
      </c>
      <c r="F2070" s="3">
        <v>72.76</v>
      </c>
      <c r="G2070" s="3">
        <v>88.3</v>
      </c>
      <c r="H2070" s="3">
        <v>94.06</v>
      </c>
      <c r="I2070" s="3">
        <v>0.78</v>
      </c>
      <c r="J2070" s="3">
        <v>0.0</v>
      </c>
      <c r="K2070" s="4">
        <f t="shared" si="1"/>
        <v>13090.9076</v>
      </c>
      <c r="L2070" s="4">
        <f t="shared" si="2"/>
        <v>2.530305844</v>
      </c>
    </row>
    <row r="2071">
      <c r="A2071" s="3" t="s">
        <v>140</v>
      </c>
      <c r="B2071" s="3">
        <v>65.4</v>
      </c>
      <c r="C2071" s="3">
        <v>38.0</v>
      </c>
      <c r="D2071" s="3">
        <v>181.0</v>
      </c>
      <c r="E2071" s="3">
        <v>10.3</v>
      </c>
      <c r="F2071" s="3">
        <v>70.63</v>
      </c>
      <c r="G2071" s="3">
        <v>85.07</v>
      </c>
      <c r="H2071" s="3">
        <v>90.15</v>
      </c>
      <c r="I2071" s="3">
        <v>0.0</v>
      </c>
      <c r="J2071" s="3">
        <v>0.0</v>
      </c>
      <c r="K2071" s="4">
        <f t="shared" si="1"/>
        <v>12225.5018</v>
      </c>
      <c r="L2071" s="4">
        <f t="shared" si="2"/>
        <v>2.679726406</v>
      </c>
    </row>
    <row r="2072">
      <c r="A2072" s="3" t="s">
        <v>141</v>
      </c>
      <c r="B2072" s="3">
        <v>16.5</v>
      </c>
      <c r="C2072" s="3">
        <v>0.09</v>
      </c>
      <c r="D2072" s="3">
        <v>231.0</v>
      </c>
      <c r="E2072" s="3">
        <v>52.9</v>
      </c>
      <c r="F2072" s="3">
        <v>-0.75</v>
      </c>
      <c r="G2072" s="3">
        <v>12.18</v>
      </c>
      <c r="H2072" s="3">
        <v>80.49</v>
      </c>
      <c r="I2072" s="3">
        <v>2863.21</v>
      </c>
      <c r="J2072" s="3">
        <v>29242.18</v>
      </c>
      <c r="K2072" s="4">
        <f t="shared" si="1"/>
        <v>148.9149</v>
      </c>
      <c r="L2072" s="4">
        <f t="shared" si="2"/>
        <v>358.332175</v>
      </c>
    </row>
    <row r="2073">
      <c r="A2073" s="3" t="s">
        <v>141</v>
      </c>
      <c r="B2073" s="3">
        <v>16.5</v>
      </c>
      <c r="C2073" s="3">
        <v>0.17</v>
      </c>
      <c r="D2073" s="3">
        <v>231.0</v>
      </c>
      <c r="E2073" s="3">
        <v>27.9</v>
      </c>
      <c r="F2073" s="3">
        <v>-0.9</v>
      </c>
      <c r="G2073" s="3">
        <v>23.29</v>
      </c>
      <c r="H2073" s="3">
        <v>154.33</v>
      </c>
      <c r="I2073" s="3">
        <v>2799.34</v>
      </c>
      <c r="J2073" s="3">
        <v>23293.66</v>
      </c>
      <c r="K2073" s="4">
        <f t="shared" si="1"/>
        <v>543.2341</v>
      </c>
      <c r="L2073" s="4">
        <f t="shared" si="2"/>
        <v>98.22836968</v>
      </c>
    </row>
    <row r="2074">
      <c r="A2074" s="3" t="s">
        <v>141</v>
      </c>
      <c r="B2074" s="3">
        <v>16.5</v>
      </c>
      <c r="C2074" s="3">
        <v>0.26</v>
      </c>
      <c r="D2074" s="3">
        <v>231.0</v>
      </c>
      <c r="E2074" s="3">
        <v>16.4</v>
      </c>
      <c r="F2074" s="3">
        <v>-0.97</v>
      </c>
      <c r="G2074" s="3">
        <v>35.2</v>
      </c>
      <c r="H2074" s="3">
        <v>203.79</v>
      </c>
      <c r="I2074" s="3">
        <v>2729.19</v>
      </c>
      <c r="J2074" s="3">
        <v>15656.33</v>
      </c>
      <c r="K2074" s="4">
        <f t="shared" si="1"/>
        <v>1239.9809</v>
      </c>
      <c r="L2074" s="4">
        <f t="shared" si="2"/>
        <v>43.03372737</v>
      </c>
    </row>
    <row r="2075">
      <c r="A2075" s="3" t="s">
        <v>141</v>
      </c>
      <c r="B2075" s="3">
        <v>16.5</v>
      </c>
      <c r="C2075" s="3">
        <v>0.34</v>
      </c>
      <c r="D2075" s="3">
        <v>231.0</v>
      </c>
      <c r="E2075" s="3">
        <v>11.9</v>
      </c>
      <c r="F2075" s="3">
        <v>-1.0</v>
      </c>
      <c r="G2075" s="3">
        <v>45.31</v>
      </c>
      <c r="H2075" s="3">
        <v>224.63</v>
      </c>
      <c r="I2075" s="3">
        <v>2668.31</v>
      </c>
      <c r="J2075" s="3">
        <v>11345.04</v>
      </c>
      <c r="K2075" s="4">
        <f t="shared" si="1"/>
        <v>2053.9961</v>
      </c>
      <c r="L2075" s="4">
        <f t="shared" si="2"/>
        <v>25.97911457</v>
      </c>
    </row>
    <row r="2076">
      <c r="A2076" s="3" t="s">
        <v>141</v>
      </c>
      <c r="B2076" s="3">
        <v>16.5</v>
      </c>
      <c r="C2076" s="3">
        <v>0.43</v>
      </c>
      <c r="D2076" s="3">
        <v>232.0</v>
      </c>
      <c r="E2076" s="3">
        <v>8.04</v>
      </c>
      <c r="F2076" s="3">
        <v>-1.04</v>
      </c>
      <c r="G2076" s="3">
        <v>56.16</v>
      </c>
      <c r="H2076" s="3">
        <v>236.57</v>
      </c>
      <c r="I2076" s="3">
        <v>2601.44</v>
      </c>
      <c r="J2076" s="3">
        <v>8539.84</v>
      </c>
      <c r="K2076" s="4">
        <f t="shared" si="1"/>
        <v>3155.0272</v>
      </c>
      <c r="L2076" s="4">
        <f t="shared" si="2"/>
        <v>17.05975784</v>
      </c>
    </row>
    <row r="2077">
      <c r="A2077" s="3" t="s">
        <v>141</v>
      </c>
      <c r="B2077" s="3">
        <v>16.5</v>
      </c>
      <c r="C2077" s="3">
        <v>0.51</v>
      </c>
      <c r="D2077" s="3">
        <v>232.0</v>
      </c>
      <c r="E2077" s="3">
        <v>6.53</v>
      </c>
      <c r="F2077" s="3">
        <v>-1.11</v>
      </c>
      <c r="G2077" s="3">
        <v>65.37</v>
      </c>
      <c r="H2077" s="3">
        <v>243.18</v>
      </c>
      <c r="I2077" s="3">
        <v>2543.41</v>
      </c>
      <c r="J2077" s="3">
        <v>6949.05</v>
      </c>
      <c r="K2077" s="4">
        <f t="shared" si="1"/>
        <v>4274.469</v>
      </c>
      <c r="L2077" s="4">
        <f t="shared" si="2"/>
        <v>12.59197341</v>
      </c>
    </row>
    <row r="2078">
      <c r="A2078" s="3" t="s">
        <v>141</v>
      </c>
      <c r="B2078" s="3">
        <v>16.5</v>
      </c>
      <c r="C2078" s="3">
        <v>0.6</v>
      </c>
      <c r="D2078" s="3">
        <v>232.0</v>
      </c>
      <c r="E2078" s="3">
        <v>4.75</v>
      </c>
      <c r="F2078" s="3">
        <v>-1.21</v>
      </c>
      <c r="G2078" s="3">
        <v>75.35</v>
      </c>
      <c r="H2078" s="3">
        <v>248.89</v>
      </c>
      <c r="I2078" s="3">
        <v>2479.67</v>
      </c>
      <c r="J2078" s="3">
        <v>5592.32</v>
      </c>
      <c r="K2078" s="4">
        <f t="shared" si="1"/>
        <v>5679.0866</v>
      </c>
      <c r="L2078" s="4">
        <f t="shared" si="2"/>
        <v>9.477580426</v>
      </c>
    </row>
    <row r="2079">
      <c r="A2079" s="3" t="s">
        <v>141</v>
      </c>
      <c r="B2079" s="3">
        <v>16.5</v>
      </c>
      <c r="C2079" s="3">
        <v>0.69</v>
      </c>
      <c r="D2079" s="3">
        <v>232.0</v>
      </c>
      <c r="E2079" s="3">
        <v>4.0</v>
      </c>
      <c r="F2079" s="3">
        <v>-1.34</v>
      </c>
      <c r="G2079" s="3">
        <v>84.97</v>
      </c>
      <c r="H2079" s="3">
        <v>252.61</v>
      </c>
      <c r="I2079" s="3">
        <v>2417.53</v>
      </c>
      <c r="J2079" s="3">
        <v>4572.83</v>
      </c>
      <c r="K2079" s="4">
        <f t="shared" si="1"/>
        <v>7221.6965</v>
      </c>
      <c r="L2079" s="4">
        <f t="shared" si="2"/>
        <v>7.453096374</v>
      </c>
    </row>
    <row r="2080">
      <c r="A2080" s="3" t="s">
        <v>141</v>
      </c>
      <c r="B2080" s="3">
        <v>16.5</v>
      </c>
      <c r="C2080" s="3">
        <v>0.77</v>
      </c>
      <c r="D2080" s="3">
        <v>233.0</v>
      </c>
      <c r="E2080" s="3">
        <v>5.69</v>
      </c>
      <c r="F2080" s="3">
        <v>-1.48</v>
      </c>
      <c r="G2080" s="3">
        <v>93.17</v>
      </c>
      <c r="H2080" s="3">
        <v>255.01</v>
      </c>
      <c r="I2080" s="3">
        <v>2363.6</v>
      </c>
      <c r="J2080" s="3">
        <v>3849.38</v>
      </c>
      <c r="K2080" s="4">
        <f t="shared" si="1"/>
        <v>8682.8393</v>
      </c>
      <c r="L2080" s="4">
        <f t="shared" si="2"/>
        <v>6.25244786</v>
      </c>
    </row>
    <row r="2081">
      <c r="A2081" s="3" t="s">
        <v>141</v>
      </c>
      <c r="B2081" s="3">
        <v>16.5</v>
      </c>
      <c r="C2081" s="3">
        <v>0.86</v>
      </c>
      <c r="D2081" s="3">
        <v>233.0</v>
      </c>
      <c r="E2081" s="3">
        <v>4.83</v>
      </c>
      <c r="F2081" s="3">
        <v>-1.64</v>
      </c>
      <c r="G2081" s="3">
        <v>102.03</v>
      </c>
      <c r="H2081" s="3">
        <v>256.4</v>
      </c>
      <c r="I2081" s="3">
        <v>2304.36</v>
      </c>
      <c r="J2081" s="3">
        <v>3221.94</v>
      </c>
      <c r="K2081" s="4">
        <f t="shared" si="1"/>
        <v>10412.8105</v>
      </c>
      <c r="L2081" s="4">
        <f t="shared" si="2"/>
        <v>5.21367406</v>
      </c>
    </row>
    <row r="2082">
      <c r="A2082" s="3" t="s">
        <v>141</v>
      </c>
      <c r="B2082" s="3">
        <v>16.5</v>
      </c>
      <c r="C2082" s="3">
        <v>0.95</v>
      </c>
      <c r="D2082" s="3">
        <v>234.0</v>
      </c>
      <c r="E2082" s="3">
        <v>10.8</v>
      </c>
      <c r="F2082" s="3">
        <v>-1.82</v>
      </c>
      <c r="G2082" s="3">
        <v>110.51</v>
      </c>
      <c r="H2082" s="3">
        <v>257.17</v>
      </c>
      <c r="I2082" s="3">
        <v>2246.61</v>
      </c>
      <c r="J2082" s="3">
        <v>2765.52</v>
      </c>
      <c r="K2082" s="4">
        <f t="shared" si="1"/>
        <v>12215.7725</v>
      </c>
      <c r="L2082" s="4">
        <f t="shared" si="2"/>
        <v>4.482401747</v>
      </c>
    </row>
    <row r="2083">
      <c r="A2083" s="3" t="s">
        <v>141</v>
      </c>
      <c r="B2083" s="3">
        <v>16.5</v>
      </c>
      <c r="C2083" s="3">
        <v>1.03</v>
      </c>
      <c r="D2083" s="3">
        <v>235.0</v>
      </c>
      <c r="E2083" s="3">
        <v>10.3</v>
      </c>
      <c r="F2083" s="3">
        <v>-2.0</v>
      </c>
      <c r="G2083" s="3">
        <v>117.74</v>
      </c>
      <c r="H2083" s="3">
        <v>258.4</v>
      </c>
      <c r="I2083" s="3">
        <v>2196.5</v>
      </c>
      <c r="J2083" s="3">
        <v>2416.65</v>
      </c>
      <c r="K2083" s="4">
        <f t="shared" si="1"/>
        <v>13866.7076</v>
      </c>
      <c r="L2083" s="4">
        <f t="shared" si="2"/>
        <v>3.982560359</v>
      </c>
    </row>
    <row r="2084">
      <c r="A2084" s="3" t="s">
        <v>141</v>
      </c>
      <c r="B2084" s="3">
        <v>16.5</v>
      </c>
      <c r="C2084" s="3">
        <v>1.11</v>
      </c>
      <c r="D2084" s="3">
        <v>235.0</v>
      </c>
      <c r="E2084" s="3">
        <v>10.6</v>
      </c>
      <c r="F2084" s="3">
        <v>-2.17</v>
      </c>
      <c r="G2084" s="3">
        <v>124.74</v>
      </c>
      <c r="H2084" s="3">
        <v>258.76</v>
      </c>
      <c r="I2084" s="3">
        <v>2147.5</v>
      </c>
      <c r="J2084" s="3">
        <v>2096.14</v>
      </c>
      <c r="K2084" s="4">
        <f t="shared" si="1"/>
        <v>15564.7765</v>
      </c>
      <c r="L2084" s="4">
        <f t="shared" si="2"/>
        <v>3.548075361</v>
      </c>
    </row>
    <row r="2085">
      <c r="A2085" s="3" t="s">
        <v>141</v>
      </c>
      <c r="B2085" s="3">
        <v>16.5</v>
      </c>
      <c r="C2085" s="3">
        <v>1.2</v>
      </c>
      <c r="D2085" s="3">
        <v>236.0</v>
      </c>
      <c r="E2085" s="3">
        <v>10.2</v>
      </c>
      <c r="F2085" s="3">
        <v>-2.35</v>
      </c>
      <c r="G2085" s="3">
        <v>132.45</v>
      </c>
      <c r="H2085" s="3">
        <v>259.47</v>
      </c>
      <c r="I2085" s="3">
        <v>2093.68</v>
      </c>
      <c r="J2085" s="3">
        <v>1752.88</v>
      </c>
      <c r="K2085" s="4">
        <f t="shared" si="1"/>
        <v>17548.525</v>
      </c>
      <c r="L2085" s="4">
        <f t="shared" si="2"/>
        <v>3.173828</v>
      </c>
    </row>
    <row r="2086">
      <c r="A2086" s="3" t="s">
        <v>141</v>
      </c>
      <c r="B2086" s="3">
        <v>16.5</v>
      </c>
      <c r="C2086" s="3">
        <v>1.29</v>
      </c>
      <c r="D2086" s="3">
        <v>237.0</v>
      </c>
      <c r="E2086" s="3">
        <v>10.6</v>
      </c>
      <c r="F2086" s="3">
        <v>-2.54</v>
      </c>
      <c r="G2086" s="3">
        <v>139.94</v>
      </c>
      <c r="H2086" s="3">
        <v>259.74</v>
      </c>
      <c r="I2086" s="3">
        <v>2041.21</v>
      </c>
      <c r="J2086" s="3">
        <v>1444.87</v>
      </c>
      <c r="K2086" s="4">
        <f t="shared" si="1"/>
        <v>19589.6552</v>
      </c>
      <c r="L2086" s="4">
        <f t="shared" si="2"/>
        <v>2.867278644</v>
      </c>
    </row>
    <row r="2087">
      <c r="A2087" s="3" t="s">
        <v>141</v>
      </c>
      <c r="B2087" s="3">
        <v>16.5</v>
      </c>
      <c r="C2087" s="3">
        <v>1.38</v>
      </c>
      <c r="D2087" s="3">
        <v>238.0</v>
      </c>
      <c r="E2087" s="3">
        <v>14.2</v>
      </c>
      <c r="F2087" s="3">
        <v>-2.73</v>
      </c>
      <c r="G2087" s="3">
        <v>147.1</v>
      </c>
      <c r="H2087" s="3">
        <v>259.48</v>
      </c>
      <c r="I2087" s="3">
        <v>1990.06</v>
      </c>
      <c r="J2087" s="3">
        <v>1174.7</v>
      </c>
      <c r="K2087" s="4">
        <f t="shared" si="1"/>
        <v>21645.8629</v>
      </c>
      <c r="L2087" s="4">
        <f t="shared" si="2"/>
        <v>2.616851094</v>
      </c>
    </row>
    <row r="2088">
      <c r="A2088" s="3" t="s">
        <v>141</v>
      </c>
      <c r="B2088" s="3">
        <v>16.5</v>
      </c>
      <c r="C2088" s="3">
        <v>1.46</v>
      </c>
      <c r="D2088" s="3">
        <v>238.0</v>
      </c>
      <c r="E2088" s="3">
        <v>14.1</v>
      </c>
      <c r="F2088" s="3">
        <v>-2.94</v>
      </c>
      <c r="G2088" s="3">
        <v>153.23</v>
      </c>
      <c r="H2088" s="3">
        <v>258.65</v>
      </c>
      <c r="I2088" s="3">
        <v>1945.67</v>
      </c>
      <c r="J2088" s="3">
        <v>969.16</v>
      </c>
      <c r="K2088" s="4">
        <f t="shared" si="1"/>
        <v>23488.0765</v>
      </c>
      <c r="L2088" s="4">
        <f t="shared" si="2"/>
        <v>2.411606587</v>
      </c>
    </row>
    <row r="2089">
      <c r="A2089" s="3" t="s">
        <v>141</v>
      </c>
      <c r="B2089" s="3">
        <v>16.5</v>
      </c>
      <c r="C2089" s="3">
        <v>1.55</v>
      </c>
      <c r="D2089" s="3">
        <v>239.0</v>
      </c>
      <c r="E2089" s="3">
        <v>19.6</v>
      </c>
      <c r="F2089" s="3">
        <v>-3.15</v>
      </c>
      <c r="G2089" s="3">
        <v>159.87</v>
      </c>
      <c r="H2089" s="3">
        <v>257.13</v>
      </c>
      <c r="I2089" s="3">
        <v>1896.9</v>
      </c>
      <c r="J2089" s="3">
        <v>770.65</v>
      </c>
      <c r="K2089" s="4">
        <f t="shared" si="1"/>
        <v>25568.3394</v>
      </c>
      <c r="L2089" s="4">
        <f t="shared" si="2"/>
        <v>2.234052009</v>
      </c>
    </row>
    <row r="2090">
      <c r="A2090" s="3" t="s">
        <v>141</v>
      </c>
      <c r="B2090" s="3">
        <v>16.5</v>
      </c>
      <c r="C2090" s="3">
        <v>1.63</v>
      </c>
      <c r="D2090" s="3">
        <v>240.0</v>
      </c>
      <c r="E2090" s="3">
        <v>17.8</v>
      </c>
      <c r="F2090" s="3">
        <v>-3.37</v>
      </c>
      <c r="G2090" s="3">
        <v>165.58</v>
      </c>
      <c r="H2090" s="3">
        <v>255.36</v>
      </c>
      <c r="I2090" s="3">
        <v>1854.59</v>
      </c>
      <c r="J2090" s="3">
        <v>629.73</v>
      </c>
      <c r="K2090" s="4">
        <f t="shared" si="1"/>
        <v>27428.0933</v>
      </c>
      <c r="L2090" s="4">
        <f t="shared" si="2"/>
        <v>2.100036607</v>
      </c>
    </row>
    <row r="2091">
      <c r="A2091" s="3" t="s">
        <v>141</v>
      </c>
      <c r="B2091" s="3">
        <v>16.5</v>
      </c>
      <c r="C2091" s="3">
        <v>1.72</v>
      </c>
      <c r="D2091" s="3">
        <v>241.0</v>
      </c>
      <c r="E2091" s="3">
        <v>7.14</v>
      </c>
      <c r="F2091" s="3">
        <v>-3.59</v>
      </c>
      <c r="G2091" s="3">
        <v>171.83</v>
      </c>
      <c r="H2091" s="3">
        <v>252.89</v>
      </c>
      <c r="I2091" s="3">
        <v>1808.11</v>
      </c>
      <c r="J2091" s="3">
        <v>495.74</v>
      </c>
      <c r="K2091" s="4">
        <f t="shared" si="1"/>
        <v>29538.437</v>
      </c>
      <c r="L2091" s="4">
        <f t="shared" si="2"/>
        <v>1.966285488</v>
      </c>
    </row>
    <row r="2092">
      <c r="A2092" s="3" t="s">
        <v>141</v>
      </c>
      <c r="B2092" s="3">
        <v>16.5</v>
      </c>
      <c r="C2092" s="3">
        <v>1.8</v>
      </c>
      <c r="D2092" s="3">
        <v>242.0</v>
      </c>
      <c r="E2092" s="3">
        <v>11.9</v>
      </c>
      <c r="F2092" s="3">
        <v>-3.81</v>
      </c>
      <c r="G2092" s="3">
        <v>177.21</v>
      </c>
      <c r="H2092" s="3">
        <v>250.43</v>
      </c>
      <c r="I2092" s="3">
        <v>1767.23</v>
      </c>
      <c r="J2092" s="3">
        <v>402.06</v>
      </c>
      <c r="K2092" s="4">
        <f t="shared" si="1"/>
        <v>31417.9002</v>
      </c>
      <c r="L2092" s="4">
        <f t="shared" si="2"/>
        <v>1.864032912</v>
      </c>
    </row>
    <row r="2093">
      <c r="A2093" s="3" t="s">
        <v>141</v>
      </c>
      <c r="B2093" s="3">
        <v>16.5</v>
      </c>
      <c r="C2093" s="3">
        <v>1.89</v>
      </c>
      <c r="D2093" s="3">
        <v>243.0</v>
      </c>
      <c r="E2093" s="3">
        <v>10.9</v>
      </c>
      <c r="F2093" s="3">
        <v>-4.02</v>
      </c>
      <c r="G2093" s="3">
        <v>183.03</v>
      </c>
      <c r="H2093" s="3">
        <v>247.35</v>
      </c>
      <c r="I2093" s="3">
        <v>1719.56</v>
      </c>
      <c r="J2093" s="3">
        <v>316.59</v>
      </c>
      <c r="K2093" s="4">
        <f t="shared" si="1"/>
        <v>33516.1413</v>
      </c>
      <c r="L2093" s="4">
        <f t="shared" si="2"/>
        <v>1.761807825</v>
      </c>
    </row>
    <row r="2094">
      <c r="A2094" s="3" t="s">
        <v>141</v>
      </c>
      <c r="B2094" s="3">
        <v>16.5</v>
      </c>
      <c r="C2094" s="3">
        <v>1.98</v>
      </c>
      <c r="D2094" s="3">
        <v>244.0</v>
      </c>
      <c r="E2094" s="3">
        <v>17.6</v>
      </c>
      <c r="F2094" s="3">
        <v>-4.24</v>
      </c>
      <c r="G2094" s="3">
        <v>188.55</v>
      </c>
      <c r="H2094" s="3">
        <v>244.09</v>
      </c>
      <c r="I2094" s="3">
        <v>1672.1</v>
      </c>
      <c r="J2094" s="3">
        <v>250.14</v>
      </c>
      <c r="K2094" s="4">
        <f t="shared" si="1"/>
        <v>35569.0801</v>
      </c>
      <c r="L2094" s="4">
        <f t="shared" si="2"/>
        <v>1.673813319</v>
      </c>
    </row>
    <row r="2095">
      <c r="A2095" s="3" t="s">
        <v>141</v>
      </c>
      <c r="B2095" s="3">
        <v>16.5</v>
      </c>
      <c r="C2095" s="3">
        <v>2.07</v>
      </c>
      <c r="D2095" s="3">
        <v>246.0</v>
      </c>
      <c r="E2095" s="3">
        <v>11.4</v>
      </c>
      <c r="F2095" s="3">
        <v>-4.48</v>
      </c>
      <c r="G2095" s="3">
        <v>193.82</v>
      </c>
      <c r="H2095" s="3">
        <v>240.73</v>
      </c>
      <c r="I2095" s="3">
        <v>1628.43</v>
      </c>
      <c r="J2095" s="3">
        <v>196.88</v>
      </c>
      <c r="K2095" s="4">
        <f t="shared" si="1"/>
        <v>37586.2628</v>
      </c>
      <c r="L2095" s="4">
        <f t="shared" si="2"/>
        <v>1.610056321</v>
      </c>
    </row>
    <row r="2096">
      <c r="A2096" s="3" t="s">
        <v>141</v>
      </c>
      <c r="B2096" s="3">
        <v>16.5</v>
      </c>
      <c r="C2096" s="3">
        <v>2.15</v>
      </c>
      <c r="D2096" s="3">
        <v>247.0</v>
      </c>
      <c r="E2096" s="3">
        <v>12.9</v>
      </c>
      <c r="F2096" s="3">
        <v>-4.72</v>
      </c>
      <c r="G2096" s="3">
        <v>198.33</v>
      </c>
      <c r="H2096" s="3">
        <v>237.68</v>
      </c>
      <c r="I2096" s="3">
        <v>1591.58</v>
      </c>
      <c r="J2096" s="3">
        <v>160.14</v>
      </c>
      <c r="K2096" s="4">
        <f t="shared" si="1"/>
        <v>39357.0673</v>
      </c>
      <c r="L2096" s="4">
        <f t="shared" si="2"/>
        <v>1.550140907</v>
      </c>
    </row>
    <row r="2097">
      <c r="A2097" s="3" t="s">
        <v>141</v>
      </c>
      <c r="B2097" s="3">
        <v>16.5</v>
      </c>
      <c r="C2097" s="3">
        <v>2.23</v>
      </c>
      <c r="D2097" s="3">
        <v>248.0</v>
      </c>
      <c r="E2097" s="3">
        <v>15.4</v>
      </c>
      <c r="F2097" s="3">
        <v>-4.99</v>
      </c>
      <c r="G2097" s="3">
        <v>202.68</v>
      </c>
      <c r="H2097" s="3">
        <v>234.62</v>
      </c>
      <c r="I2097" s="3">
        <v>1556.82</v>
      </c>
      <c r="J2097" s="3">
        <v>129.09</v>
      </c>
      <c r="K2097" s="4">
        <f t="shared" si="1"/>
        <v>41104.0825</v>
      </c>
      <c r="L2097" s="4">
        <f t="shared" si="2"/>
        <v>1.49629906</v>
      </c>
    </row>
    <row r="2098">
      <c r="A2098" s="3" t="s">
        <v>141</v>
      </c>
      <c r="B2098" s="3">
        <v>16.5</v>
      </c>
      <c r="C2098" s="3">
        <v>2.32</v>
      </c>
      <c r="D2098" s="3">
        <v>249.0</v>
      </c>
      <c r="E2098" s="3">
        <v>17.6</v>
      </c>
      <c r="F2098" s="3">
        <v>-5.25</v>
      </c>
      <c r="G2098" s="3">
        <v>207.44</v>
      </c>
      <c r="H2098" s="3">
        <v>231.17</v>
      </c>
      <c r="I2098" s="3">
        <v>1520.1</v>
      </c>
      <c r="J2098" s="3">
        <v>101.99</v>
      </c>
      <c r="K2098" s="4">
        <f t="shared" si="1"/>
        <v>43058.9161</v>
      </c>
      <c r="L2098" s="4">
        <f t="shared" si="2"/>
        <v>1.439910839</v>
      </c>
    </row>
    <row r="2099">
      <c r="A2099" s="3" t="s">
        <v>141</v>
      </c>
      <c r="B2099" s="3">
        <v>16.5</v>
      </c>
      <c r="C2099" s="3">
        <v>2.4</v>
      </c>
      <c r="D2099" s="3">
        <v>251.0</v>
      </c>
      <c r="E2099" s="3">
        <v>24.0</v>
      </c>
      <c r="F2099" s="3">
        <v>-5.52</v>
      </c>
      <c r="G2099" s="3">
        <v>211.55</v>
      </c>
      <c r="H2099" s="3">
        <v>228.14</v>
      </c>
      <c r="I2099" s="3">
        <v>1490.64</v>
      </c>
      <c r="J2099" s="3">
        <v>82.62</v>
      </c>
      <c r="K2099" s="4">
        <f t="shared" si="1"/>
        <v>44783.8729</v>
      </c>
      <c r="L2099" s="4">
        <f t="shared" si="2"/>
        <v>1.406778734</v>
      </c>
    </row>
    <row r="2100">
      <c r="A2100" s="3" t="s">
        <v>141</v>
      </c>
      <c r="B2100" s="3">
        <v>16.5</v>
      </c>
      <c r="C2100" s="3">
        <v>2.49</v>
      </c>
      <c r="D2100" s="3">
        <v>252.0</v>
      </c>
      <c r="E2100" s="3">
        <v>10.1</v>
      </c>
      <c r="F2100" s="3">
        <v>-5.8</v>
      </c>
      <c r="G2100" s="3">
        <v>216.16</v>
      </c>
      <c r="H2100" s="3">
        <v>224.74</v>
      </c>
      <c r="I2100" s="3">
        <v>1462.65</v>
      </c>
      <c r="J2100" s="3">
        <v>65.01</v>
      </c>
      <c r="K2100" s="4">
        <f t="shared" si="1"/>
        <v>46758.7856</v>
      </c>
      <c r="L2100" s="4">
        <f t="shared" si="2"/>
        <v>1.358119104</v>
      </c>
    </row>
    <row r="2101">
      <c r="A2101" s="3" t="s">
        <v>141</v>
      </c>
      <c r="B2101" s="3">
        <v>16.5</v>
      </c>
      <c r="C2101" s="3">
        <v>2.58</v>
      </c>
      <c r="D2101" s="3">
        <v>253.0</v>
      </c>
      <c r="E2101" s="3">
        <v>12.0</v>
      </c>
      <c r="F2101" s="3">
        <v>-6.06</v>
      </c>
      <c r="G2101" s="3">
        <v>220.83</v>
      </c>
      <c r="H2101" s="3">
        <v>221.41</v>
      </c>
      <c r="I2101" s="3">
        <v>1439.08</v>
      </c>
      <c r="J2101" s="3">
        <v>51.48</v>
      </c>
      <c r="K2101" s="4">
        <f t="shared" si="1"/>
        <v>48802.6125</v>
      </c>
      <c r="L2101" s="4">
        <f t="shared" si="2"/>
        <v>1.31158962</v>
      </c>
    </row>
    <row r="2102">
      <c r="A2102" s="3" t="s">
        <v>141</v>
      </c>
      <c r="B2102" s="3">
        <v>16.5</v>
      </c>
      <c r="C2102" s="3">
        <v>2.67</v>
      </c>
      <c r="D2102" s="3">
        <v>254.0</v>
      </c>
      <c r="E2102" s="3">
        <v>6.34</v>
      </c>
      <c r="F2102" s="3">
        <v>-6.31</v>
      </c>
      <c r="G2102" s="3">
        <v>225.64</v>
      </c>
      <c r="H2102" s="3">
        <v>218.17</v>
      </c>
      <c r="I2102" s="3">
        <v>1415.29</v>
      </c>
      <c r="J2102" s="3">
        <v>40.48</v>
      </c>
      <c r="K2102" s="4">
        <f t="shared" si="1"/>
        <v>50953.2257</v>
      </c>
      <c r="L2102" s="4">
        <f t="shared" si="2"/>
        <v>1.266180877</v>
      </c>
    </row>
    <row r="2103">
      <c r="A2103" s="3" t="s">
        <v>141</v>
      </c>
      <c r="B2103" s="3">
        <v>16.5</v>
      </c>
      <c r="C2103" s="3">
        <v>2.75</v>
      </c>
      <c r="D2103" s="3">
        <v>256.0</v>
      </c>
      <c r="E2103" s="3">
        <v>6.22</v>
      </c>
      <c r="F2103" s="3">
        <v>-6.56</v>
      </c>
      <c r="G2103" s="3">
        <v>230.0</v>
      </c>
      <c r="H2103" s="3">
        <v>215.36</v>
      </c>
      <c r="I2103" s="3">
        <v>1394.11</v>
      </c>
      <c r="J2103" s="3">
        <v>32.75</v>
      </c>
      <c r="K2103" s="4">
        <f t="shared" si="1"/>
        <v>52943.0336</v>
      </c>
      <c r="L2103" s="4">
        <f t="shared" si="2"/>
        <v>1.237858799</v>
      </c>
    </row>
    <row r="2104">
      <c r="A2104" s="3" t="s">
        <v>141</v>
      </c>
      <c r="B2104" s="3">
        <v>16.5</v>
      </c>
      <c r="C2104" s="3">
        <v>2.83</v>
      </c>
      <c r="D2104" s="3">
        <v>257.0</v>
      </c>
      <c r="E2104" s="3">
        <v>5.6</v>
      </c>
      <c r="F2104" s="3">
        <v>-6.82</v>
      </c>
      <c r="G2104" s="3">
        <v>234.46</v>
      </c>
      <c r="H2104" s="3">
        <v>212.6</v>
      </c>
      <c r="I2104" s="3">
        <v>1373.66</v>
      </c>
      <c r="J2104" s="3">
        <v>26.62</v>
      </c>
      <c r="K2104" s="4">
        <f t="shared" si="1"/>
        <v>55018.004</v>
      </c>
      <c r="L2104" s="4">
        <f t="shared" si="2"/>
        <v>1.200497932</v>
      </c>
    </row>
    <row r="2105">
      <c r="A2105" s="3" t="s">
        <v>141</v>
      </c>
      <c r="B2105" s="3">
        <v>16.5</v>
      </c>
      <c r="C2105" s="3">
        <v>2.92</v>
      </c>
      <c r="D2105" s="3">
        <v>259.0</v>
      </c>
      <c r="E2105" s="3">
        <v>8.73</v>
      </c>
      <c r="F2105" s="3">
        <v>-7.07</v>
      </c>
      <c r="G2105" s="3">
        <v>239.57</v>
      </c>
      <c r="H2105" s="3">
        <v>209.57</v>
      </c>
      <c r="I2105" s="3">
        <v>1344.19</v>
      </c>
      <c r="J2105" s="3">
        <v>20.95</v>
      </c>
      <c r="K2105" s="4">
        <f t="shared" si="1"/>
        <v>57443.7698</v>
      </c>
      <c r="L2105" s="4">
        <f t="shared" si="2"/>
        <v>1.167768067</v>
      </c>
    </row>
    <row r="2106">
      <c r="A2106" s="3" t="s">
        <v>141</v>
      </c>
      <c r="B2106" s="3">
        <v>16.5</v>
      </c>
      <c r="C2106" s="3">
        <v>3.0</v>
      </c>
      <c r="D2106" s="3">
        <v>260.0</v>
      </c>
      <c r="E2106" s="3">
        <v>5.19</v>
      </c>
      <c r="F2106" s="3">
        <v>-7.31</v>
      </c>
      <c r="G2106" s="3">
        <v>243.97</v>
      </c>
      <c r="H2106" s="3">
        <v>206.96</v>
      </c>
      <c r="I2106" s="3">
        <v>1311.28</v>
      </c>
      <c r="J2106" s="3">
        <v>16.93</v>
      </c>
      <c r="K2106" s="4">
        <f t="shared" si="1"/>
        <v>59574.797</v>
      </c>
      <c r="L2106" s="4">
        <f t="shared" si="2"/>
        <v>1.134708021</v>
      </c>
    </row>
    <row r="2107">
      <c r="A2107" s="3" t="s">
        <v>141</v>
      </c>
      <c r="B2107" s="3">
        <v>16.5</v>
      </c>
      <c r="C2107" s="3">
        <v>3.09</v>
      </c>
      <c r="D2107" s="3">
        <v>262.0</v>
      </c>
      <c r="E2107" s="3">
        <v>11.0</v>
      </c>
      <c r="F2107" s="3">
        <v>-7.55</v>
      </c>
      <c r="G2107" s="3">
        <v>248.68</v>
      </c>
      <c r="H2107" s="3">
        <v>204.14</v>
      </c>
      <c r="I2107" s="3">
        <v>1269.31</v>
      </c>
      <c r="J2107" s="3">
        <v>13.39</v>
      </c>
      <c r="K2107" s="4">
        <f t="shared" si="1"/>
        <v>61898.7449</v>
      </c>
      <c r="L2107" s="4">
        <f t="shared" si="2"/>
        <v>1.108972405</v>
      </c>
    </row>
    <row r="2108">
      <c r="A2108" s="3" t="s">
        <v>141</v>
      </c>
      <c r="B2108" s="3">
        <v>16.5</v>
      </c>
      <c r="C2108" s="3">
        <v>3.18</v>
      </c>
      <c r="D2108" s="3">
        <v>263.0</v>
      </c>
      <c r="E2108" s="3">
        <v>16.0</v>
      </c>
      <c r="F2108" s="3">
        <v>-7.78</v>
      </c>
      <c r="G2108" s="3">
        <v>252.98</v>
      </c>
      <c r="H2108" s="3">
        <v>201.42</v>
      </c>
      <c r="I2108" s="3">
        <v>1224.91</v>
      </c>
      <c r="J2108" s="3">
        <v>10.58</v>
      </c>
      <c r="K2108" s="4">
        <f t="shared" si="1"/>
        <v>64059.4088</v>
      </c>
      <c r="L2108" s="4">
        <f t="shared" si="2"/>
        <v>1.079763321</v>
      </c>
    </row>
    <row r="2109">
      <c r="A2109" s="3" t="s">
        <v>141</v>
      </c>
      <c r="B2109" s="3">
        <v>16.5</v>
      </c>
      <c r="C2109" s="3">
        <v>3.27</v>
      </c>
      <c r="D2109" s="3">
        <v>264.0</v>
      </c>
      <c r="E2109" s="3">
        <v>13.1</v>
      </c>
      <c r="F2109" s="3">
        <v>-8.0</v>
      </c>
      <c r="G2109" s="3">
        <v>256.93</v>
      </c>
      <c r="H2109" s="3">
        <v>198.78</v>
      </c>
      <c r="I2109" s="3">
        <v>1182.82</v>
      </c>
      <c r="J2109" s="3">
        <v>8.31</v>
      </c>
      <c r="K2109" s="4">
        <f t="shared" si="1"/>
        <v>66077.0249</v>
      </c>
      <c r="L2109" s="4">
        <f t="shared" si="2"/>
        <v>1.054769038</v>
      </c>
    </row>
    <row r="2110">
      <c r="A2110" s="3" t="s">
        <v>141</v>
      </c>
      <c r="B2110" s="3">
        <v>16.5</v>
      </c>
      <c r="C2110" s="3">
        <v>3.35</v>
      </c>
      <c r="D2110" s="3">
        <v>266.0</v>
      </c>
      <c r="E2110" s="3">
        <v>11.8</v>
      </c>
      <c r="F2110" s="3">
        <v>-8.21</v>
      </c>
      <c r="G2110" s="3">
        <v>260.17</v>
      </c>
      <c r="H2110" s="3">
        <v>196.48</v>
      </c>
      <c r="I2110" s="3">
        <v>1144.53</v>
      </c>
      <c r="J2110" s="3">
        <v>6.73</v>
      </c>
      <c r="K2110" s="4">
        <f t="shared" si="1"/>
        <v>67755.833</v>
      </c>
      <c r="L2110" s="4">
        <f t="shared" si="2"/>
        <v>1.044279095</v>
      </c>
    </row>
    <row r="2111">
      <c r="A2111" s="3" t="s">
        <v>141</v>
      </c>
      <c r="B2111" s="3">
        <v>16.5</v>
      </c>
      <c r="C2111" s="3">
        <v>3.43</v>
      </c>
      <c r="D2111" s="3">
        <v>267.0</v>
      </c>
      <c r="E2111" s="3">
        <v>12.7</v>
      </c>
      <c r="F2111" s="3">
        <v>-8.4</v>
      </c>
      <c r="G2111" s="3">
        <v>263.1</v>
      </c>
      <c r="H2111" s="3">
        <v>194.27</v>
      </c>
      <c r="I2111" s="3">
        <v>1105.43</v>
      </c>
      <c r="J2111" s="3">
        <v>5.47</v>
      </c>
      <c r="K2111" s="4">
        <f t="shared" si="1"/>
        <v>69292.17</v>
      </c>
      <c r="L2111" s="4">
        <f t="shared" si="2"/>
        <v>1.028817542</v>
      </c>
    </row>
    <row r="2112">
      <c r="A2112" s="3" t="s">
        <v>141</v>
      </c>
      <c r="B2112" s="3">
        <v>16.5</v>
      </c>
      <c r="C2112" s="3">
        <v>4.21</v>
      </c>
      <c r="D2112" s="3">
        <v>280.0</v>
      </c>
      <c r="E2112" s="3">
        <v>5.52</v>
      </c>
      <c r="F2112" s="3">
        <v>-9.93</v>
      </c>
      <c r="G2112" s="3">
        <v>282.25</v>
      </c>
      <c r="H2112" s="3">
        <v>175.61</v>
      </c>
      <c r="I2112" s="3">
        <v>838.68</v>
      </c>
      <c r="J2112" s="3">
        <v>0.7</v>
      </c>
      <c r="K2112" s="4">
        <f t="shared" si="1"/>
        <v>79763.6674</v>
      </c>
      <c r="L2112" s="4">
        <f t="shared" si="2"/>
        <v>0.9829036522</v>
      </c>
    </row>
    <row r="2113">
      <c r="A2113" s="3" t="s">
        <v>141</v>
      </c>
      <c r="B2113" s="3">
        <v>16.5</v>
      </c>
      <c r="C2113" s="3">
        <v>4.29</v>
      </c>
      <c r="D2113" s="3">
        <v>282.0</v>
      </c>
      <c r="E2113" s="3">
        <v>2.35</v>
      </c>
      <c r="F2113" s="3">
        <v>-10.07</v>
      </c>
      <c r="G2113" s="3">
        <v>283.7</v>
      </c>
      <c r="H2113" s="3">
        <v>173.97</v>
      </c>
      <c r="I2113" s="3">
        <v>817.02</v>
      </c>
      <c r="J2113" s="3">
        <v>0.56</v>
      </c>
      <c r="K2113" s="4">
        <f t="shared" si="1"/>
        <v>80587.0949</v>
      </c>
      <c r="L2113" s="4">
        <f t="shared" si="2"/>
        <v>0.9868081248</v>
      </c>
    </row>
    <row r="2114">
      <c r="A2114" s="3" t="s">
        <v>141</v>
      </c>
      <c r="B2114" s="3">
        <v>16.5</v>
      </c>
      <c r="C2114" s="3">
        <v>4.38</v>
      </c>
      <c r="D2114" s="3">
        <v>283.0</v>
      </c>
      <c r="E2114" s="3">
        <v>5.1</v>
      </c>
      <c r="F2114" s="3">
        <v>-10.2</v>
      </c>
      <c r="G2114" s="3">
        <v>285.12</v>
      </c>
      <c r="H2114" s="3">
        <v>172.2</v>
      </c>
      <c r="I2114" s="3">
        <v>793.56</v>
      </c>
      <c r="J2114" s="3">
        <v>0.44</v>
      </c>
      <c r="K2114" s="4">
        <f t="shared" si="1"/>
        <v>81397.4544</v>
      </c>
      <c r="L2114" s="4">
        <f t="shared" si="2"/>
        <v>0.9839251189</v>
      </c>
    </row>
    <row r="2115">
      <c r="A2115" s="3" t="s">
        <v>141</v>
      </c>
      <c r="B2115" s="3">
        <v>16.5</v>
      </c>
      <c r="C2115" s="3">
        <v>4.47</v>
      </c>
      <c r="D2115" s="3">
        <v>285.0</v>
      </c>
      <c r="E2115" s="3">
        <v>4.61</v>
      </c>
      <c r="F2115" s="3">
        <v>-10.32</v>
      </c>
      <c r="G2115" s="3">
        <v>286.54</v>
      </c>
      <c r="H2115" s="3">
        <v>170.45</v>
      </c>
      <c r="I2115" s="3">
        <v>771.06</v>
      </c>
      <c r="J2115" s="3">
        <v>0.35</v>
      </c>
      <c r="K2115" s="4">
        <f t="shared" si="1"/>
        <v>82211.674</v>
      </c>
      <c r="L2115" s="4">
        <f t="shared" si="2"/>
        <v>0.9879983711</v>
      </c>
    </row>
    <row r="2116">
      <c r="A2116" s="3" t="s">
        <v>141</v>
      </c>
      <c r="B2116" s="3">
        <v>16.5</v>
      </c>
      <c r="C2116" s="3">
        <v>4.8</v>
      </c>
      <c r="D2116" s="3">
        <v>290.0</v>
      </c>
      <c r="E2116" s="3">
        <v>10.8</v>
      </c>
      <c r="F2116" s="3">
        <v>-10.66</v>
      </c>
      <c r="G2116" s="3">
        <v>290.98</v>
      </c>
      <c r="H2116" s="3">
        <v>164.51</v>
      </c>
      <c r="I2116" s="3">
        <v>698.48</v>
      </c>
      <c r="J2116" s="3">
        <v>0.15</v>
      </c>
      <c r="K2116" s="4">
        <f t="shared" si="1"/>
        <v>84782.996</v>
      </c>
      <c r="L2116" s="4">
        <f t="shared" si="2"/>
        <v>0.9919441865</v>
      </c>
    </row>
    <row r="2117">
      <c r="A2117" s="3" t="s">
        <v>141</v>
      </c>
      <c r="B2117" s="3">
        <v>16.5</v>
      </c>
      <c r="C2117" s="3">
        <v>5.25</v>
      </c>
      <c r="D2117" s="3">
        <v>296.0</v>
      </c>
      <c r="E2117" s="3">
        <v>2.85</v>
      </c>
      <c r="F2117" s="3">
        <v>-10.87</v>
      </c>
      <c r="G2117" s="3">
        <v>296.92</v>
      </c>
      <c r="H2117" s="3">
        <v>157.31</v>
      </c>
      <c r="I2117" s="3">
        <v>618.22</v>
      </c>
      <c r="J2117" s="3">
        <v>0.04</v>
      </c>
      <c r="K2117" s="4">
        <f t="shared" si="1"/>
        <v>88279.6433</v>
      </c>
      <c r="L2117" s="4">
        <f t="shared" si="2"/>
        <v>0.9924824877</v>
      </c>
    </row>
    <row r="2118">
      <c r="A2118" s="3" t="s">
        <v>141</v>
      </c>
      <c r="B2118" s="3">
        <v>16.5</v>
      </c>
      <c r="C2118" s="3">
        <v>5.32</v>
      </c>
      <c r="D2118" s="3">
        <v>298.0</v>
      </c>
      <c r="E2118" s="3">
        <v>1.92</v>
      </c>
      <c r="F2118" s="3">
        <v>-10.98</v>
      </c>
      <c r="G2118" s="3">
        <v>297.8</v>
      </c>
      <c r="H2118" s="3">
        <v>156.27</v>
      </c>
      <c r="I2118" s="3">
        <v>605.44</v>
      </c>
      <c r="J2118" s="3">
        <v>0.04</v>
      </c>
      <c r="K2118" s="4">
        <f t="shared" si="1"/>
        <v>88805.4004</v>
      </c>
      <c r="L2118" s="4">
        <f t="shared" si="2"/>
        <v>0.9999842307</v>
      </c>
    </row>
    <row r="2119">
      <c r="A2119" s="3" t="s">
        <v>141</v>
      </c>
      <c r="B2119" s="3">
        <v>16.5</v>
      </c>
      <c r="C2119" s="3">
        <v>5.41</v>
      </c>
      <c r="D2119" s="3">
        <v>299.0</v>
      </c>
      <c r="E2119" s="3">
        <v>4.29</v>
      </c>
      <c r="F2119" s="3">
        <v>-10.98</v>
      </c>
      <c r="G2119" s="3">
        <v>298.79</v>
      </c>
      <c r="H2119" s="3">
        <v>154.97</v>
      </c>
      <c r="I2119" s="3">
        <v>589.09</v>
      </c>
      <c r="J2119" s="3">
        <v>0.03</v>
      </c>
      <c r="K2119" s="4">
        <f t="shared" si="1"/>
        <v>89396.0245</v>
      </c>
      <c r="L2119" s="4">
        <f t="shared" si="2"/>
        <v>1.000055657</v>
      </c>
    </row>
    <row r="2120">
      <c r="A2120" s="3" t="s">
        <v>141</v>
      </c>
      <c r="B2120" s="3">
        <v>16.5</v>
      </c>
      <c r="C2120" s="3">
        <v>5.5</v>
      </c>
      <c r="D2120" s="3">
        <v>300.0</v>
      </c>
      <c r="E2120" s="3">
        <v>4.92</v>
      </c>
      <c r="F2120" s="3">
        <v>-10.87</v>
      </c>
      <c r="G2120" s="3">
        <v>299.65</v>
      </c>
      <c r="H2120" s="3">
        <v>153.7</v>
      </c>
      <c r="I2120" s="3">
        <v>572.85</v>
      </c>
      <c r="J2120" s="3">
        <v>0.02</v>
      </c>
      <c r="K2120" s="4">
        <f t="shared" si="1"/>
        <v>89908.2794</v>
      </c>
      <c r="L2120" s="4">
        <f t="shared" si="2"/>
        <v>1.001020157</v>
      </c>
    </row>
    <row r="2121">
      <c r="A2121" s="3" t="s">
        <v>141</v>
      </c>
      <c r="B2121" s="3">
        <v>16.5</v>
      </c>
      <c r="C2121" s="3">
        <v>5.58</v>
      </c>
      <c r="D2121" s="3">
        <v>301.0</v>
      </c>
      <c r="E2121" s="3">
        <v>2.24</v>
      </c>
      <c r="F2121" s="3">
        <v>-10.87</v>
      </c>
      <c r="G2121" s="3">
        <v>300.25</v>
      </c>
      <c r="H2121" s="3">
        <v>152.59</v>
      </c>
      <c r="I2121" s="3">
        <v>558.57</v>
      </c>
      <c r="J2121" s="3">
        <v>0.02</v>
      </c>
      <c r="K2121" s="4">
        <f t="shared" si="1"/>
        <v>90268.2194</v>
      </c>
      <c r="L2121" s="4">
        <f t="shared" si="2"/>
        <v>1.003686575</v>
      </c>
    </row>
    <row r="2122">
      <c r="A2122" s="3" t="s">
        <v>141</v>
      </c>
      <c r="B2122" s="3">
        <v>16.5</v>
      </c>
      <c r="C2122" s="3">
        <v>5.67</v>
      </c>
      <c r="D2122" s="3">
        <v>302.0</v>
      </c>
      <c r="E2122" s="3">
        <v>4.59</v>
      </c>
      <c r="F2122" s="3">
        <v>-10.87</v>
      </c>
      <c r="G2122" s="3">
        <v>300.59</v>
      </c>
      <c r="H2122" s="3">
        <v>151.39</v>
      </c>
      <c r="I2122" s="3">
        <v>543.65</v>
      </c>
      <c r="J2122" s="3">
        <v>0.01</v>
      </c>
      <c r="K2122" s="4">
        <f t="shared" si="1"/>
        <v>90472.505</v>
      </c>
      <c r="L2122" s="4">
        <f t="shared" si="2"/>
        <v>1.008085274</v>
      </c>
    </row>
    <row r="2123">
      <c r="A2123" s="3" t="s">
        <v>141</v>
      </c>
      <c r="B2123" s="3">
        <v>16.5</v>
      </c>
      <c r="C2123" s="3">
        <v>5.76</v>
      </c>
      <c r="D2123" s="3">
        <v>303.0</v>
      </c>
      <c r="E2123" s="3">
        <v>5.07</v>
      </c>
      <c r="F2123" s="3">
        <v>-10.77</v>
      </c>
      <c r="G2123" s="3">
        <v>301.15</v>
      </c>
      <c r="H2123" s="3">
        <v>150.21</v>
      </c>
      <c r="I2123" s="3">
        <v>529.17</v>
      </c>
      <c r="J2123" s="3">
        <v>0.01</v>
      </c>
      <c r="K2123" s="4">
        <f t="shared" si="1"/>
        <v>90807.3154</v>
      </c>
      <c r="L2123" s="4">
        <f t="shared" si="2"/>
        <v>1.01103088</v>
      </c>
    </row>
    <row r="2124">
      <c r="A2124" s="3" t="s">
        <v>141</v>
      </c>
      <c r="B2124" s="3">
        <v>16.5</v>
      </c>
      <c r="C2124" s="3">
        <v>6.0</v>
      </c>
      <c r="D2124" s="3">
        <v>306.0</v>
      </c>
      <c r="E2124" s="3">
        <v>7.89</v>
      </c>
      <c r="F2124" s="3">
        <v>-10.56</v>
      </c>
      <c r="G2124" s="3">
        <v>302.48</v>
      </c>
      <c r="H2124" s="3">
        <v>147.17</v>
      </c>
      <c r="I2124" s="3">
        <v>492.68</v>
      </c>
      <c r="J2124" s="3">
        <v>0.01</v>
      </c>
      <c r="K2124" s="4">
        <f t="shared" si="1"/>
        <v>91605.664</v>
      </c>
      <c r="L2124" s="4">
        <f t="shared" si="2"/>
        <v>1.02216387</v>
      </c>
    </row>
    <row r="2125">
      <c r="A2125" s="3" t="s">
        <v>141</v>
      </c>
      <c r="B2125" s="3">
        <v>16.5</v>
      </c>
      <c r="C2125" s="3">
        <v>6.18</v>
      </c>
      <c r="D2125" s="3">
        <v>307.0</v>
      </c>
      <c r="E2125" s="3">
        <v>4.41</v>
      </c>
      <c r="F2125" s="3">
        <v>-10.25</v>
      </c>
      <c r="G2125" s="3">
        <v>303.22</v>
      </c>
      <c r="H2125" s="3">
        <v>145.01</v>
      </c>
      <c r="I2125" s="3">
        <v>468.31</v>
      </c>
      <c r="J2125" s="3">
        <v>0.0</v>
      </c>
      <c r="K2125" s="4">
        <f t="shared" si="1"/>
        <v>92047.4309</v>
      </c>
      <c r="L2125" s="4">
        <f t="shared" si="2"/>
        <v>1.023917768</v>
      </c>
    </row>
    <row r="2126">
      <c r="A2126" s="3" t="s">
        <v>141</v>
      </c>
      <c r="B2126" s="3">
        <v>16.5</v>
      </c>
      <c r="C2126" s="3">
        <v>6.27</v>
      </c>
      <c r="D2126" s="3">
        <v>308.0</v>
      </c>
      <c r="E2126" s="3">
        <v>3.2</v>
      </c>
      <c r="F2126" s="3">
        <v>-10.11</v>
      </c>
      <c r="G2126" s="3">
        <v>303.58</v>
      </c>
      <c r="H2126" s="3">
        <v>143.96</v>
      </c>
      <c r="I2126" s="3">
        <v>458.48</v>
      </c>
      <c r="J2126" s="3">
        <v>0.0</v>
      </c>
      <c r="K2126" s="4">
        <f t="shared" si="1"/>
        <v>92263.0285</v>
      </c>
      <c r="L2126" s="4">
        <f t="shared" si="2"/>
        <v>1.028190832</v>
      </c>
    </row>
    <row r="2127">
      <c r="A2127" s="3" t="s">
        <v>141</v>
      </c>
      <c r="B2127" s="3">
        <v>16.5</v>
      </c>
      <c r="C2127" s="3">
        <v>6.36</v>
      </c>
      <c r="D2127" s="3">
        <v>309.0</v>
      </c>
      <c r="E2127" s="3">
        <v>6.66</v>
      </c>
      <c r="F2127" s="3">
        <v>-9.94</v>
      </c>
      <c r="G2127" s="3">
        <v>303.97</v>
      </c>
      <c r="H2127" s="3">
        <v>142.94</v>
      </c>
      <c r="I2127" s="3">
        <v>449.61</v>
      </c>
      <c r="J2127" s="3">
        <v>0.0</v>
      </c>
      <c r="K2127" s="4">
        <f t="shared" si="1"/>
        <v>92496.5645</v>
      </c>
      <c r="L2127" s="4">
        <f t="shared" si="2"/>
        <v>1.032265366</v>
      </c>
    </row>
    <row r="2128">
      <c r="A2128" s="3" t="s">
        <v>141</v>
      </c>
      <c r="B2128" s="3">
        <v>16.5</v>
      </c>
      <c r="C2128" s="3">
        <v>6.45</v>
      </c>
      <c r="D2128" s="3">
        <v>310.0</v>
      </c>
      <c r="E2128" s="3">
        <v>5.83</v>
      </c>
      <c r="F2128" s="3">
        <v>-9.76</v>
      </c>
      <c r="G2128" s="3">
        <v>304.41</v>
      </c>
      <c r="H2128" s="3">
        <v>141.93</v>
      </c>
      <c r="I2128" s="3">
        <v>441.7</v>
      </c>
      <c r="J2128" s="3">
        <v>0.0</v>
      </c>
      <c r="K2128" s="4">
        <f t="shared" si="1"/>
        <v>92760.7057</v>
      </c>
      <c r="L2128" s="4">
        <f t="shared" si="2"/>
        <v>1.035999018</v>
      </c>
    </row>
    <row r="2129">
      <c r="A2129" s="3" t="s">
        <v>141</v>
      </c>
      <c r="B2129" s="3">
        <v>16.5</v>
      </c>
      <c r="C2129" s="3">
        <v>6.53</v>
      </c>
      <c r="D2129" s="3">
        <v>310.0</v>
      </c>
      <c r="E2129" s="3">
        <v>3.83</v>
      </c>
      <c r="F2129" s="3">
        <v>-9.58</v>
      </c>
      <c r="G2129" s="3">
        <v>304.83</v>
      </c>
      <c r="H2129" s="3">
        <v>141.06</v>
      </c>
      <c r="I2129" s="3">
        <v>435.47</v>
      </c>
      <c r="J2129" s="3">
        <v>0.0</v>
      </c>
      <c r="K2129" s="4">
        <f t="shared" si="1"/>
        <v>93013.1053</v>
      </c>
      <c r="L2129" s="4">
        <f t="shared" si="2"/>
        <v>1.033187739</v>
      </c>
    </row>
    <row r="2130">
      <c r="A2130" s="3" t="s">
        <v>141</v>
      </c>
      <c r="B2130" s="3">
        <v>16.5</v>
      </c>
      <c r="C2130" s="3">
        <v>6.61</v>
      </c>
      <c r="D2130" s="3">
        <v>311.0</v>
      </c>
      <c r="E2130" s="3">
        <v>2.41</v>
      </c>
      <c r="F2130" s="3">
        <v>-9.37</v>
      </c>
      <c r="G2130" s="3">
        <v>305.34</v>
      </c>
      <c r="H2130" s="3">
        <v>140.2</v>
      </c>
      <c r="I2130" s="3">
        <v>430.01</v>
      </c>
      <c r="J2130" s="3">
        <v>0.0</v>
      </c>
      <c r="K2130" s="4">
        <f t="shared" si="1"/>
        <v>93320.3125</v>
      </c>
      <c r="L2130" s="4">
        <f t="shared" si="2"/>
        <v>1.036441021</v>
      </c>
    </row>
    <row r="2131">
      <c r="A2131" s="3" t="s">
        <v>141</v>
      </c>
      <c r="B2131" s="3">
        <v>16.5</v>
      </c>
      <c r="C2131" s="3">
        <v>6.7</v>
      </c>
      <c r="D2131" s="3">
        <v>312.0</v>
      </c>
      <c r="E2131" s="3">
        <v>1.25</v>
      </c>
      <c r="F2131" s="3">
        <v>-9.15</v>
      </c>
      <c r="G2131" s="3">
        <v>306.03</v>
      </c>
      <c r="H2131" s="3">
        <v>139.26</v>
      </c>
      <c r="I2131" s="3">
        <v>424.77</v>
      </c>
      <c r="J2131" s="3">
        <v>0.0</v>
      </c>
      <c r="K2131" s="4">
        <f t="shared" si="1"/>
        <v>93738.0834</v>
      </c>
      <c r="L2131" s="4">
        <f t="shared" si="2"/>
        <v>1.038468</v>
      </c>
    </row>
    <row r="2132">
      <c r="A2132" s="3" t="s">
        <v>141</v>
      </c>
      <c r="B2132" s="3">
        <v>16.5</v>
      </c>
      <c r="C2132" s="3">
        <v>6.79</v>
      </c>
      <c r="D2132" s="3">
        <v>312.0</v>
      </c>
      <c r="E2132" s="3">
        <v>3.61</v>
      </c>
      <c r="F2132" s="3">
        <v>-8.91</v>
      </c>
      <c r="G2132" s="3">
        <v>306.85</v>
      </c>
      <c r="H2132" s="3">
        <v>138.35</v>
      </c>
      <c r="I2132" s="3">
        <v>417.48</v>
      </c>
      <c r="J2132" s="3">
        <v>0.0</v>
      </c>
      <c r="K2132" s="4">
        <f t="shared" si="1"/>
        <v>94236.3106</v>
      </c>
      <c r="L2132" s="4">
        <f t="shared" si="2"/>
        <v>1.032977622</v>
      </c>
    </row>
    <row r="2133">
      <c r="A2133" s="3" t="s">
        <v>141</v>
      </c>
      <c r="B2133" s="3">
        <v>16.5</v>
      </c>
      <c r="C2133" s="3">
        <v>6.87</v>
      </c>
      <c r="D2133" s="3">
        <v>313.0</v>
      </c>
      <c r="E2133" s="3">
        <v>13.8</v>
      </c>
      <c r="F2133" s="3">
        <v>-8.64</v>
      </c>
      <c r="G2133" s="3">
        <v>307.19</v>
      </c>
      <c r="H2133" s="3">
        <v>137.53</v>
      </c>
      <c r="I2133" s="3">
        <v>408.19</v>
      </c>
      <c r="J2133" s="3">
        <v>0.0</v>
      </c>
      <c r="K2133" s="4">
        <f t="shared" si="1"/>
        <v>94440.3457</v>
      </c>
      <c r="L2133" s="4">
        <f t="shared" si="2"/>
        <v>1.037363844</v>
      </c>
    </row>
    <row r="2134">
      <c r="A2134" s="3" t="s">
        <v>141</v>
      </c>
      <c r="B2134" s="3">
        <v>16.5</v>
      </c>
      <c r="C2134" s="3">
        <v>6.96</v>
      </c>
      <c r="D2134" s="3">
        <v>313.0</v>
      </c>
      <c r="E2134" s="3">
        <v>4.58</v>
      </c>
      <c r="F2134" s="3">
        <v>-8.36</v>
      </c>
      <c r="G2134" s="3">
        <v>307.95</v>
      </c>
      <c r="H2134" s="3">
        <v>136.63</v>
      </c>
      <c r="I2134" s="3">
        <v>397.12</v>
      </c>
      <c r="J2134" s="3">
        <v>0.0</v>
      </c>
      <c r="K2134" s="4">
        <f t="shared" si="1"/>
        <v>94903.0921</v>
      </c>
      <c r="L2134" s="4">
        <f t="shared" si="2"/>
        <v>1.032305669</v>
      </c>
    </row>
    <row r="2135">
      <c r="A2135" s="3" t="s">
        <v>141</v>
      </c>
      <c r="B2135" s="3">
        <v>16.5</v>
      </c>
      <c r="C2135" s="3">
        <v>7.05</v>
      </c>
      <c r="D2135" s="3">
        <v>314.0</v>
      </c>
      <c r="E2135" s="3">
        <v>3.05</v>
      </c>
      <c r="F2135" s="3">
        <v>-8.05</v>
      </c>
      <c r="G2135" s="3">
        <v>308.63</v>
      </c>
      <c r="H2135" s="3">
        <v>135.75</v>
      </c>
      <c r="I2135" s="3">
        <v>385.39</v>
      </c>
      <c r="J2135" s="3">
        <v>0.0</v>
      </c>
      <c r="K2135" s="4">
        <f t="shared" si="1"/>
        <v>95317.2794</v>
      </c>
      <c r="L2135" s="4">
        <f t="shared" si="2"/>
        <v>1.034397967</v>
      </c>
    </row>
    <row r="2136">
      <c r="A2136" s="3" t="s">
        <v>141</v>
      </c>
      <c r="B2136" s="3">
        <v>16.5</v>
      </c>
      <c r="C2136" s="3">
        <v>7.2</v>
      </c>
      <c r="D2136" s="3">
        <v>315.0</v>
      </c>
      <c r="E2136" s="3">
        <v>1.38</v>
      </c>
      <c r="F2136" s="3">
        <v>-7.43</v>
      </c>
      <c r="G2136" s="3">
        <v>309.44</v>
      </c>
      <c r="H2136" s="3">
        <v>134.31</v>
      </c>
      <c r="I2136" s="3">
        <v>364.37</v>
      </c>
      <c r="J2136" s="3">
        <v>0.0</v>
      </c>
      <c r="K2136" s="4">
        <f t="shared" si="1"/>
        <v>95808.3185</v>
      </c>
      <c r="L2136" s="4">
        <f t="shared" si="2"/>
        <v>1.035661637</v>
      </c>
    </row>
    <row r="2137">
      <c r="A2137" s="3" t="s">
        <v>141</v>
      </c>
      <c r="B2137" s="3">
        <v>16.5</v>
      </c>
      <c r="C2137" s="3">
        <v>7.39</v>
      </c>
      <c r="D2137" s="3">
        <v>316.0</v>
      </c>
      <c r="E2137" s="3">
        <v>0.75</v>
      </c>
      <c r="F2137" s="3">
        <v>-6.59</v>
      </c>
      <c r="G2137" s="3">
        <v>309.73</v>
      </c>
      <c r="H2137" s="3">
        <v>132.58</v>
      </c>
      <c r="I2137" s="3">
        <v>335.1</v>
      </c>
      <c r="J2137" s="3">
        <v>0.0</v>
      </c>
      <c r="K2137" s="4">
        <f t="shared" si="1"/>
        <v>95976.101</v>
      </c>
      <c r="L2137" s="4">
        <f t="shared" si="2"/>
        <v>1.040425678</v>
      </c>
    </row>
    <row r="2138">
      <c r="A2138" s="3" t="s">
        <v>141</v>
      </c>
      <c r="B2138" s="3">
        <v>16.5</v>
      </c>
      <c r="C2138" s="3">
        <v>7.47</v>
      </c>
      <c r="D2138" s="3">
        <v>316.0</v>
      </c>
      <c r="E2138" s="3">
        <v>8.57</v>
      </c>
      <c r="F2138" s="3">
        <v>-6.16</v>
      </c>
      <c r="G2138" s="3">
        <v>309.53</v>
      </c>
      <c r="H2138" s="3">
        <v>131.86</v>
      </c>
      <c r="I2138" s="3">
        <v>325.32</v>
      </c>
      <c r="J2138" s="3">
        <v>0.0</v>
      </c>
      <c r="K2138" s="4">
        <f t="shared" si="1"/>
        <v>95846.7665</v>
      </c>
      <c r="L2138" s="4">
        <f t="shared" si="2"/>
        <v>1.041829617</v>
      </c>
    </row>
    <row r="2139">
      <c r="A2139" s="3" t="s">
        <v>141</v>
      </c>
      <c r="B2139" s="3">
        <v>16.5</v>
      </c>
      <c r="C2139" s="3">
        <v>7.99</v>
      </c>
      <c r="D2139" s="3">
        <v>318.0</v>
      </c>
      <c r="E2139" s="3">
        <v>1.36</v>
      </c>
      <c r="F2139" s="3">
        <v>-2.38</v>
      </c>
      <c r="G2139" s="3">
        <v>307.52</v>
      </c>
      <c r="H2139" s="3">
        <v>127.53</v>
      </c>
      <c r="I2139" s="3">
        <v>288.76</v>
      </c>
      <c r="J2139" s="3">
        <v>0.0</v>
      </c>
      <c r="K2139" s="4">
        <f t="shared" si="1"/>
        <v>94574.2148</v>
      </c>
      <c r="L2139" s="4">
        <f t="shared" si="2"/>
        <v>1.069255507</v>
      </c>
    </row>
    <row r="2140">
      <c r="A2140" s="3" t="s">
        <v>141</v>
      </c>
      <c r="B2140" s="3">
        <v>16.5</v>
      </c>
      <c r="C2140" s="3">
        <v>8.08</v>
      </c>
      <c r="D2140" s="3">
        <v>318.0</v>
      </c>
      <c r="E2140" s="3">
        <v>16.0</v>
      </c>
      <c r="F2140" s="3">
        <v>-0.67</v>
      </c>
      <c r="G2140" s="3">
        <v>307.34</v>
      </c>
      <c r="H2140" s="3">
        <v>126.82</v>
      </c>
      <c r="I2140" s="3">
        <v>285.24</v>
      </c>
      <c r="J2140" s="3">
        <v>0.0</v>
      </c>
      <c r="K2140" s="4">
        <f t="shared" si="1"/>
        <v>94458.3245</v>
      </c>
      <c r="L2140" s="4">
        <f t="shared" si="2"/>
        <v>1.07056737</v>
      </c>
    </row>
    <row r="2141">
      <c r="A2141" s="3" t="s">
        <v>141</v>
      </c>
      <c r="B2141" s="3">
        <v>16.5</v>
      </c>
      <c r="C2141" s="3">
        <v>8.16</v>
      </c>
      <c r="D2141" s="3">
        <v>318.0</v>
      </c>
      <c r="E2141" s="3">
        <v>5.5</v>
      </c>
      <c r="F2141" s="3">
        <v>2.0</v>
      </c>
      <c r="G2141" s="3">
        <v>307.11</v>
      </c>
      <c r="H2141" s="3">
        <v>126.2</v>
      </c>
      <c r="I2141" s="3">
        <v>282.8</v>
      </c>
      <c r="J2141" s="3">
        <v>0.0</v>
      </c>
      <c r="K2141" s="4">
        <f t="shared" si="1"/>
        <v>94320.5521</v>
      </c>
      <c r="L2141" s="4">
        <f t="shared" si="2"/>
        <v>1.072131129</v>
      </c>
    </row>
    <row r="2142">
      <c r="A2142" s="3" t="s">
        <v>141</v>
      </c>
      <c r="B2142" s="3">
        <v>16.5</v>
      </c>
      <c r="C2142" s="3">
        <v>8.25</v>
      </c>
      <c r="D2142" s="3">
        <v>319.0</v>
      </c>
      <c r="E2142" s="3">
        <v>2.94</v>
      </c>
      <c r="F2142" s="3">
        <v>2.92</v>
      </c>
      <c r="G2142" s="3">
        <v>307.22</v>
      </c>
      <c r="H2142" s="3">
        <v>125.51</v>
      </c>
      <c r="I2142" s="3">
        <v>276.89</v>
      </c>
      <c r="J2142" s="3">
        <v>0.0</v>
      </c>
      <c r="K2142" s="4">
        <f t="shared" si="1"/>
        <v>94392.6548</v>
      </c>
      <c r="L2142" s="4">
        <f t="shared" si="2"/>
        <v>1.078060578</v>
      </c>
    </row>
    <row r="2143">
      <c r="A2143" s="3" t="s">
        <v>141</v>
      </c>
      <c r="B2143" s="3">
        <v>16.5</v>
      </c>
      <c r="C2143" s="3">
        <v>8.34</v>
      </c>
      <c r="D2143" s="3">
        <v>319.0</v>
      </c>
      <c r="E2143" s="3">
        <v>1.74</v>
      </c>
      <c r="F2143" s="3">
        <v>3.49</v>
      </c>
      <c r="G2143" s="3">
        <v>307.32</v>
      </c>
      <c r="H2143" s="3">
        <v>124.83</v>
      </c>
      <c r="I2143" s="3">
        <v>270.93</v>
      </c>
      <c r="J2143" s="3">
        <v>0.0</v>
      </c>
      <c r="K2143" s="4">
        <f t="shared" si="1"/>
        <v>94457.7625</v>
      </c>
      <c r="L2143" s="4">
        <f t="shared" si="2"/>
        <v>1.077317494</v>
      </c>
    </row>
    <row r="2144">
      <c r="A2144" s="3" t="s">
        <v>141</v>
      </c>
      <c r="B2144" s="3">
        <v>16.5</v>
      </c>
      <c r="C2144" s="3">
        <v>8.4</v>
      </c>
      <c r="D2144" s="3">
        <v>319.0</v>
      </c>
      <c r="E2144" s="3">
        <v>2.2</v>
      </c>
      <c r="F2144" s="3">
        <v>3.85</v>
      </c>
      <c r="G2144" s="3">
        <v>307.36</v>
      </c>
      <c r="H2144" s="3">
        <v>124.38</v>
      </c>
      <c r="I2144" s="3">
        <v>266.95</v>
      </c>
      <c r="J2144" s="3">
        <v>0.0</v>
      </c>
      <c r="K2144" s="4">
        <f t="shared" si="1"/>
        <v>94484.9921</v>
      </c>
      <c r="L2144" s="4">
        <f t="shared" si="2"/>
        <v>1.077007022</v>
      </c>
    </row>
    <row r="2145">
      <c r="A2145" s="3" t="s">
        <v>141</v>
      </c>
      <c r="B2145" s="3">
        <v>16.5</v>
      </c>
      <c r="C2145" s="3">
        <v>9.59</v>
      </c>
      <c r="D2145" s="3">
        <v>319.0</v>
      </c>
      <c r="E2145" s="3">
        <v>3.23</v>
      </c>
      <c r="F2145" s="3">
        <v>7.94</v>
      </c>
      <c r="G2145" s="3">
        <v>304.71</v>
      </c>
      <c r="H2145" s="3">
        <v>116.41</v>
      </c>
      <c r="I2145" s="3">
        <v>195.24</v>
      </c>
      <c r="J2145" s="3">
        <v>0.0</v>
      </c>
      <c r="K2145" s="4">
        <f t="shared" si="1"/>
        <v>92911.2277</v>
      </c>
      <c r="L2145" s="4">
        <f t="shared" si="2"/>
        <v>1.095249762</v>
      </c>
    </row>
    <row r="2146">
      <c r="A2146" s="3" t="s">
        <v>141</v>
      </c>
      <c r="B2146" s="3">
        <v>16.5</v>
      </c>
      <c r="C2146" s="3">
        <v>10.8</v>
      </c>
      <c r="D2146" s="3">
        <v>317.0</v>
      </c>
      <c r="E2146" s="3">
        <v>4.08</v>
      </c>
      <c r="F2146" s="3">
        <v>12.02</v>
      </c>
      <c r="G2146" s="3">
        <v>299.89</v>
      </c>
      <c r="H2146" s="3">
        <v>109.7</v>
      </c>
      <c r="I2146" s="3">
        <v>155.37</v>
      </c>
      <c r="J2146" s="3">
        <v>0.0</v>
      </c>
      <c r="K2146" s="4">
        <f t="shared" si="1"/>
        <v>90078.4925</v>
      </c>
      <c r="L2146" s="4">
        <f t="shared" si="2"/>
        <v>1.115571511</v>
      </c>
    </row>
    <row r="2147">
      <c r="A2147" s="3" t="s">
        <v>141</v>
      </c>
      <c r="B2147" s="3">
        <v>16.5</v>
      </c>
      <c r="C2147" s="3">
        <v>12.02</v>
      </c>
      <c r="D2147" s="3">
        <v>312.0</v>
      </c>
      <c r="E2147" s="3">
        <v>2.62</v>
      </c>
      <c r="F2147" s="3">
        <v>17.77</v>
      </c>
      <c r="G2147" s="3">
        <v>298.77</v>
      </c>
      <c r="H2147" s="3">
        <v>103.98</v>
      </c>
      <c r="I2147" s="3">
        <v>118.88</v>
      </c>
      <c r="J2147" s="3">
        <v>0.0</v>
      </c>
      <c r="K2147" s="4">
        <f t="shared" si="1"/>
        <v>89579.2858</v>
      </c>
      <c r="L2147" s="4">
        <f t="shared" si="2"/>
        <v>1.086679796</v>
      </c>
    </row>
    <row r="2148">
      <c r="A2148" s="3" t="s">
        <v>141</v>
      </c>
      <c r="B2148" s="3">
        <v>16.5</v>
      </c>
      <c r="C2148" s="3">
        <v>13.22</v>
      </c>
      <c r="D2148" s="3">
        <v>308.0</v>
      </c>
      <c r="E2148" s="3">
        <v>0.76</v>
      </c>
      <c r="F2148" s="3">
        <v>22.79</v>
      </c>
      <c r="G2148" s="3">
        <v>295.36</v>
      </c>
      <c r="H2148" s="3">
        <v>99.15</v>
      </c>
      <c r="I2148" s="3">
        <v>82.4</v>
      </c>
      <c r="J2148" s="3">
        <v>0.0</v>
      </c>
      <c r="K2148" s="4">
        <f t="shared" si="1"/>
        <v>87756.9137</v>
      </c>
      <c r="L2148" s="4">
        <f t="shared" si="2"/>
        <v>1.080986056</v>
      </c>
    </row>
    <row r="2149">
      <c r="A2149" s="3" t="s">
        <v>141</v>
      </c>
      <c r="B2149" s="3">
        <v>16.5</v>
      </c>
      <c r="C2149" s="3">
        <v>14.42</v>
      </c>
      <c r="D2149" s="3">
        <v>303.0</v>
      </c>
      <c r="E2149" s="3">
        <v>1.86</v>
      </c>
      <c r="F2149" s="3">
        <v>24.88</v>
      </c>
      <c r="G2149" s="3">
        <v>287.38</v>
      </c>
      <c r="H2149" s="3">
        <v>94.93</v>
      </c>
      <c r="I2149" s="3">
        <v>50.37</v>
      </c>
      <c r="J2149" s="3">
        <v>0.0</v>
      </c>
      <c r="K2149" s="4">
        <f t="shared" si="1"/>
        <v>83206.2788</v>
      </c>
      <c r="L2149" s="4">
        <f t="shared" si="2"/>
        <v>1.103390289</v>
      </c>
    </row>
    <row r="2150">
      <c r="A2150" s="3" t="s">
        <v>141</v>
      </c>
      <c r="B2150" s="3">
        <v>16.5</v>
      </c>
      <c r="C2150" s="3">
        <v>15.63</v>
      </c>
      <c r="D2150" s="3">
        <v>298.0</v>
      </c>
      <c r="E2150" s="3">
        <v>1.34</v>
      </c>
      <c r="F2150" s="3">
        <v>24.46</v>
      </c>
      <c r="G2150" s="3">
        <v>274.79</v>
      </c>
      <c r="H2150" s="3">
        <v>91.19</v>
      </c>
      <c r="I2150" s="3">
        <v>30.81</v>
      </c>
      <c r="J2150" s="3">
        <v>0.0</v>
      </c>
      <c r="K2150" s="4">
        <f t="shared" si="1"/>
        <v>76107.8357</v>
      </c>
      <c r="L2150" s="4">
        <f t="shared" si="2"/>
        <v>1.166818097</v>
      </c>
    </row>
    <row r="2151">
      <c r="A2151" s="3" t="s">
        <v>141</v>
      </c>
      <c r="B2151" s="3">
        <v>16.5</v>
      </c>
      <c r="C2151" s="3">
        <v>16.83</v>
      </c>
      <c r="D2151" s="3">
        <v>296.0</v>
      </c>
      <c r="E2151" s="3">
        <v>1.41</v>
      </c>
      <c r="F2151" s="3">
        <v>24.25</v>
      </c>
      <c r="G2151" s="3">
        <v>262.23</v>
      </c>
      <c r="H2151" s="3">
        <v>87.87</v>
      </c>
      <c r="I2151" s="3">
        <v>22.51</v>
      </c>
      <c r="J2151" s="3">
        <v>0.0</v>
      </c>
      <c r="K2151" s="4">
        <f t="shared" si="1"/>
        <v>69352.6354</v>
      </c>
      <c r="L2151" s="4">
        <f t="shared" si="2"/>
        <v>1.2633406</v>
      </c>
    </row>
    <row r="2152">
      <c r="A2152" s="3" t="s">
        <v>141</v>
      </c>
      <c r="B2152" s="3">
        <v>16.5</v>
      </c>
      <c r="C2152" s="3">
        <v>18.03</v>
      </c>
      <c r="D2152" s="3">
        <v>294.0</v>
      </c>
      <c r="E2152" s="3">
        <v>1.15</v>
      </c>
      <c r="F2152" s="3">
        <v>25.92</v>
      </c>
      <c r="G2152" s="3">
        <v>253.58</v>
      </c>
      <c r="H2152" s="3">
        <v>84.9</v>
      </c>
      <c r="I2152" s="3">
        <v>18.71</v>
      </c>
      <c r="J2152" s="3">
        <v>0.0</v>
      </c>
      <c r="K2152" s="4">
        <f t="shared" si="1"/>
        <v>64974.6628</v>
      </c>
      <c r="L2152" s="4">
        <f t="shared" si="2"/>
        <v>1.330303172</v>
      </c>
    </row>
    <row r="2153">
      <c r="A2153" s="3" t="s">
        <v>141</v>
      </c>
      <c r="B2153" s="3">
        <v>16.5</v>
      </c>
      <c r="C2153" s="3">
        <v>19.23</v>
      </c>
      <c r="D2153" s="3">
        <v>294.0</v>
      </c>
      <c r="E2153" s="3">
        <v>0.59</v>
      </c>
      <c r="F2153" s="3">
        <v>28.33</v>
      </c>
      <c r="G2153" s="3">
        <v>245.5</v>
      </c>
      <c r="H2153" s="3">
        <v>82.21</v>
      </c>
      <c r="I2153" s="3">
        <v>12.92</v>
      </c>
      <c r="J2153" s="3">
        <v>0.0</v>
      </c>
      <c r="K2153" s="4">
        <f t="shared" si="1"/>
        <v>61072.8389</v>
      </c>
      <c r="L2153" s="4">
        <f t="shared" si="2"/>
        <v>1.415293632</v>
      </c>
    </row>
    <row r="2154">
      <c r="A2154" s="3" t="s">
        <v>141</v>
      </c>
      <c r="B2154" s="3">
        <v>16.5</v>
      </c>
      <c r="C2154" s="3">
        <v>20.43</v>
      </c>
      <c r="D2154" s="3">
        <v>294.0</v>
      </c>
      <c r="E2154" s="3">
        <v>0.5</v>
      </c>
      <c r="F2154" s="3">
        <v>31.05</v>
      </c>
      <c r="G2154" s="3">
        <v>237.34</v>
      </c>
      <c r="H2154" s="3">
        <v>79.76</v>
      </c>
      <c r="I2154" s="3">
        <v>9.23</v>
      </c>
      <c r="J2154" s="3">
        <v>0.0</v>
      </c>
      <c r="K2154" s="4">
        <f t="shared" si="1"/>
        <v>57294.3781</v>
      </c>
      <c r="L2154" s="4">
        <f t="shared" si="2"/>
        <v>1.508629692</v>
      </c>
    </row>
    <row r="2155">
      <c r="A2155" s="3" t="s">
        <v>141</v>
      </c>
      <c r="B2155" s="3">
        <v>16.5</v>
      </c>
      <c r="C2155" s="3">
        <v>21.64</v>
      </c>
      <c r="D2155" s="3">
        <v>292.0</v>
      </c>
      <c r="E2155" s="3">
        <v>1.21</v>
      </c>
      <c r="F2155" s="3">
        <v>33.56</v>
      </c>
      <c r="G2155" s="3">
        <v>229.62</v>
      </c>
      <c r="H2155" s="3">
        <v>77.5</v>
      </c>
      <c r="I2155" s="3">
        <v>6.57</v>
      </c>
      <c r="J2155" s="3">
        <v>0.0</v>
      </c>
      <c r="K2155" s="4">
        <f t="shared" si="1"/>
        <v>53851.618</v>
      </c>
      <c r="L2155" s="4">
        <f t="shared" si="2"/>
        <v>1.583313616</v>
      </c>
    </row>
    <row r="2156">
      <c r="A2156" s="3" t="s">
        <v>141</v>
      </c>
      <c r="B2156" s="3">
        <v>16.5</v>
      </c>
      <c r="C2156" s="3">
        <v>22.84</v>
      </c>
      <c r="D2156" s="3">
        <v>290.0</v>
      </c>
      <c r="E2156" s="3">
        <v>1.21</v>
      </c>
      <c r="F2156" s="3">
        <v>34.91</v>
      </c>
      <c r="G2156" s="3">
        <v>222.49</v>
      </c>
      <c r="H2156" s="3">
        <v>75.43</v>
      </c>
      <c r="I2156" s="3">
        <v>4.66</v>
      </c>
      <c r="J2156" s="3">
        <v>0.0</v>
      </c>
      <c r="K2156" s="4">
        <f t="shared" si="1"/>
        <v>50720.5082</v>
      </c>
      <c r="L2156" s="4">
        <f t="shared" si="2"/>
        <v>1.658106415</v>
      </c>
    </row>
    <row r="2157">
      <c r="A2157" s="3" t="s">
        <v>141</v>
      </c>
      <c r="B2157" s="3">
        <v>16.5</v>
      </c>
      <c r="C2157" s="3">
        <v>24.04</v>
      </c>
      <c r="D2157" s="3">
        <v>287.0</v>
      </c>
      <c r="E2157" s="3">
        <v>0.81</v>
      </c>
      <c r="F2157" s="3">
        <v>34.6</v>
      </c>
      <c r="G2157" s="3">
        <v>215.84</v>
      </c>
      <c r="H2157" s="3">
        <v>73.53</v>
      </c>
      <c r="I2157" s="3">
        <v>3.32</v>
      </c>
      <c r="J2157" s="3">
        <v>0.0</v>
      </c>
      <c r="K2157" s="4">
        <f t="shared" si="1"/>
        <v>47784.0656</v>
      </c>
      <c r="L2157" s="4">
        <f t="shared" si="2"/>
        <v>1.723775467</v>
      </c>
    </row>
    <row r="2158">
      <c r="A2158" s="3" t="s">
        <v>141</v>
      </c>
      <c r="B2158" s="3">
        <v>16.5</v>
      </c>
      <c r="C2158" s="3">
        <v>25.24</v>
      </c>
      <c r="D2158" s="3">
        <v>283.0</v>
      </c>
      <c r="E2158" s="3">
        <v>1.08</v>
      </c>
      <c r="F2158" s="3">
        <v>32.72</v>
      </c>
      <c r="G2158" s="3">
        <v>209.67</v>
      </c>
      <c r="H2158" s="3">
        <v>71.76</v>
      </c>
      <c r="I2158" s="3">
        <v>2.37</v>
      </c>
      <c r="J2158" s="3">
        <v>0.0</v>
      </c>
      <c r="K2158" s="4">
        <f t="shared" si="1"/>
        <v>45032.1073</v>
      </c>
      <c r="L2158" s="4">
        <f t="shared" si="2"/>
        <v>1.778486613</v>
      </c>
    </row>
    <row r="2159">
      <c r="A2159" s="3" t="s">
        <v>141</v>
      </c>
      <c r="B2159" s="3">
        <v>16.5</v>
      </c>
      <c r="C2159" s="3">
        <v>26.44</v>
      </c>
      <c r="D2159" s="3">
        <v>279.0</v>
      </c>
      <c r="E2159" s="3">
        <v>1.87</v>
      </c>
      <c r="F2159" s="3">
        <v>31.05</v>
      </c>
      <c r="G2159" s="3">
        <v>203.93</v>
      </c>
      <c r="H2159" s="3">
        <v>70.11</v>
      </c>
      <c r="I2159" s="3">
        <v>1.69</v>
      </c>
      <c r="J2159" s="3">
        <v>0.0</v>
      </c>
      <c r="K2159" s="4">
        <f t="shared" si="1"/>
        <v>42551.5474</v>
      </c>
      <c r="L2159" s="4">
        <f t="shared" si="2"/>
        <v>1.829334178</v>
      </c>
    </row>
    <row r="2160">
      <c r="A2160" s="3" t="s">
        <v>141</v>
      </c>
      <c r="B2160" s="3">
        <v>16.5</v>
      </c>
      <c r="C2160" s="3">
        <v>27.65</v>
      </c>
      <c r="D2160" s="3">
        <v>276.0</v>
      </c>
      <c r="E2160" s="3">
        <v>1.55</v>
      </c>
      <c r="F2160" s="3">
        <v>30.52</v>
      </c>
      <c r="G2160" s="3">
        <v>198.57</v>
      </c>
      <c r="H2160" s="3">
        <v>68.56</v>
      </c>
      <c r="I2160" s="3">
        <v>1.2</v>
      </c>
      <c r="J2160" s="3">
        <v>0.0</v>
      </c>
      <c r="K2160" s="4">
        <f t="shared" si="1"/>
        <v>40361.5153</v>
      </c>
      <c r="L2160" s="4">
        <f t="shared" si="2"/>
        <v>1.887342421</v>
      </c>
    </row>
    <row r="2161">
      <c r="A2161" s="3" t="s">
        <v>141</v>
      </c>
      <c r="B2161" s="3">
        <v>16.5</v>
      </c>
      <c r="C2161" s="3">
        <v>28.85</v>
      </c>
      <c r="D2161" s="3">
        <v>273.0</v>
      </c>
      <c r="E2161" s="3">
        <v>1.9</v>
      </c>
      <c r="F2161" s="3">
        <v>30.21</v>
      </c>
      <c r="G2161" s="3">
        <v>193.62</v>
      </c>
      <c r="H2161" s="3">
        <v>67.12</v>
      </c>
      <c r="I2161" s="3">
        <v>0.86</v>
      </c>
      <c r="J2161" s="3">
        <v>0.0</v>
      </c>
      <c r="K2161" s="4">
        <f t="shared" si="1"/>
        <v>38401.3485</v>
      </c>
      <c r="L2161" s="4">
        <f t="shared" si="2"/>
        <v>1.94079122</v>
      </c>
    </row>
    <row r="2162">
      <c r="A2162" s="3" t="s">
        <v>141</v>
      </c>
      <c r="B2162" s="3">
        <v>16.5</v>
      </c>
      <c r="C2162" s="3">
        <v>30.05</v>
      </c>
      <c r="D2162" s="3">
        <v>271.0</v>
      </c>
      <c r="E2162" s="3">
        <v>1.12</v>
      </c>
      <c r="F2162" s="3">
        <v>30.0</v>
      </c>
      <c r="G2162" s="3">
        <v>189.02</v>
      </c>
      <c r="H2162" s="3">
        <v>65.76</v>
      </c>
      <c r="I2162" s="3">
        <v>0.61</v>
      </c>
      <c r="J2162" s="3">
        <v>0.0</v>
      </c>
      <c r="K2162" s="4">
        <f t="shared" si="1"/>
        <v>36628.5604</v>
      </c>
      <c r="L2162" s="4">
        <f t="shared" si="2"/>
        <v>2.005020104</v>
      </c>
    </row>
    <row r="2163">
      <c r="A2163" s="3" t="s">
        <v>141</v>
      </c>
      <c r="B2163" s="3">
        <v>16.5</v>
      </c>
      <c r="C2163" s="3">
        <v>31.25</v>
      </c>
      <c r="D2163" s="3">
        <v>270.0</v>
      </c>
      <c r="E2163" s="3">
        <v>1.41</v>
      </c>
      <c r="F2163" s="3">
        <v>30.73</v>
      </c>
      <c r="G2163" s="3">
        <v>184.73</v>
      </c>
      <c r="H2163" s="3">
        <v>64.49</v>
      </c>
      <c r="I2163" s="3">
        <v>0.43</v>
      </c>
      <c r="J2163" s="3">
        <v>0.0</v>
      </c>
      <c r="K2163" s="4">
        <f t="shared" si="1"/>
        <v>35069.5058</v>
      </c>
      <c r="L2163" s="4">
        <f t="shared" si="2"/>
        <v>2.078729036</v>
      </c>
    </row>
    <row r="2164">
      <c r="A2164" s="3" t="s">
        <v>141</v>
      </c>
      <c r="B2164" s="3">
        <v>16.5</v>
      </c>
      <c r="C2164" s="3">
        <v>32.34</v>
      </c>
      <c r="D2164" s="3">
        <v>268.0</v>
      </c>
      <c r="E2164" s="3">
        <v>1.76</v>
      </c>
      <c r="F2164" s="3">
        <v>31.88</v>
      </c>
      <c r="G2164" s="3">
        <v>181.07</v>
      </c>
      <c r="H2164" s="3">
        <v>63.39</v>
      </c>
      <c r="I2164" s="3">
        <v>0.32</v>
      </c>
      <c r="J2164" s="3">
        <v>0.0</v>
      </c>
      <c r="K2164" s="4">
        <f t="shared" si="1"/>
        <v>33802.6793</v>
      </c>
      <c r="L2164" s="4">
        <f t="shared" si="2"/>
        <v>2.124801983</v>
      </c>
    </row>
    <row r="2165">
      <c r="A2165" s="3" t="s">
        <v>141</v>
      </c>
      <c r="B2165" s="3">
        <v>16.5</v>
      </c>
      <c r="C2165" s="3">
        <v>33.55</v>
      </c>
      <c r="D2165" s="3">
        <v>267.0</v>
      </c>
      <c r="E2165" s="3">
        <v>1.81</v>
      </c>
      <c r="F2165" s="3">
        <v>33.03</v>
      </c>
      <c r="G2165" s="3">
        <v>177.28</v>
      </c>
      <c r="H2165" s="3">
        <v>62.24</v>
      </c>
      <c r="I2165" s="3">
        <v>0.23</v>
      </c>
      <c r="J2165" s="3">
        <v>0.0</v>
      </c>
      <c r="K2165" s="4">
        <f t="shared" si="1"/>
        <v>32519.1793</v>
      </c>
      <c r="L2165" s="4">
        <f t="shared" si="2"/>
        <v>2.192213996</v>
      </c>
    </row>
    <row r="2166">
      <c r="A2166" s="3" t="s">
        <v>141</v>
      </c>
      <c r="B2166" s="3">
        <v>16.5</v>
      </c>
      <c r="C2166" s="3">
        <v>34.75</v>
      </c>
      <c r="D2166" s="3">
        <v>266.0</v>
      </c>
      <c r="E2166" s="3">
        <v>2.18</v>
      </c>
      <c r="F2166" s="3">
        <v>33.45</v>
      </c>
      <c r="G2166" s="3">
        <v>173.75</v>
      </c>
      <c r="H2166" s="3">
        <v>61.15</v>
      </c>
      <c r="I2166" s="3">
        <v>0.16</v>
      </c>
      <c r="J2166" s="3">
        <v>0.0</v>
      </c>
      <c r="K2166" s="4">
        <f t="shared" si="1"/>
        <v>31307.965</v>
      </c>
      <c r="L2166" s="4">
        <f t="shared" si="2"/>
        <v>2.259999971</v>
      </c>
    </row>
    <row r="2167">
      <c r="A2167" s="3" t="s">
        <v>141</v>
      </c>
      <c r="B2167" s="3">
        <v>16.5</v>
      </c>
      <c r="C2167" s="3">
        <v>35.95</v>
      </c>
      <c r="D2167" s="3">
        <v>265.0</v>
      </c>
      <c r="E2167" s="3">
        <v>3.01</v>
      </c>
      <c r="F2167" s="3">
        <v>33.24</v>
      </c>
      <c r="G2167" s="3">
        <v>170.44</v>
      </c>
      <c r="H2167" s="3">
        <v>60.13</v>
      </c>
      <c r="I2167" s="3">
        <v>0.12</v>
      </c>
      <c r="J2167" s="3">
        <v>0.0</v>
      </c>
      <c r="K2167" s="4">
        <f t="shared" si="1"/>
        <v>30154.6912</v>
      </c>
      <c r="L2167" s="4">
        <f t="shared" si="2"/>
        <v>2.328825042</v>
      </c>
    </row>
    <row r="2168">
      <c r="A2168" s="3" t="s">
        <v>141</v>
      </c>
      <c r="B2168" s="3">
        <v>16.5</v>
      </c>
      <c r="C2168" s="3">
        <v>37.15</v>
      </c>
      <c r="D2168" s="3">
        <v>264.0</v>
      </c>
      <c r="E2168" s="3">
        <v>2.04</v>
      </c>
      <c r="F2168" s="3">
        <v>32.93</v>
      </c>
      <c r="G2168" s="3">
        <v>167.32</v>
      </c>
      <c r="H2168" s="3">
        <v>59.15</v>
      </c>
      <c r="I2168" s="3">
        <v>0.08</v>
      </c>
      <c r="J2168" s="3">
        <v>0.0</v>
      </c>
      <c r="K2168" s="4">
        <f t="shared" si="1"/>
        <v>29080.3673</v>
      </c>
      <c r="L2168" s="4">
        <f t="shared" si="2"/>
        <v>2.39666849</v>
      </c>
    </row>
    <row r="2169">
      <c r="A2169" s="3" t="s">
        <v>141</v>
      </c>
      <c r="B2169" s="3">
        <v>16.5</v>
      </c>
      <c r="C2169" s="3">
        <v>38.35</v>
      </c>
      <c r="D2169" s="3">
        <v>264.0</v>
      </c>
      <c r="E2169" s="3">
        <v>1.58</v>
      </c>
      <c r="F2169" s="3">
        <v>32.82</v>
      </c>
      <c r="G2169" s="3">
        <v>164.38</v>
      </c>
      <c r="H2169" s="3">
        <v>58.21</v>
      </c>
      <c r="I2169" s="3">
        <v>0.06</v>
      </c>
      <c r="J2169" s="3">
        <v>0.0</v>
      </c>
      <c r="K2169" s="4">
        <f t="shared" si="1"/>
        <v>28097.9368</v>
      </c>
      <c r="L2169" s="4">
        <f t="shared" si="2"/>
        <v>2.480466822</v>
      </c>
    </row>
    <row r="2170">
      <c r="A2170" s="3" t="s">
        <v>141</v>
      </c>
      <c r="B2170" s="3">
        <v>16.5</v>
      </c>
      <c r="C2170" s="3">
        <v>39.56</v>
      </c>
      <c r="D2170" s="3">
        <v>264.0</v>
      </c>
      <c r="E2170" s="3">
        <v>3.23</v>
      </c>
      <c r="F2170" s="3">
        <v>33.03</v>
      </c>
      <c r="G2170" s="3">
        <v>161.57</v>
      </c>
      <c r="H2170" s="3">
        <v>57.32</v>
      </c>
      <c r="I2170" s="3">
        <v>0.04</v>
      </c>
      <c r="J2170" s="3">
        <v>0.0</v>
      </c>
      <c r="K2170" s="4">
        <f t="shared" si="1"/>
        <v>27195.8458</v>
      </c>
      <c r="L2170" s="4">
        <f t="shared" si="2"/>
        <v>2.562744344</v>
      </c>
    </row>
    <row r="2171">
      <c r="A2171" s="3" t="s">
        <v>141</v>
      </c>
      <c r="B2171" s="3">
        <v>16.5</v>
      </c>
      <c r="C2171" s="3">
        <v>40.76</v>
      </c>
      <c r="D2171" s="3">
        <v>264.0</v>
      </c>
      <c r="E2171" s="3">
        <v>2.94</v>
      </c>
      <c r="F2171" s="3">
        <v>33.76</v>
      </c>
      <c r="G2171" s="3">
        <v>158.94</v>
      </c>
      <c r="H2171" s="3">
        <v>56.47</v>
      </c>
      <c r="I2171" s="3">
        <v>0.03</v>
      </c>
      <c r="J2171" s="3">
        <v>0.0</v>
      </c>
      <c r="K2171" s="4">
        <f t="shared" si="1"/>
        <v>26401.6612</v>
      </c>
      <c r="L2171" s="4">
        <f t="shared" si="2"/>
        <v>2.63983389</v>
      </c>
    </row>
    <row r="2172">
      <c r="A2172" s="3" t="s">
        <v>141</v>
      </c>
      <c r="B2172" s="3">
        <v>16.5</v>
      </c>
      <c r="C2172" s="3">
        <v>41.96</v>
      </c>
      <c r="D2172" s="3">
        <v>264.0</v>
      </c>
      <c r="E2172" s="3">
        <v>1.62</v>
      </c>
      <c r="F2172" s="3">
        <v>34.29</v>
      </c>
      <c r="G2172" s="3">
        <v>156.44</v>
      </c>
      <c r="H2172" s="3">
        <v>55.65</v>
      </c>
      <c r="I2172" s="3">
        <v>0.02</v>
      </c>
      <c r="J2172" s="3">
        <v>0.0</v>
      </c>
      <c r="K2172" s="4">
        <f t="shared" si="1"/>
        <v>25649.2777</v>
      </c>
      <c r="L2172" s="4">
        <f t="shared" si="2"/>
        <v>2.7172695</v>
      </c>
    </row>
    <row r="2173">
      <c r="A2173" s="3" t="s">
        <v>141</v>
      </c>
      <c r="B2173" s="3">
        <v>16.5</v>
      </c>
      <c r="C2173" s="3">
        <v>43.16</v>
      </c>
      <c r="D2173" s="3">
        <v>264.0</v>
      </c>
      <c r="E2173" s="3">
        <v>2.15</v>
      </c>
      <c r="F2173" s="3">
        <v>34.29</v>
      </c>
      <c r="G2173" s="3">
        <v>154.06</v>
      </c>
      <c r="H2173" s="3">
        <v>54.87</v>
      </c>
      <c r="I2173" s="3">
        <v>0.02</v>
      </c>
      <c r="J2173" s="3">
        <v>0.0</v>
      </c>
      <c r="K2173" s="4">
        <f t="shared" si="1"/>
        <v>24910.2877</v>
      </c>
      <c r="L2173" s="4">
        <f t="shared" si="2"/>
        <v>2.797880171</v>
      </c>
    </row>
    <row r="2174">
      <c r="A2174" s="3" t="s">
        <v>141</v>
      </c>
      <c r="B2174" s="3">
        <v>16.5</v>
      </c>
      <c r="C2174" s="3">
        <v>44.36</v>
      </c>
      <c r="D2174" s="3">
        <v>262.0</v>
      </c>
      <c r="E2174" s="3">
        <v>4.45</v>
      </c>
      <c r="F2174" s="3">
        <v>34.08</v>
      </c>
      <c r="G2174" s="3">
        <v>151.79</v>
      </c>
      <c r="H2174" s="3">
        <v>54.13</v>
      </c>
      <c r="I2174" s="3">
        <v>0.01</v>
      </c>
      <c r="J2174" s="3">
        <v>0.0</v>
      </c>
      <c r="K2174" s="4">
        <f t="shared" si="1"/>
        <v>24201.6505</v>
      </c>
      <c r="L2174" s="4">
        <f t="shared" si="2"/>
        <v>2.836335481</v>
      </c>
    </row>
    <row r="2175">
      <c r="A2175" s="3" t="s">
        <v>141</v>
      </c>
      <c r="B2175" s="3">
        <v>16.5</v>
      </c>
      <c r="C2175" s="3">
        <v>45.57</v>
      </c>
      <c r="D2175" s="3">
        <v>260.0</v>
      </c>
      <c r="E2175" s="3">
        <v>7.43</v>
      </c>
      <c r="F2175" s="3">
        <v>34.39</v>
      </c>
      <c r="G2175" s="3">
        <v>149.61</v>
      </c>
      <c r="H2175" s="3">
        <v>53.4</v>
      </c>
      <c r="I2175" s="3">
        <v>0.01</v>
      </c>
      <c r="J2175" s="3">
        <v>0.0</v>
      </c>
      <c r="K2175" s="4">
        <f t="shared" si="1"/>
        <v>23565.8242</v>
      </c>
      <c r="L2175" s="4">
        <f t="shared" si="2"/>
        <v>2.86856082</v>
      </c>
    </row>
    <row r="2176">
      <c r="A2176" s="3" t="s">
        <v>141</v>
      </c>
      <c r="B2176" s="3">
        <v>16.5</v>
      </c>
      <c r="C2176" s="3">
        <v>46.77</v>
      </c>
      <c r="D2176" s="3">
        <v>258.0</v>
      </c>
      <c r="E2176" s="3">
        <v>7.22</v>
      </c>
      <c r="F2176" s="3">
        <v>34.81</v>
      </c>
      <c r="G2176" s="3">
        <v>147.54</v>
      </c>
      <c r="H2176" s="3">
        <v>52.71</v>
      </c>
      <c r="I2176" s="3">
        <v>0.01</v>
      </c>
      <c r="J2176" s="3">
        <v>0.0</v>
      </c>
      <c r="K2176" s="4">
        <f t="shared" si="1"/>
        <v>22979.7877</v>
      </c>
      <c r="L2176" s="4">
        <f t="shared" si="2"/>
        <v>2.896632505</v>
      </c>
    </row>
    <row r="2177">
      <c r="A2177" s="3" t="s">
        <v>141</v>
      </c>
      <c r="B2177" s="3">
        <v>16.5</v>
      </c>
      <c r="C2177" s="3">
        <v>47.97</v>
      </c>
      <c r="D2177" s="3">
        <v>257.0</v>
      </c>
      <c r="E2177" s="3">
        <v>5.37</v>
      </c>
      <c r="F2177" s="3">
        <v>34.81</v>
      </c>
      <c r="G2177" s="3">
        <v>145.56</v>
      </c>
      <c r="H2177" s="3">
        <v>52.05</v>
      </c>
      <c r="I2177" s="3">
        <v>0.0</v>
      </c>
      <c r="J2177" s="3">
        <v>0.0</v>
      </c>
      <c r="K2177" s="4">
        <f t="shared" si="1"/>
        <v>22399.4497</v>
      </c>
      <c r="L2177" s="4">
        <f t="shared" si="2"/>
        <v>2.948688512</v>
      </c>
    </row>
    <row r="2178">
      <c r="A2178" s="3" t="s">
        <v>141</v>
      </c>
      <c r="B2178" s="3">
        <v>16.5</v>
      </c>
      <c r="C2178" s="3">
        <v>49.17</v>
      </c>
      <c r="D2178" s="3">
        <v>258.0</v>
      </c>
      <c r="E2178" s="3">
        <v>5.43</v>
      </c>
      <c r="F2178" s="3">
        <v>34.6</v>
      </c>
      <c r="G2178" s="3">
        <v>143.67</v>
      </c>
      <c r="H2178" s="3">
        <v>51.41</v>
      </c>
      <c r="I2178" s="3">
        <v>0.0</v>
      </c>
      <c r="J2178" s="3">
        <v>0.0</v>
      </c>
      <c r="K2178" s="4">
        <f t="shared" si="1"/>
        <v>21838.2289</v>
      </c>
      <c r="L2178" s="4">
        <f t="shared" si="2"/>
        <v>3.048049377</v>
      </c>
    </row>
    <row r="2179">
      <c r="A2179" s="3" t="s">
        <v>141</v>
      </c>
      <c r="B2179" s="3">
        <v>16.5</v>
      </c>
      <c r="C2179" s="3">
        <v>50.37</v>
      </c>
      <c r="D2179" s="3">
        <v>260.0</v>
      </c>
      <c r="E2179" s="3">
        <v>6.47</v>
      </c>
      <c r="F2179" s="3">
        <v>34.6</v>
      </c>
      <c r="G2179" s="3">
        <v>141.84</v>
      </c>
      <c r="H2179" s="3">
        <v>50.79</v>
      </c>
      <c r="I2179" s="3">
        <v>0.0</v>
      </c>
      <c r="J2179" s="3">
        <v>0.0</v>
      </c>
      <c r="K2179" s="4">
        <f t="shared" si="1"/>
        <v>21315.7456</v>
      </c>
      <c r="L2179" s="4">
        <f t="shared" si="2"/>
        <v>3.171364552</v>
      </c>
    </row>
    <row r="2180">
      <c r="A2180" s="3" t="s">
        <v>141</v>
      </c>
      <c r="B2180" s="3">
        <v>16.5</v>
      </c>
      <c r="C2180" s="3">
        <v>51.58</v>
      </c>
      <c r="D2180" s="3">
        <v>263.0</v>
      </c>
      <c r="E2180" s="3">
        <v>5.75</v>
      </c>
      <c r="F2180" s="3">
        <v>34.6</v>
      </c>
      <c r="G2180" s="3">
        <v>140.1</v>
      </c>
      <c r="H2180" s="3">
        <v>50.2</v>
      </c>
      <c r="I2180" s="3">
        <v>0.0</v>
      </c>
      <c r="J2180" s="3">
        <v>0.0</v>
      </c>
      <c r="K2180" s="4">
        <f t="shared" si="1"/>
        <v>20825.17</v>
      </c>
      <c r="L2180" s="4">
        <f t="shared" si="2"/>
        <v>3.321413463</v>
      </c>
    </row>
    <row r="2181">
      <c r="A2181" s="3" t="s">
        <v>141</v>
      </c>
      <c r="B2181" s="3">
        <v>16.5</v>
      </c>
      <c r="C2181" s="3">
        <v>52.78</v>
      </c>
      <c r="D2181" s="3">
        <v>265.0</v>
      </c>
      <c r="E2181" s="3">
        <v>5.54</v>
      </c>
      <c r="F2181" s="3">
        <v>34.18</v>
      </c>
      <c r="G2181" s="3">
        <v>138.41</v>
      </c>
      <c r="H2181" s="3">
        <v>49.62</v>
      </c>
      <c r="I2181" s="3">
        <v>0.0</v>
      </c>
      <c r="J2181" s="3">
        <v>0.0</v>
      </c>
      <c r="K2181" s="4">
        <f t="shared" si="1"/>
        <v>20325.6005</v>
      </c>
      <c r="L2181" s="4">
        <f t="shared" si="2"/>
        <v>3.455002473</v>
      </c>
    </row>
    <row r="2182">
      <c r="A2182" s="3" t="s">
        <v>141</v>
      </c>
      <c r="B2182" s="3">
        <v>16.5</v>
      </c>
      <c r="C2182" s="3">
        <v>53.98</v>
      </c>
      <c r="D2182" s="3">
        <v>266.0</v>
      </c>
      <c r="E2182" s="3">
        <v>4.43</v>
      </c>
      <c r="F2182" s="3">
        <v>33.56</v>
      </c>
      <c r="G2182" s="3">
        <v>136.79</v>
      </c>
      <c r="H2182" s="3">
        <v>49.07</v>
      </c>
      <c r="I2182" s="3">
        <v>0.0</v>
      </c>
      <c r="J2182" s="3">
        <v>0.0</v>
      </c>
      <c r="K2182" s="4">
        <f t="shared" si="1"/>
        <v>19837.7777</v>
      </c>
      <c r="L2182" s="4">
        <f t="shared" si="2"/>
        <v>3.566730158</v>
      </c>
    </row>
    <row r="2183">
      <c r="A2183" s="3" t="s">
        <v>141</v>
      </c>
      <c r="B2183" s="3">
        <v>16.5</v>
      </c>
      <c r="C2183" s="3">
        <v>55.18</v>
      </c>
      <c r="D2183" s="3">
        <v>266.0</v>
      </c>
      <c r="E2183" s="3">
        <v>4.71</v>
      </c>
      <c r="F2183" s="3">
        <v>33.14</v>
      </c>
      <c r="G2183" s="3">
        <v>135.22</v>
      </c>
      <c r="H2183" s="3">
        <v>48.53</v>
      </c>
      <c r="I2183" s="3">
        <v>0.0</v>
      </c>
      <c r="J2183" s="3">
        <v>0.0</v>
      </c>
      <c r="K2183" s="4">
        <f t="shared" si="1"/>
        <v>19382.708</v>
      </c>
      <c r="L2183" s="4">
        <f t="shared" si="2"/>
        <v>3.650470306</v>
      </c>
    </row>
    <row r="2184">
      <c r="A2184" s="3" t="s">
        <v>141</v>
      </c>
      <c r="B2184" s="3">
        <v>16.5</v>
      </c>
      <c r="C2184" s="3">
        <v>57.59</v>
      </c>
      <c r="D2184" s="3">
        <v>262.0</v>
      </c>
      <c r="E2184" s="3">
        <v>5.28</v>
      </c>
      <c r="F2184" s="3">
        <v>32.72</v>
      </c>
      <c r="G2184" s="3">
        <v>132.24</v>
      </c>
      <c r="H2184" s="3">
        <v>47.5</v>
      </c>
      <c r="I2184" s="3">
        <v>0.0</v>
      </c>
      <c r="J2184" s="3">
        <v>0.0</v>
      </c>
      <c r="K2184" s="4">
        <f t="shared" si="1"/>
        <v>18558.016</v>
      </c>
      <c r="L2184" s="4">
        <f t="shared" si="2"/>
        <v>3.698886778</v>
      </c>
    </row>
    <row r="2185">
      <c r="A2185" s="3" t="s">
        <v>141</v>
      </c>
      <c r="B2185" s="3">
        <v>16.5</v>
      </c>
      <c r="C2185" s="3">
        <v>59.99</v>
      </c>
      <c r="D2185" s="3">
        <v>263.0</v>
      </c>
      <c r="E2185" s="3">
        <v>4.7</v>
      </c>
      <c r="F2185" s="3">
        <v>31.36</v>
      </c>
      <c r="G2185" s="3">
        <v>129.47</v>
      </c>
      <c r="H2185" s="3">
        <v>46.54</v>
      </c>
      <c r="I2185" s="3">
        <v>0.0</v>
      </c>
      <c r="J2185" s="3">
        <v>0.0</v>
      </c>
      <c r="K2185" s="4">
        <f t="shared" si="1"/>
        <v>17745.9305</v>
      </c>
      <c r="L2185" s="4">
        <f t="shared" si="2"/>
        <v>3.897738696</v>
      </c>
    </row>
    <row r="2186">
      <c r="A2186" s="3" t="s">
        <v>141</v>
      </c>
      <c r="B2186" s="3">
        <v>16.5</v>
      </c>
      <c r="C2186" s="3">
        <v>62.39</v>
      </c>
      <c r="D2186" s="3">
        <v>272.0</v>
      </c>
      <c r="E2186" s="3">
        <v>5.04</v>
      </c>
      <c r="F2186" s="3">
        <v>30.52</v>
      </c>
      <c r="G2186" s="3">
        <v>126.87</v>
      </c>
      <c r="H2186" s="3">
        <v>45.64</v>
      </c>
      <c r="I2186" s="3">
        <v>0.0</v>
      </c>
      <c r="J2186" s="3">
        <v>0.0</v>
      </c>
      <c r="K2186" s="4">
        <f t="shared" si="1"/>
        <v>17027.4673</v>
      </c>
      <c r="L2186" s="4">
        <f t="shared" si="2"/>
        <v>4.344979714</v>
      </c>
    </row>
    <row r="2187">
      <c r="A2187" s="3" t="s">
        <v>142</v>
      </c>
      <c r="B2187" s="3">
        <v>50.0</v>
      </c>
      <c r="C2187" s="3">
        <v>0.28</v>
      </c>
      <c r="D2187" s="3">
        <v>107.0</v>
      </c>
      <c r="E2187" s="3">
        <v>30.2</v>
      </c>
      <c r="F2187" s="3">
        <v>-1.6</v>
      </c>
      <c r="G2187" s="3">
        <v>13.69</v>
      </c>
      <c r="H2187" s="3">
        <v>91.46</v>
      </c>
      <c r="I2187" s="3">
        <v>618.49</v>
      </c>
      <c r="J2187" s="3">
        <v>5800.33</v>
      </c>
      <c r="K2187" s="4">
        <f t="shared" si="1"/>
        <v>189.9761</v>
      </c>
      <c r="L2187" s="4">
        <f t="shared" si="2"/>
        <v>60.2654755</v>
      </c>
    </row>
    <row r="2188">
      <c r="A2188" s="3" t="s">
        <v>142</v>
      </c>
      <c r="B2188" s="3">
        <v>50.0</v>
      </c>
      <c r="C2188" s="3">
        <v>0.55</v>
      </c>
      <c r="D2188" s="3">
        <v>121.0</v>
      </c>
      <c r="E2188" s="3">
        <v>15.6</v>
      </c>
      <c r="F2188" s="3">
        <v>-2.32</v>
      </c>
      <c r="G2188" s="3">
        <v>26.0</v>
      </c>
      <c r="H2188" s="3">
        <v>143.82</v>
      </c>
      <c r="I2188" s="3">
        <v>603.26</v>
      </c>
      <c r="J2188" s="3">
        <v>3274.79</v>
      </c>
      <c r="K2188" s="4">
        <f t="shared" si="1"/>
        <v>681.3824</v>
      </c>
      <c r="L2188" s="4">
        <f t="shared" si="2"/>
        <v>21.48720014</v>
      </c>
    </row>
    <row r="2189">
      <c r="A2189" s="3" t="s">
        <v>142</v>
      </c>
      <c r="B2189" s="3">
        <v>50.0</v>
      </c>
      <c r="C2189" s="3">
        <v>0.83</v>
      </c>
      <c r="D2189" s="3">
        <v>134.0</v>
      </c>
      <c r="E2189" s="3">
        <v>8.69</v>
      </c>
      <c r="F2189" s="3">
        <v>-3.04</v>
      </c>
      <c r="G2189" s="3">
        <v>37.95</v>
      </c>
      <c r="H2189" s="3">
        <v>161.88</v>
      </c>
      <c r="I2189" s="3">
        <v>587.86</v>
      </c>
      <c r="J2189" s="3">
        <v>1870.98</v>
      </c>
      <c r="K2189" s="4">
        <f t="shared" si="1"/>
        <v>1449.4441</v>
      </c>
      <c r="L2189" s="4">
        <f t="shared" si="2"/>
        <v>12.38819765</v>
      </c>
    </row>
    <row r="2190">
      <c r="A2190" s="3" t="s">
        <v>142</v>
      </c>
      <c r="B2190" s="3">
        <v>50.0</v>
      </c>
      <c r="C2190" s="3">
        <v>1.39</v>
      </c>
      <c r="D2190" s="3">
        <v>157.0</v>
      </c>
      <c r="E2190" s="3">
        <v>12.5</v>
      </c>
      <c r="F2190" s="3">
        <v>-4.39</v>
      </c>
      <c r="G2190" s="3">
        <v>60.02</v>
      </c>
      <c r="H2190" s="3">
        <v>171.18</v>
      </c>
      <c r="I2190" s="3">
        <v>558.23</v>
      </c>
      <c r="J2190" s="3">
        <v>849.89</v>
      </c>
      <c r="K2190" s="4">
        <f t="shared" si="1"/>
        <v>3621.6725</v>
      </c>
      <c r="L2190" s="4">
        <f t="shared" si="2"/>
        <v>6.80597155</v>
      </c>
    </row>
    <row r="2191">
      <c r="A2191" s="3" t="s">
        <v>142</v>
      </c>
      <c r="B2191" s="3">
        <v>50.0</v>
      </c>
      <c r="C2191" s="3">
        <v>1.65</v>
      </c>
      <c r="D2191" s="3">
        <v>168.0</v>
      </c>
      <c r="E2191" s="3">
        <v>11.7</v>
      </c>
      <c r="F2191" s="3">
        <v>-4.98</v>
      </c>
      <c r="G2191" s="3">
        <v>69.62</v>
      </c>
      <c r="H2191" s="3">
        <v>173.79</v>
      </c>
      <c r="I2191" s="3">
        <v>544.98</v>
      </c>
      <c r="J2191" s="3">
        <v>599.88</v>
      </c>
      <c r="K2191" s="4">
        <f t="shared" si="1"/>
        <v>4871.7448</v>
      </c>
      <c r="L2191" s="4">
        <f t="shared" si="2"/>
        <v>5.793406912</v>
      </c>
    </row>
    <row r="2192">
      <c r="A2192" s="3" t="s">
        <v>142</v>
      </c>
      <c r="B2192" s="3">
        <v>50.0</v>
      </c>
      <c r="C2192" s="3">
        <v>3.04</v>
      </c>
      <c r="D2192" s="3">
        <v>207.0</v>
      </c>
      <c r="E2192" s="3">
        <v>8.04</v>
      </c>
      <c r="F2192" s="3">
        <v>-7.06</v>
      </c>
      <c r="G2192" s="3">
        <v>115.86</v>
      </c>
      <c r="H2192" s="3">
        <v>156.1</v>
      </c>
      <c r="I2192" s="3">
        <v>470.23</v>
      </c>
      <c r="J2192" s="3">
        <v>10.13</v>
      </c>
      <c r="K2192" s="4">
        <f t="shared" si="1"/>
        <v>13473.3832</v>
      </c>
      <c r="L2192" s="4">
        <f t="shared" si="2"/>
        <v>3.180270268</v>
      </c>
    </row>
    <row r="2193">
      <c r="A2193" s="3" t="s">
        <v>142</v>
      </c>
      <c r="B2193" s="3">
        <v>50.0</v>
      </c>
      <c r="C2193" s="3">
        <v>3.32</v>
      </c>
      <c r="D2193" s="3">
        <v>213.0</v>
      </c>
      <c r="E2193" s="3">
        <v>6.53</v>
      </c>
      <c r="F2193" s="3">
        <v>-7.33</v>
      </c>
      <c r="G2193" s="3">
        <v>124.12</v>
      </c>
      <c r="H2193" s="3">
        <v>149.78</v>
      </c>
      <c r="I2193" s="3">
        <v>462.95</v>
      </c>
      <c r="J2193" s="3">
        <v>3.88</v>
      </c>
      <c r="K2193" s="4">
        <f t="shared" si="1"/>
        <v>15459.5033</v>
      </c>
      <c r="L2193" s="4">
        <f t="shared" si="2"/>
        <v>2.93469972</v>
      </c>
    </row>
    <row r="2194">
      <c r="A2194" s="3" t="s">
        <v>142</v>
      </c>
      <c r="B2194" s="3">
        <v>50.0</v>
      </c>
      <c r="C2194" s="3">
        <v>3.59</v>
      </c>
      <c r="D2194" s="3">
        <v>218.0</v>
      </c>
      <c r="E2194" s="3">
        <v>11.2</v>
      </c>
      <c r="F2194" s="3">
        <v>-7.54</v>
      </c>
      <c r="G2194" s="3">
        <v>132.68</v>
      </c>
      <c r="H2194" s="3">
        <v>144.22</v>
      </c>
      <c r="I2194" s="3">
        <v>455.55</v>
      </c>
      <c r="J2194" s="3">
        <v>1.53</v>
      </c>
      <c r="K2194" s="4">
        <f t="shared" si="1"/>
        <v>17660.834</v>
      </c>
      <c r="L2194" s="4">
        <f t="shared" si="2"/>
        <v>2.690926148</v>
      </c>
    </row>
    <row r="2195">
      <c r="A2195" s="3" t="s">
        <v>142</v>
      </c>
      <c r="B2195" s="3">
        <v>50.0</v>
      </c>
      <c r="C2195" s="3">
        <v>3.87</v>
      </c>
      <c r="D2195" s="3">
        <v>222.0</v>
      </c>
      <c r="E2195" s="3">
        <v>6.05</v>
      </c>
      <c r="F2195" s="3">
        <v>-7.69</v>
      </c>
      <c r="G2195" s="3">
        <v>142.15</v>
      </c>
      <c r="H2195" s="3">
        <v>138.97</v>
      </c>
      <c r="I2195" s="3">
        <v>450.84</v>
      </c>
      <c r="J2195" s="3">
        <v>0.59</v>
      </c>
      <c r="K2195" s="4">
        <f t="shared" si="1"/>
        <v>20265.7586</v>
      </c>
      <c r="L2195" s="4">
        <f t="shared" si="2"/>
        <v>2.431885279</v>
      </c>
    </row>
    <row r="2196">
      <c r="A2196" s="3" t="s">
        <v>142</v>
      </c>
      <c r="B2196" s="3">
        <v>50.0</v>
      </c>
      <c r="C2196" s="3">
        <v>4.15</v>
      </c>
      <c r="D2196" s="3">
        <v>226.0</v>
      </c>
      <c r="E2196" s="3">
        <v>5.41</v>
      </c>
      <c r="F2196" s="3">
        <v>-7.79</v>
      </c>
      <c r="G2196" s="3">
        <v>153.48</v>
      </c>
      <c r="H2196" s="3">
        <v>134.27</v>
      </c>
      <c r="I2196" s="3">
        <v>445.2</v>
      </c>
      <c r="J2196" s="3">
        <v>0.23</v>
      </c>
      <c r="K2196" s="4">
        <f t="shared" si="1"/>
        <v>23616.7945</v>
      </c>
      <c r="L2196" s="4">
        <f t="shared" si="2"/>
        <v>2.162698244</v>
      </c>
    </row>
    <row r="2197">
      <c r="A2197" s="3" t="s">
        <v>142</v>
      </c>
      <c r="B2197" s="3">
        <v>50.0</v>
      </c>
      <c r="C2197" s="3">
        <v>4.43</v>
      </c>
      <c r="D2197" s="3">
        <v>229.0</v>
      </c>
      <c r="E2197" s="3">
        <v>5.96</v>
      </c>
      <c r="F2197" s="3">
        <v>-7.83</v>
      </c>
      <c r="G2197" s="3">
        <v>164.2</v>
      </c>
      <c r="H2197" s="3">
        <v>129.95</v>
      </c>
      <c r="I2197" s="3">
        <v>417.46</v>
      </c>
      <c r="J2197" s="3">
        <v>0.09</v>
      </c>
      <c r="K2197" s="4">
        <f t="shared" si="1"/>
        <v>27022.9489</v>
      </c>
      <c r="L2197" s="4">
        <f t="shared" si="2"/>
        <v>1.94060982</v>
      </c>
    </row>
    <row r="2198">
      <c r="A2198" s="3" t="s">
        <v>142</v>
      </c>
      <c r="B2198" s="3">
        <v>50.0</v>
      </c>
      <c r="C2198" s="3">
        <v>4.7</v>
      </c>
      <c r="D2198" s="3">
        <v>232.0</v>
      </c>
      <c r="E2198" s="3">
        <v>7.41</v>
      </c>
      <c r="F2198" s="3">
        <v>-7.81</v>
      </c>
      <c r="G2198" s="3">
        <v>172.5</v>
      </c>
      <c r="H2198" s="3">
        <v>126.18</v>
      </c>
      <c r="I2198" s="3">
        <v>387.64</v>
      </c>
      <c r="J2198" s="3">
        <v>0.03</v>
      </c>
      <c r="K2198" s="4">
        <f t="shared" si="1"/>
        <v>29817.2461</v>
      </c>
      <c r="L2198" s="4">
        <f t="shared" si="2"/>
        <v>1.805129817</v>
      </c>
    </row>
    <row r="2199">
      <c r="A2199" s="3" t="s">
        <v>142</v>
      </c>
      <c r="B2199" s="3">
        <v>50.0</v>
      </c>
      <c r="C2199" s="3">
        <v>4.97</v>
      </c>
      <c r="D2199" s="3">
        <v>234.0</v>
      </c>
      <c r="E2199" s="3">
        <v>6.1</v>
      </c>
      <c r="F2199" s="3">
        <v>-7.72</v>
      </c>
      <c r="G2199" s="3">
        <v>178.86</v>
      </c>
      <c r="H2199" s="3">
        <v>122.67</v>
      </c>
      <c r="I2199" s="3">
        <v>357.56</v>
      </c>
      <c r="J2199" s="3">
        <v>0.01</v>
      </c>
      <c r="K2199" s="4">
        <f t="shared" si="1"/>
        <v>32050.498</v>
      </c>
      <c r="L2199" s="4">
        <f t="shared" si="2"/>
        <v>1.708428992</v>
      </c>
    </row>
    <row r="2200">
      <c r="A2200" s="3" t="s">
        <v>142</v>
      </c>
      <c r="B2200" s="3">
        <v>50.0</v>
      </c>
      <c r="C2200" s="3">
        <v>5.25</v>
      </c>
      <c r="D2200" s="3">
        <v>235.0</v>
      </c>
      <c r="E2200" s="3">
        <v>3.89</v>
      </c>
      <c r="F2200" s="3">
        <v>-7.58</v>
      </c>
      <c r="G2200" s="3">
        <v>184.4</v>
      </c>
      <c r="H2200" s="3">
        <v>119.35</v>
      </c>
      <c r="I2200" s="3">
        <v>339.44</v>
      </c>
      <c r="J2200" s="3">
        <v>0.01</v>
      </c>
      <c r="K2200" s="4">
        <f t="shared" si="1"/>
        <v>34060.8164</v>
      </c>
      <c r="L2200" s="4">
        <f t="shared" si="2"/>
        <v>1.621364543</v>
      </c>
    </row>
    <row r="2201">
      <c r="A2201" s="3" t="s">
        <v>142</v>
      </c>
      <c r="B2201" s="3">
        <v>50.0</v>
      </c>
      <c r="C2201" s="3">
        <v>5.52</v>
      </c>
      <c r="D2201" s="3">
        <v>236.0</v>
      </c>
      <c r="E2201" s="3">
        <v>9.03</v>
      </c>
      <c r="F2201" s="3">
        <v>-7.35</v>
      </c>
      <c r="G2201" s="3">
        <v>190.48</v>
      </c>
      <c r="H2201" s="3">
        <v>116.43</v>
      </c>
      <c r="I2201" s="3">
        <v>324.46</v>
      </c>
      <c r="J2201" s="3">
        <v>0.0</v>
      </c>
      <c r="K2201" s="4">
        <f t="shared" si="1"/>
        <v>36336.6529</v>
      </c>
      <c r="L2201" s="4">
        <f t="shared" si="2"/>
        <v>1.53277739</v>
      </c>
    </row>
    <row r="2202">
      <c r="A2202" s="3" t="s">
        <v>142</v>
      </c>
      <c r="B2202" s="3">
        <v>50.0</v>
      </c>
      <c r="C2202" s="3">
        <v>5.8</v>
      </c>
      <c r="D2202" s="3">
        <v>237.0</v>
      </c>
      <c r="E2202" s="3">
        <v>10.0</v>
      </c>
      <c r="F2202" s="3">
        <v>-7.05</v>
      </c>
      <c r="G2202" s="3">
        <v>196.76</v>
      </c>
      <c r="H2202" s="3">
        <v>113.55</v>
      </c>
      <c r="I2202" s="3">
        <v>303.79</v>
      </c>
      <c r="J2202" s="3">
        <v>0.0</v>
      </c>
      <c r="K2202" s="4">
        <f t="shared" si="1"/>
        <v>38764.2001</v>
      </c>
      <c r="L2202" s="4">
        <f t="shared" si="2"/>
        <v>1.448991592</v>
      </c>
    </row>
    <row r="2203">
      <c r="A2203" s="3" t="s">
        <v>142</v>
      </c>
      <c r="B2203" s="3">
        <v>50.0</v>
      </c>
      <c r="C2203" s="3">
        <v>6.08</v>
      </c>
      <c r="D2203" s="3">
        <v>237.0</v>
      </c>
      <c r="E2203" s="3">
        <v>7.36</v>
      </c>
      <c r="F2203" s="3">
        <v>-6.7</v>
      </c>
      <c r="G2203" s="3">
        <v>202.21</v>
      </c>
      <c r="H2203" s="3">
        <v>110.91</v>
      </c>
      <c r="I2203" s="3">
        <v>281.08</v>
      </c>
      <c r="J2203" s="3">
        <v>0.0</v>
      </c>
      <c r="K2203" s="4">
        <f t="shared" si="1"/>
        <v>40933.7741</v>
      </c>
      <c r="L2203" s="4">
        <f t="shared" si="2"/>
        <v>1.372192065</v>
      </c>
    </row>
    <row r="2204">
      <c r="A2204" s="3" t="s">
        <v>142</v>
      </c>
      <c r="B2204" s="3">
        <v>50.0</v>
      </c>
      <c r="C2204" s="3">
        <v>6.36</v>
      </c>
      <c r="D2204" s="3">
        <v>237.0</v>
      </c>
      <c r="E2204" s="3">
        <v>10.2</v>
      </c>
      <c r="F2204" s="3">
        <v>-6.27</v>
      </c>
      <c r="G2204" s="3">
        <v>207.12</v>
      </c>
      <c r="H2204" s="3">
        <v>108.43</v>
      </c>
      <c r="I2204" s="3">
        <v>256.11</v>
      </c>
      <c r="J2204" s="3">
        <v>0.0</v>
      </c>
      <c r="K2204" s="4">
        <f t="shared" si="1"/>
        <v>42938.0073</v>
      </c>
      <c r="L2204" s="4">
        <f t="shared" si="2"/>
        <v>1.30814175</v>
      </c>
    </row>
    <row r="2205">
      <c r="A2205" s="3" t="s">
        <v>142</v>
      </c>
      <c r="B2205" s="3">
        <v>50.0</v>
      </c>
      <c r="C2205" s="3">
        <v>6.63</v>
      </c>
      <c r="D2205" s="3">
        <v>236.0</v>
      </c>
      <c r="E2205" s="3">
        <v>10.4</v>
      </c>
      <c r="F2205" s="3">
        <v>-5.76</v>
      </c>
      <c r="G2205" s="3">
        <v>210.37</v>
      </c>
      <c r="H2205" s="3">
        <v>106.22</v>
      </c>
      <c r="I2205" s="3">
        <v>231.86</v>
      </c>
      <c r="J2205" s="3">
        <v>0.0</v>
      </c>
      <c r="K2205" s="4">
        <f t="shared" si="1"/>
        <v>44288.7145</v>
      </c>
      <c r="L2205" s="4">
        <f t="shared" si="2"/>
        <v>1.257566417</v>
      </c>
    </row>
    <row r="2206">
      <c r="A2206" s="3" t="s">
        <v>142</v>
      </c>
      <c r="B2206" s="3">
        <v>50.0</v>
      </c>
      <c r="C2206" s="3">
        <v>6.91</v>
      </c>
      <c r="D2206" s="3">
        <v>236.0</v>
      </c>
      <c r="E2206" s="3">
        <v>5.83</v>
      </c>
      <c r="F2206" s="3">
        <v>-5.16</v>
      </c>
      <c r="G2206" s="3">
        <v>212.88</v>
      </c>
      <c r="H2206" s="3">
        <v>104.02</v>
      </c>
      <c r="I2206" s="3">
        <v>209.52</v>
      </c>
      <c r="J2206" s="3">
        <v>0.0</v>
      </c>
      <c r="K2206" s="4">
        <f t="shared" si="1"/>
        <v>45344.52</v>
      </c>
      <c r="L2206" s="4">
        <f t="shared" si="2"/>
        <v>1.228285138</v>
      </c>
    </row>
    <row r="2207">
      <c r="A2207" s="3" t="s">
        <v>142</v>
      </c>
      <c r="B2207" s="3">
        <v>50.0</v>
      </c>
      <c r="C2207" s="3">
        <v>7.19</v>
      </c>
      <c r="D2207" s="3">
        <v>235.0</v>
      </c>
      <c r="E2207" s="3">
        <v>5.43</v>
      </c>
      <c r="F2207" s="3">
        <v>-4.56</v>
      </c>
      <c r="G2207" s="3">
        <v>214.54</v>
      </c>
      <c r="H2207" s="3">
        <v>101.99</v>
      </c>
      <c r="I2207" s="3">
        <v>188.62</v>
      </c>
      <c r="J2207" s="3">
        <v>0.0</v>
      </c>
      <c r="K2207" s="4">
        <f t="shared" si="1"/>
        <v>46048.2052</v>
      </c>
      <c r="L2207" s="4">
        <f t="shared" si="2"/>
        <v>1.199286699</v>
      </c>
    </row>
    <row r="2208">
      <c r="A2208" s="3" t="s">
        <v>142</v>
      </c>
      <c r="B2208" s="3">
        <v>50.0</v>
      </c>
      <c r="C2208" s="3">
        <v>7.27</v>
      </c>
      <c r="D2208" s="3">
        <v>234.0</v>
      </c>
      <c r="E2208" s="3">
        <v>8.36</v>
      </c>
      <c r="F2208" s="3">
        <v>-4.39</v>
      </c>
      <c r="G2208" s="3">
        <v>214.82</v>
      </c>
      <c r="H2208" s="3">
        <v>101.43</v>
      </c>
      <c r="I2208" s="3">
        <v>183.32</v>
      </c>
      <c r="J2208" s="3">
        <v>0.0</v>
      </c>
      <c r="K2208" s="4">
        <f t="shared" si="1"/>
        <v>46166.9045</v>
      </c>
      <c r="L2208" s="4">
        <f t="shared" si="2"/>
        <v>1.186044431</v>
      </c>
    </row>
    <row r="2209">
      <c r="A2209" s="3" t="s">
        <v>142</v>
      </c>
      <c r="B2209" s="3">
        <v>50.0</v>
      </c>
      <c r="C2209" s="3">
        <v>7.46</v>
      </c>
      <c r="D2209" s="3">
        <v>234.0</v>
      </c>
      <c r="E2209" s="3">
        <v>7.88</v>
      </c>
      <c r="F2209" s="3">
        <v>-3.95</v>
      </c>
      <c r="G2209" s="3">
        <v>215.36</v>
      </c>
      <c r="H2209" s="3">
        <v>100.13</v>
      </c>
      <c r="I2209" s="3">
        <v>171.57</v>
      </c>
      <c r="J2209" s="3">
        <v>0.0</v>
      </c>
      <c r="K2209" s="4">
        <f t="shared" si="1"/>
        <v>46395.5321</v>
      </c>
      <c r="L2209" s="4">
        <f t="shared" si="2"/>
        <v>1.180199849</v>
      </c>
    </row>
    <row r="2210">
      <c r="A2210" s="3" t="s">
        <v>142</v>
      </c>
      <c r="B2210" s="3">
        <v>50.0</v>
      </c>
      <c r="C2210" s="3">
        <v>8.02</v>
      </c>
      <c r="D2210" s="3">
        <v>231.0</v>
      </c>
      <c r="E2210" s="3">
        <v>8.17</v>
      </c>
      <c r="F2210" s="3">
        <v>1.42</v>
      </c>
      <c r="G2210" s="3">
        <v>216.46</v>
      </c>
      <c r="H2210" s="3">
        <v>96.57</v>
      </c>
      <c r="I2210" s="3">
        <v>142.56</v>
      </c>
      <c r="J2210" s="3">
        <v>0.0</v>
      </c>
      <c r="K2210" s="4">
        <f t="shared" si="1"/>
        <v>46856.948</v>
      </c>
      <c r="L2210" s="4">
        <f t="shared" si="2"/>
        <v>1.138806565</v>
      </c>
    </row>
    <row r="2211">
      <c r="A2211" s="3" t="s">
        <v>142</v>
      </c>
      <c r="B2211" s="3">
        <v>50.0</v>
      </c>
      <c r="C2211" s="3">
        <v>8.29</v>
      </c>
      <c r="D2211" s="3">
        <v>229.0</v>
      </c>
      <c r="E2211" s="3">
        <v>5.82</v>
      </c>
      <c r="F2211" s="3">
        <v>3.82</v>
      </c>
      <c r="G2211" s="3">
        <v>216.57</v>
      </c>
      <c r="H2211" s="3">
        <v>94.99</v>
      </c>
      <c r="I2211" s="3">
        <v>129.68</v>
      </c>
      <c r="J2211" s="3">
        <v>0.0</v>
      </c>
      <c r="K2211" s="4">
        <f t="shared" si="1"/>
        <v>46917.1573</v>
      </c>
      <c r="L2211" s="4">
        <f t="shared" si="2"/>
        <v>1.117736091</v>
      </c>
    </row>
    <row r="2212">
      <c r="A2212" s="3" t="s">
        <v>142</v>
      </c>
      <c r="B2212" s="3">
        <v>50.0</v>
      </c>
      <c r="C2212" s="3">
        <v>8.56</v>
      </c>
      <c r="D2212" s="3">
        <v>228.0</v>
      </c>
      <c r="E2212" s="3">
        <v>7.21</v>
      </c>
      <c r="F2212" s="3">
        <v>5.49</v>
      </c>
      <c r="G2212" s="3">
        <v>216.49</v>
      </c>
      <c r="H2212" s="3">
        <v>93.48</v>
      </c>
      <c r="I2212" s="3">
        <v>117.85</v>
      </c>
      <c r="J2212" s="3">
        <v>0.0</v>
      </c>
      <c r="K2212" s="4">
        <f t="shared" si="1"/>
        <v>46898.0602</v>
      </c>
      <c r="L2212" s="4">
        <f t="shared" si="2"/>
        <v>1.108446699</v>
      </c>
    </row>
    <row r="2213">
      <c r="A2213" s="3" t="s">
        <v>142</v>
      </c>
      <c r="B2213" s="3">
        <v>50.0</v>
      </c>
      <c r="C2213" s="3">
        <v>8.84</v>
      </c>
      <c r="D2213" s="3">
        <v>226.0</v>
      </c>
      <c r="E2213" s="3">
        <v>18.2</v>
      </c>
      <c r="F2213" s="3">
        <v>7.01</v>
      </c>
      <c r="G2213" s="3">
        <v>215.92</v>
      </c>
      <c r="H2213" s="3">
        <v>91.98</v>
      </c>
      <c r="I2213" s="3">
        <v>106.56</v>
      </c>
      <c r="J2213" s="3">
        <v>0.0</v>
      </c>
      <c r="K2213" s="4">
        <f t="shared" si="1"/>
        <v>46670.5865</v>
      </c>
      <c r="L2213" s="4">
        <f t="shared" si="2"/>
        <v>1.094393789</v>
      </c>
    </row>
    <row r="2214">
      <c r="A2214" s="3" t="s">
        <v>142</v>
      </c>
      <c r="B2214" s="3">
        <v>50.0</v>
      </c>
      <c r="C2214" s="3">
        <v>9.12</v>
      </c>
      <c r="D2214" s="3">
        <v>224.0</v>
      </c>
      <c r="E2214" s="3">
        <v>9.11</v>
      </c>
      <c r="F2214" s="3">
        <v>8.51</v>
      </c>
      <c r="G2214" s="3">
        <v>215.26</v>
      </c>
      <c r="H2214" s="3">
        <v>90.56</v>
      </c>
      <c r="I2214" s="3">
        <v>96.24</v>
      </c>
      <c r="J2214" s="3">
        <v>0.0</v>
      </c>
      <c r="K2214" s="4">
        <f t="shared" si="1"/>
        <v>46409.2877</v>
      </c>
      <c r="L2214" s="4">
        <f t="shared" si="2"/>
        <v>1.081162898</v>
      </c>
    </row>
    <row r="2215">
      <c r="A2215" s="3" t="s">
        <v>142</v>
      </c>
      <c r="B2215" s="3">
        <v>50.0</v>
      </c>
      <c r="C2215" s="3">
        <v>9.69</v>
      </c>
      <c r="D2215" s="3">
        <v>221.0</v>
      </c>
      <c r="E2215" s="3">
        <v>5.56</v>
      </c>
      <c r="F2215" s="3">
        <v>11.96</v>
      </c>
      <c r="G2215" s="3">
        <v>213.03</v>
      </c>
      <c r="H2215" s="3">
        <v>87.86</v>
      </c>
      <c r="I2215" s="3">
        <v>78.11</v>
      </c>
      <c r="J2215" s="3">
        <v>0.0</v>
      </c>
      <c r="K2215" s="4">
        <f t="shared" si="1"/>
        <v>45524.8225</v>
      </c>
      <c r="L2215" s="4">
        <f t="shared" si="2"/>
        <v>1.072843282</v>
      </c>
    </row>
    <row r="2216">
      <c r="A2216" s="3" t="s">
        <v>142</v>
      </c>
      <c r="B2216" s="3">
        <v>50.0</v>
      </c>
      <c r="C2216" s="3">
        <v>12.11</v>
      </c>
      <c r="D2216" s="3">
        <v>216.0</v>
      </c>
      <c r="E2216" s="3">
        <v>3.21</v>
      </c>
      <c r="F2216" s="3">
        <v>24.01</v>
      </c>
      <c r="G2216" s="3">
        <v>197.34</v>
      </c>
      <c r="H2216" s="3">
        <v>78.59</v>
      </c>
      <c r="I2216" s="3">
        <v>33.45</v>
      </c>
      <c r="J2216" s="3">
        <v>0.0</v>
      </c>
      <c r="K2216" s="4">
        <f t="shared" si="1"/>
        <v>39519.5557</v>
      </c>
      <c r="L2216" s="4">
        <f t="shared" si="2"/>
        <v>1.180580074</v>
      </c>
    </row>
    <row r="2217">
      <c r="A2217" s="3" t="s">
        <v>142</v>
      </c>
      <c r="B2217" s="3">
        <v>50.0</v>
      </c>
      <c r="C2217" s="3">
        <v>14.58</v>
      </c>
      <c r="D2217" s="3">
        <v>220.0</v>
      </c>
      <c r="E2217" s="3">
        <v>1.89</v>
      </c>
      <c r="F2217" s="3">
        <v>33.03</v>
      </c>
      <c r="G2217" s="3">
        <v>180.81</v>
      </c>
      <c r="H2217" s="3">
        <v>71.62</v>
      </c>
      <c r="I2217" s="3">
        <v>16.19</v>
      </c>
      <c r="J2217" s="3">
        <v>0.0</v>
      </c>
      <c r="K2217" s="4">
        <f t="shared" si="1"/>
        <v>33783.237</v>
      </c>
      <c r="L2217" s="4">
        <f t="shared" si="2"/>
        <v>1.432663187</v>
      </c>
    </row>
    <row r="2218">
      <c r="A2218" s="3" t="s">
        <v>142</v>
      </c>
      <c r="B2218" s="3">
        <v>50.0</v>
      </c>
      <c r="C2218" s="3">
        <v>14.68</v>
      </c>
      <c r="D2218" s="3">
        <v>220.0</v>
      </c>
      <c r="E2218" s="3">
        <v>7.66</v>
      </c>
      <c r="F2218" s="3">
        <v>33.34</v>
      </c>
      <c r="G2218" s="3">
        <v>180.14</v>
      </c>
      <c r="H2218" s="3">
        <v>71.38</v>
      </c>
      <c r="I2218" s="3">
        <v>15.84</v>
      </c>
      <c r="J2218" s="3">
        <v>0.0</v>
      </c>
      <c r="K2218" s="4">
        <f t="shared" si="1"/>
        <v>33561.9752</v>
      </c>
      <c r="L2218" s="4">
        <f t="shared" si="2"/>
        <v>1.442108211</v>
      </c>
    </row>
    <row r="2219">
      <c r="A2219" s="3" t="s">
        <v>142</v>
      </c>
      <c r="B2219" s="3">
        <v>50.0</v>
      </c>
      <c r="C2219" s="3">
        <v>15.2</v>
      </c>
      <c r="D2219" s="3">
        <v>221.0</v>
      </c>
      <c r="E2219" s="3">
        <v>9.52</v>
      </c>
      <c r="F2219" s="3">
        <v>34.96</v>
      </c>
      <c r="G2219" s="3">
        <v>176.93</v>
      </c>
      <c r="H2219" s="3">
        <v>70.15</v>
      </c>
      <c r="I2219" s="3">
        <v>14.51</v>
      </c>
      <c r="J2219" s="3">
        <v>0.0</v>
      </c>
      <c r="K2219" s="4">
        <f t="shared" si="1"/>
        <v>32526.4265</v>
      </c>
      <c r="L2219" s="4">
        <f t="shared" si="2"/>
        <v>1.501579031</v>
      </c>
    </row>
    <row r="2220">
      <c r="A2220" s="3" t="s">
        <v>142</v>
      </c>
      <c r="B2220" s="3">
        <v>50.0</v>
      </c>
      <c r="C2220" s="3">
        <v>15.5</v>
      </c>
      <c r="D2220" s="3">
        <v>221.0</v>
      </c>
      <c r="E2220" s="3">
        <v>13.6</v>
      </c>
      <c r="F2220" s="3">
        <v>35.77</v>
      </c>
      <c r="G2220" s="3">
        <v>175.4</v>
      </c>
      <c r="H2220" s="3">
        <v>69.47</v>
      </c>
      <c r="I2220" s="3">
        <v>13.84</v>
      </c>
      <c r="J2220" s="3">
        <v>0.0</v>
      </c>
      <c r="K2220" s="4">
        <f t="shared" si="1"/>
        <v>32044.6529</v>
      </c>
      <c r="L2220" s="4">
        <f t="shared" si="2"/>
        <v>1.52415444</v>
      </c>
    </row>
    <row r="2221">
      <c r="A2221" s="3" t="s">
        <v>142</v>
      </c>
      <c r="B2221" s="3">
        <v>50.0</v>
      </c>
      <c r="C2221" s="3">
        <v>15.71</v>
      </c>
      <c r="D2221" s="3">
        <v>221.0</v>
      </c>
      <c r="E2221" s="3">
        <v>8.15</v>
      </c>
      <c r="F2221" s="3">
        <v>36.68</v>
      </c>
      <c r="G2221" s="3">
        <v>174.35</v>
      </c>
      <c r="H2221" s="3">
        <v>69.0</v>
      </c>
      <c r="I2221" s="3">
        <v>13.25</v>
      </c>
      <c r="J2221" s="3">
        <v>0.0</v>
      </c>
      <c r="K2221" s="4">
        <f t="shared" si="1"/>
        <v>31743.3449</v>
      </c>
      <c r="L2221" s="4">
        <f t="shared" si="2"/>
        <v>1.538621722</v>
      </c>
    </row>
    <row r="2222">
      <c r="A2222" s="3" t="s">
        <v>142</v>
      </c>
      <c r="B2222" s="3">
        <v>50.0</v>
      </c>
      <c r="C2222" s="3">
        <v>16.02</v>
      </c>
      <c r="D2222" s="3">
        <v>221.0</v>
      </c>
      <c r="E2222" s="3">
        <v>4.11</v>
      </c>
      <c r="F2222" s="3">
        <v>37.49</v>
      </c>
      <c r="G2222" s="3">
        <v>172.9</v>
      </c>
      <c r="H2222" s="3">
        <v>68.33</v>
      </c>
      <c r="I2222" s="3">
        <v>12.42</v>
      </c>
      <c r="J2222" s="3">
        <v>0.0</v>
      </c>
      <c r="K2222" s="4">
        <f t="shared" si="1"/>
        <v>31299.9101</v>
      </c>
      <c r="L2222" s="4">
        <f t="shared" si="2"/>
        <v>1.560419817</v>
      </c>
    </row>
    <row r="2223">
      <c r="A2223" s="3" t="s">
        <v>142</v>
      </c>
      <c r="B2223" s="3">
        <v>50.0</v>
      </c>
      <c r="C2223" s="3">
        <v>16.32</v>
      </c>
      <c r="D2223" s="3">
        <v>221.0</v>
      </c>
      <c r="E2223" s="3">
        <v>5.37</v>
      </c>
      <c r="F2223" s="3">
        <v>38.3</v>
      </c>
      <c r="G2223" s="3">
        <v>171.46</v>
      </c>
      <c r="H2223" s="3">
        <v>67.7</v>
      </c>
      <c r="I2223" s="3">
        <v>11.67</v>
      </c>
      <c r="J2223" s="3">
        <v>0.0</v>
      </c>
      <c r="K2223" s="4">
        <f t="shared" si="1"/>
        <v>30865.4216</v>
      </c>
      <c r="L2223" s="4">
        <f t="shared" si="2"/>
        <v>1.582385643</v>
      </c>
    </row>
    <row r="2224">
      <c r="A2224" s="3" t="s">
        <v>142</v>
      </c>
      <c r="B2224" s="3">
        <v>50.0</v>
      </c>
      <c r="C2224" s="3">
        <v>16.53</v>
      </c>
      <c r="D2224" s="3">
        <v>221.0</v>
      </c>
      <c r="E2224" s="3">
        <v>5.06</v>
      </c>
      <c r="F2224" s="3">
        <v>39.11</v>
      </c>
      <c r="G2224" s="3">
        <v>170.51</v>
      </c>
      <c r="H2224" s="3">
        <v>67.27</v>
      </c>
      <c r="I2224" s="3">
        <v>11.18</v>
      </c>
      <c r="J2224" s="3">
        <v>0.0</v>
      </c>
      <c r="K2224" s="4">
        <f t="shared" si="1"/>
        <v>30603.2522</v>
      </c>
      <c r="L2224" s="4">
        <f t="shared" si="2"/>
        <v>1.595941493</v>
      </c>
    </row>
    <row r="2225">
      <c r="A2225" s="3" t="s">
        <v>142</v>
      </c>
      <c r="B2225" s="3">
        <v>50.0</v>
      </c>
      <c r="C2225" s="3">
        <v>16.84</v>
      </c>
      <c r="D2225" s="3">
        <v>221.0</v>
      </c>
      <c r="E2225" s="3">
        <v>11.4</v>
      </c>
      <c r="F2225" s="3">
        <v>39.92</v>
      </c>
      <c r="G2225" s="3">
        <v>169.21</v>
      </c>
      <c r="H2225" s="3">
        <v>66.64</v>
      </c>
      <c r="I2225" s="3">
        <v>10.5</v>
      </c>
      <c r="J2225" s="3">
        <v>0.0</v>
      </c>
      <c r="K2225" s="4">
        <f t="shared" si="1"/>
        <v>30225.6305</v>
      </c>
      <c r="L2225" s="4">
        <f t="shared" si="2"/>
        <v>1.615880271</v>
      </c>
    </row>
    <row r="2226">
      <c r="A2226" s="3" t="s">
        <v>142</v>
      </c>
      <c r="B2226" s="3">
        <v>50.0</v>
      </c>
      <c r="C2226" s="3">
        <v>16.94</v>
      </c>
      <c r="D2226" s="3">
        <v>221.0</v>
      </c>
      <c r="E2226" s="3">
        <v>2.56</v>
      </c>
      <c r="F2226" s="3">
        <v>40.33</v>
      </c>
      <c r="G2226" s="3">
        <v>168.81</v>
      </c>
      <c r="H2226" s="3">
        <v>66.45</v>
      </c>
      <c r="I2226" s="3">
        <v>10.27</v>
      </c>
      <c r="J2226" s="3">
        <v>0.0</v>
      </c>
      <c r="K2226" s="4">
        <f t="shared" si="1"/>
        <v>30123.325</v>
      </c>
      <c r="L2226" s="4">
        <f t="shared" si="2"/>
        <v>1.621368159</v>
      </c>
    </row>
    <row r="2227">
      <c r="A2227" s="3" t="s">
        <v>142</v>
      </c>
      <c r="B2227" s="3">
        <v>50.0</v>
      </c>
      <c r="C2227" s="3">
        <v>19.4</v>
      </c>
      <c r="D2227" s="3">
        <v>218.0</v>
      </c>
      <c r="E2227" s="3">
        <v>1.7</v>
      </c>
      <c r="F2227" s="3">
        <v>47.22</v>
      </c>
      <c r="G2227" s="3">
        <v>157.9</v>
      </c>
      <c r="H2227" s="3">
        <v>62.09</v>
      </c>
      <c r="I2227" s="3">
        <v>4.85</v>
      </c>
      <c r="J2227" s="3">
        <v>0.0</v>
      </c>
      <c r="K2227" s="4">
        <f t="shared" si="1"/>
        <v>27162.1384</v>
      </c>
      <c r="L2227" s="4">
        <f t="shared" si="2"/>
        <v>1.749641332</v>
      </c>
    </row>
    <row r="2228">
      <c r="A2228" s="3" t="s">
        <v>142</v>
      </c>
      <c r="B2228" s="3">
        <v>50.0</v>
      </c>
      <c r="C2228" s="3">
        <v>21.77</v>
      </c>
      <c r="D2228" s="3">
        <v>216.0</v>
      </c>
      <c r="E2228" s="3">
        <v>1.13</v>
      </c>
      <c r="F2228" s="3">
        <v>52.28</v>
      </c>
      <c r="G2228" s="3">
        <v>148.59</v>
      </c>
      <c r="H2228" s="3">
        <v>58.61</v>
      </c>
      <c r="I2228" s="3">
        <v>2.49</v>
      </c>
      <c r="J2228" s="3">
        <v>0.0</v>
      </c>
      <c r="K2228" s="4">
        <f t="shared" si="1"/>
        <v>24812.1865</v>
      </c>
      <c r="L2228" s="4">
        <f t="shared" si="2"/>
        <v>1.880366327</v>
      </c>
    </row>
    <row r="2229">
      <c r="A2229" s="3" t="s">
        <v>142</v>
      </c>
      <c r="B2229" s="3">
        <v>50.0</v>
      </c>
      <c r="C2229" s="3">
        <v>24.23</v>
      </c>
      <c r="D2229" s="3">
        <v>215.0</v>
      </c>
      <c r="E2229" s="3">
        <v>1.77</v>
      </c>
      <c r="F2229" s="3">
        <v>54.82</v>
      </c>
      <c r="G2229" s="3">
        <v>138.99</v>
      </c>
      <c r="H2229" s="3">
        <v>55.56</v>
      </c>
      <c r="I2229" s="3">
        <v>0.86</v>
      </c>
      <c r="J2229" s="3">
        <v>0.0</v>
      </c>
      <c r="K2229" s="4">
        <f t="shared" si="1"/>
        <v>22323.4525</v>
      </c>
      <c r="L2229" s="4">
        <f t="shared" si="2"/>
        <v>2.070692246</v>
      </c>
    </row>
    <row r="2230">
      <c r="A2230" s="3" t="s">
        <v>142</v>
      </c>
      <c r="B2230" s="3">
        <v>50.0</v>
      </c>
      <c r="C2230" s="3">
        <v>26.69</v>
      </c>
      <c r="D2230" s="3">
        <v>212.0</v>
      </c>
      <c r="E2230" s="3">
        <v>2.47</v>
      </c>
      <c r="F2230" s="3">
        <v>55.53</v>
      </c>
      <c r="G2230" s="3">
        <v>130.82</v>
      </c>
      <c r="H2230" s="3">
        <v>52.94</v>
      </c>
      <c r="I2230" s="3">
        <v>0.4</v>
      </c>
      <c r="J2230" s="3">
        <v>0.0</v>
      </c>
      <c r="K2230" s="4">
        <f t="shared" si="1"/>
        <v>20197.4533</v>
      </c>
      <c r="L2230" s="4">
        <f t="shared" si="2"/>
        <v>2.225231039</v>
      </c>
    </row>
    <row r="2231">
      <c r="A2231" s="3" t="s">
        <v>142</v>
      </c>
      <c r="B2231" s="3">
        <v>50.0</v>
      </c>
      <c r="C2231" s="3">
        <v>29.06</v>
      </c>
      <c r="D2231" s="3">
        <v>208.0</v>
      </c>
      <c r="E2231" s="3">
        <v>1.44</v>
      </c>
      <c r="F2231" s="3">
        <v>54.01</v>
      </c>
      <c r="G2231" s="3">
        <v>124.32</v>
      </c>
      <c r="H2231" s="3">
        <v>50.73</v>
      </c>
      <c r="I2231" s="3">
        <v>0.19</v>
      </c>
      <c r="J2231" s="3">
        <v>0.0</v>
      </c>
      <c r="K2231" s="4">
        <f t="shared" si="1"/>
        <v>18372.5425</v>
      </c>
      <c r="L2231" s="4">
        <f t="shared" si="2"/>
        <v>2.354818338</v>
      </c>
    </row>
    <row r="2232">
      <c r="A2232" s="3" t="s">
        <v>142</v>
      </c>
      <c r="B2232" s="3">
        <v>50.0</v>
      </c>
      <c r="C2232" s="3">
        <v>31.52</v>
      </c>
      <c r="D2232" s="3">
        <v>209.0</v>
      </c>
      <c r="E2232" s="3">
        <v>2.88</v>
      </c>
      <c r="F2232" s="3">
        <v>51.78</v>
      </c>
      <c r="G2232" s="3">
        <v>118.54</v>
      </c>
      <c r="H2232" s="3">
        <v>48.71</v>
      </c>
      <c r="I2232" s="3">
        <v>0.09</v>
      </c>
      <c r="J2232" s="3">
        <v>0.0</v>
      </c>
      <c r="K2232" s="4">
        <f t="shared" si="1"/>
        <v>16732.9</v>
      </c>
      <c r="L2232" s="4">
        <f t="shared" si="2"/>
        <v>2.610485929</v>
      </c>
    </row>
    <row r="2233">
      <c r="A2233" s="3" t="s">
        <v>142</v>
      </c>
      <c r="B2233" s="3">
        <v>50.0</v>
      </c>
      <c r="C2233" s="3">
        <v>36.34</v>
      </c>
      <c r="D2233" s="3">
        <v>220.0</v>
      </c>
      <c r="E2233" s="3">
        <v>4.09</v>
      </c>
      <c r="F2233" s="3">
        <v>47.22</v>
      </c>
      <c r="G2233" s="3">
        <v>109.34</v>
      </c>
      <c r="H2233" s="3">
        <v>45.37</v>
      </c>
      <c r="I2233" s="3">
        <v>0.02</v>
      </c>
      <c r="J2233" s="3">
        <v>0.0</v>
      </c>
      <c r="K2233" s="4">
        <f t="shared" si="1"/>
        <v>14184.964</v>
      </c>
      <c r="L2233" s="4">
        <f t="shared" si="2"/>
        <v>3.412063647</v>
      </c>
    </row>
    <row r="2234">
      <c r="A2234" s="3" t="s">
        <v>142</v>
      </c>
      <c r="B2234" s="3">
        <v>50.0</v>
      </c>
      <c r="C2234" s="3">
        <v>40.04</v>
      </c>
      <c r="D2234" s="3">
        <v>220.0</v>
      </c>
      <c r="E2234" s="3">
        <v>6.32</v>
      </c>
      <c r="F2234" s="3">
        <v>42.76</v>
      </c>
      <c r="G2234" s="3">
        <v>103.66</v>
      </c>
      <c r="H2234" s="3">
        <v>43.22</v>
      </c>
      <c r="I2234" s="3">
        <v>0.0</v>
      </c>
      <c r="J2234" s="3">
        <v>0.0</v>
      </c>
      <c r="K2234" s="4">
        <f t="shared" si="1"/>
        <v>12573.8132</v>
      </c>
      <c r="L2234" s="4">
        <f t="shared" si="2"/>
        <v>3.849269846</v>
      </c>
    </row>
    <row r="2235">
      <c r="A2235" s="3" t="s">
        <v>143</v>
      </c>
      <c r="B2235" s="3">
        <v>28.7</v>
      </c>
      <c r="C2235" s="3">
        <v>0.63</v>
      </c>
      <c r="D2235" s="3">
        <v>262.0</v>
      </c>
      <c r="E2235" s="3">
        <v>73.6</v>
      </c>
      <c r="F2235" s="3">
        <v>-0.79</v>
      </c>
      <c r="G2235" s="3">
        <v>82.82</v>
      </c>
      <c r="H2235" s="3">
        <v>389.26</v>
      </c>
      <c r="I2235" s="3">
        <v>1981.83</v>
      </c>
      <c r="J2235" s="3">
        <v>3538.94</v>
      </c>
      <c r="K2235" s="4">
        <f t="shared" si="1"/>
        <v>6859.7765</v>
      </c>
      <c r="L2235" s="4">
        <f t="shared" si="2"/>
        <v>10.00674002</v>
      </c>
    </row>
    <row r="2236">
      <c r="A2236" s="3" t="s">
        <v>143</v>
      </c>
      <c r="B2236" s="3">
        <v>28.7</v>
      </c>
      <c r="C2236" s="3">
        <v>0.79</v>
      </c>
      <c r="D2236" s="3">
        <v>250.0</v>
      </c>
      <c r="E2236" s="3">
        <v>55.5</v>
      </c>
      <c r="F2236" s="3">
        <v>-0.85</v>
      </c>
      <c r="G2236" s="3">
        <v>98.9</v>
      </c>
      <c r="H2236" s="3">
        <v>366.12</v>
      </c>
      <c r="I2236" s="3">
        <v>1833.29</v>
      </c>
      <c r="J2236" s="3">
        <v>1444.35</v>
      </c>
      <c r="K2236" s="4">
        <f t="shared" si="1"/>
        <v>9781.9325</v>
      </c>
      <c r="L2236" s="4">
        <f t="shared" si="2"/>
        <v>6.389330534</v>
      </c>
    </row>
    <row r="2237">
      <c r="A2237" s="3" t="s">
        <v>143</v>
      </c>
      <c r="B2237" s="3">
        <v>28.7</v>
      </c>
      <c r="C2237" s="3">
        <v>0.95</v>
      </c>
      <c r="D2237" s="3">
        <v>241.0</v>
      </c>
      <c r="E2237" s="3">
        <v>42.9</v>
      </c>
      <c r="F2237" s="3">
        <v>-0.88</v>
      </c>
      <c r="G2237" s="3">
        <v>113.48</v>
      </c>
      <c r="H2237" s="3">
        <v>343.54</v>
      </c>
      <c r="I2237" s="3">
        <v>1695.88</v>
      </c>
      <c r="J2237" s="3">
        <v>614.37</v>
      </c>
      <c r="K2237" s="4">
        <f t="shared" si="1"/>
        <v>12878.4848</v>
      </c>
      <c r="L2237" s="4">
        <f t="shared" si="2"/>
        <v>4.509924956</v>
      </c>
    </row>
    <row r="2238">
      <c r="A2238" s="3" t="s">
        <v>143</v>
      </c>
      <c r="B2238" s="3">
        <v>28.7</v>
      </c>
      <c r="C2238" s="3">
        <v>1.11</v>
      </c>
      <c r="D2238" s="3">
        <v>234.0</v>
      </c>
      <c r="E2238" s="3">
        <v>31.9</v>
      </c>
      <c r="F2238" s="3">
        <v>-0.87</v>
      </c>
      <c r="G2238" s="3">
        <v>126.74</v>
      </c>
      <c r="H2238" s="3">
        <v>322.48</v>
      </c>
      <c r="I2238" s="3">
        <v>1568.78</v>
      </c>
      <c r="J2238" s="3">
        <v>245.76</v>
      </c>
      <c r="K2238" s="4">
        <f t="shared" si="1"/>
        <v>16063.7845</v>
      </c>
      <c r="L2238" s="4">
        <f t="shared" si="2"/>
        <v>3.408661265</v>
      </c>
    </row>
    <row r="2239">
      <c r="A2239" s="3" t="s">
        <v>143</v>
      </c>
      <c r="B2239" s="3">
        <v>28.7</v>
      </c>
      <c r="C2239" s="3">
        <v>1.27</v>
      </c>
      <c r="D2239" s="3">
        <v>228.0</v>
      </c>
      <c r="E2239" s="3">
        <v>28.8</v>
      </c>
      <c r="F2239" s="3">
        <v>-0.8</v>
      </c>
      <c r="G2239" s="3">
        <v>138.83</v>
      </c>
      <c r="H2239" s="3">
        <v>303.96</v>
      </c>
      <c r="I2239" s="3">
        <v>1451.19</v>
      </c>
      <c r="J2239" s="3">
        <v>56.22</v>
      </c>
      <c r="K2239" s="4">
        <f t="shared" si="1"/>
        <v>19274.4089</v>
      </c>
      <c r="L2239" s="4">
        <f t="shared" si="2"/>
        <v>2.69704769</v>
      </c>
    </row>
    <row r="2240">
      <c r="A2240" s="3" t="s">
        <v>143</v>
      </c>
      <c r="B2240" s="3">
        <v>28.7</v>
      </c>
      <c r="C2240" s="3">
        <v>1.43</v>
      </c>
      <c r="D2240" s="3">
        <v>225.0</v>
      </c>
      <c r="E2240" s="3">
        <v>24.2</v>
      </c>
      <c r="F2240" s="3">
        <v>-0.68</v>
      </c>
      <c r="G2240" s="3">
        <v>149.76</v>
      </c>
      <c r="H2240" s="3">
        <v>286.96</v>
      </c>
      <c r="I2240" s="3">
        <v>1332.14</v>
      </c>
      <c r="J2240" s="3">
        <v>9.44</v>
      </c>
      <c r="K2240" s="4">
        <f t="shared" si="1"/>
        <v>22428.52</v>
      </c>
      <c r="L2240" s="4">
        <f t="shared" si="2"/>
        <v>2.257170781</v>
      </c>
    </row>
    <row r="2241">
      <c r="A2241" s="3" t="s">
        <v>143</v>
      </c>
      <c r="B2241" s="3">
        <v>28.7</v>
      </c>
      <c r="C2241" s="3">
        <v>1.59</v>
      </c>
      <c r="D2241" s="3">
        <v>222.0</v>
      </c>
      <c r="E2241" s="3">
        <v>12.2</v>
      </c>
      <c r="F2241" s="3">
        <v>-0.44</v>
      </c>
      <c r="G2241" s="3">
        <v>159.73</v>
      </c>
      <c r="H2241" s="3">
        <v>272.22</v>
      </c>
      <c r="I2241" s="3">
        <v>1252.07</v>
      </c>
      <c r="J2241" s="3">
        <v>1.58</v>
      </c>
      <c r="K2241" s="4">
        <f t="shared" si="1"/>
        <v>25513.8665</v>
      </c>
      <c r="L2241" s="4">
        <f t="shared" si="2"/>
        <v>1.931655478</v>
      </c>
    </row>
    <row r="2242">
      <c r="A2242" s="3" t="s">
        <v>143</v>
      </c>
      <c r="B2242" s="3">
        <v>28.7</v>
      </c>
      <c r="C2242" s="3">
        <v>1.9</v>
      </c>
      <c r="D2242" s="3">
        <v>221.0</v>
      </c>
      <c r="E2242" s="3">
        <v>6.34</v>
      </c>
      <c r="F2242" s="3">
        <v>0.78</v>
      </c>
      <c r="G2242" s="3">
        <v>176.94</v>
      </c>
      <c r="H2242" s="3">
        <v>249.03</v>
      </c>
      <c r="I2242" s="3">
        <v>1066.65</v>
      </c>
      <c r="J2242" s="3">
        <v>0.05</v>
      </c>
      <c r="K2242" s="4">
        <f t="shared" si="1"/>
        <v>31308.372</v>
      </c>
      <c r="L2242" s="4">
        <f t="shared" si="2"/>
        <v>1.559998073</v>
      </c>
    </row>
    <row r="2243">
      <c r="A2243" s="3" t="s">
        <v>143</v>
      </c>
      <c r="B2243" s="3">
        <v>28.7</v>
      </c>
      <c r="C2243" s="3">
        <v>2.06</v>
      </c>
      <c r="D2243" s="3">
        <v>221.0</v>
      </c>
      <c r="E2243" s="3">
        <v>12.2</v>
      </c>
      <c r="F2243" s="3">
        <v>1.08</v>
      </c>
      <c r="G2243" s="3">
        <v>185.04</v>
      </c>
      <c r="H2243" s="3">
        <v>239.17</v>
      </c>
      <c r="I2243" s="3">
        <v>987.42</v>
      </c>
      <c r="J2243" s="3">
        <v>0.01</v>
      </c>
      <c r="K2243" s="4">
        <f t="shared" si="1"/>
        <v>34240.968</v>
      </c>
      <c r="L2243" s="4">
        <f t="shared" si="2"/>
        <v>1.426390749</v>
      </c>
    </row>
    <row r="2244">
      <c r="A2244" s="3" t="s">
        <v>143</v>
      </c>
      <c r="B2244" s="3">
        <v>28.7</v>
      </c>
      <c r="C2244" s="3">
        <v>2.22</v>
      </c>
      <c r="D2244" s="3">
        <v>222.0</v>
      </c>
      <c r="E2244" s="3">
        <v>16.9</v>
      </c>
      <c r="F2244" s="3">
        <v>1.32</v>
      </c>
      <c r="G2244" s="3">
        <v>192.44</v>
      </c>
      <c r="H2244" s="3">
        <v>230.43</v>
      </c>
      <c r="I2244" s="3">
        <v>907.47</v>
      </c>
      <c r="J2244" s="3">
        <v>0.0</v>
      </c>
      <c r="K2244" s="4">
        <f t="shared" si="1"/>
        <v>37034.896</v>
      </c>
      <c r="L2244" s="4">
        <f t="shared" si="2"/>
        <v>1.330744928</v>
      </c>
    </row>
    <row r="2245">
      <c r="A2245" s="3" t="s">
        <v>143</v>
      </c>
      <c r="B2245" s="3">
        <v>28.7</v>
      </c>
      <c r="C2245" s="3">
        <v>2.38</v>
      </c>
      <c r="D2245" s="3">
        <v>222.0</v>
      </c>
      <c r="E2245" s="3">
        <v>26.0</v>
      </c>
      <c r="F2245" s="3">
        <v>1.56</v>
      </c>
      <c r="G2245" s="3">
        <v>199.32</v>
      </c>
      <c r="H2245" s="3">
        <v>222.52</v>
      </c>
      <c r="I2245" s="3">
        <v>828.95</v>
      </c>
      <c r="J2245" s="3">
        <v>0.0</v>
      </c>
      <c r="K2245" s="4">
        <f t="shared" si="1"/>
        <v>39730.896</v>
      </c>
      <c r="L2245" s="4">
        <f t="shared" si="2"/>
        <v>1.240445219</v>
      </c>
    </row>
    <row r="2246">
      <c r="A2246" s="3" t="s">
        <v>143</v>
      </c>
      <c r="B2246" s="3">
        <v>28.7</v>
      </c>
      <c r="C2246" s="3">
        <v>2.79</v>
      </c>
      <c r="D2246" s="3">
        <v>221.0</v>
      </c>
      <c r="E2246" s="3">
        <v>13.1</v>
      </c>
      <c r="F2246" s="3">
        <v>2.09</v>
      </c>
      <c r="G2246" s="3">
        <v>211.11</v>
      </c>
      <c r="H2246" s="3">
        <v>205.57</v>
      </c>
      <c r="I2246" s="3">
        <v>608.92</v>
      </c>
      <c r="J2246" s="3">
        <v>0.0</v>
      </c>
      <c r="K2246" s="4">
        <f t="shared" si="1"/>
        <v>44571.8002</v>
      </c>
      <c r="L2246" s="4">
        <f t="shared" si="2"/>
        <v>1.09578253</v>
      </c>
    </row>
    <row r="2247">
      <c r="A2247" s="3" t="s">
        <v>143</v>
      </c>
      <c r="B2247" s="3">
        <v>28.7</v>
      </c>
      <c r="C2247" s="3">
        <v>2.86</v>
      </c>
      <c r="D2247" s="3">
        <v>221.0</v>
      </c>
      <c r="E2247" s="3">
        <v>11.8</v>
      </c>
      <c r="F2247" s="3">
        <v>2.18</v>
      </c>
      <c r="G2247" s="3">
        <v>212.46</v>
      </c>
      <c r="H2247" s="3">
        <v>203.04</v>
      </c>
      <c r="I2247" s="3">
        <v>578.56</v>
      </c>
      <c r="J2247" s="3">
        <v>0.0</v>
      </c>
      <c r="K2247" s="4">
        <f t="shared" si="1"/>
        <v>45144.004</v>
      </c>
      <c r="L2247" s="4">
        <f t="shared" si="2"/>
        <v>1.081893401</v>
      </c>
    </row>
    <row r="2248">
      <c r="A2248" s="3" t="s">
        <v>143</v>
      </c>
      <c r="B2248" s="3">
        <v>28.7</v>
      </c>
      <c r="C2248" s="3">
        <v>3.02</v>
      </c>
      <c r="D2248" s="3">
        <v>220.0</v>
      </c>
      <c r="E2248" s="3">
        <v>22.9</v>
      </c>
      <c r="F2248" s="3">
        <v>2.37</v>
      </c>
      <c r="G2248" s="3">
        <v>214.79</v>
      </c>
      <c r="H2248" s="3">
        <v>197.59</v>
      </c>
      <c r="I2248" s="3">
        <v>513.59</v>
      </c>
      <c r="J2248" s="3">
        <v>0.0</v>
      </c>
      <c r="K2248" s="4">
        <f t="shared" si="1"/>
        <v>46140.361</v>
      </c>
      <c r="L2248" s="4">
        <f t="shared" si="2"/>
        <v>1.048973154</v>
      </c>
    </row>
    <row r="2249">
      <c r="A2249" s="3" t="s">
        <v>143</v>
      </c>
      <c r="B2249" s="3">
        <v>28.7</v>
      </c>
      <c r="C2249" s="3">
        <v>4.17</v>
      </c>
      <c r="D2249" s="3">
        <v>205.0</v>
      </c>
      <c r="E2249" s="3">
        <v>8.45</v>
      </c>
      <c r="F2249" s="3">
        <v>2.86</v>
      </c>
      <c r="G2249" s="3">
        <v>211.54</v>
      </c>
      <c r="H2249" s="3">
        <v>168.15</v>
      </c>
      <c r="I2249" s="3">
        <v>210.33</v>
      </c>
      <c r="J2249" s="3">
        <v>0.0</v>
      </c>
      <c r="K2249" s="4">
        <f t="shared" si="1"/>
        <v>44757.3512</v>
      </c>
      <c r="L2249" s="4">
        <f t="shared" si="2"/>
        <v>0.9389519012</v>
      </c>
    </row>
    <row r="2250">
      <c r="A2250" s="3" t="s">
        <v>143</v>
      </c>
      <c r="B2250" s="3">
        <v>28.7</v>
      </c>
      <c r="C2250" s="3">
        <v>5.56</v>
      </c>
      <c r="D2250" s="3">
        <v>190.0</v>
      </c>
      <c r="E2250" s="3">
        <v>13.3</v>
      </c>
      <c r="F2250" s="3">
        <v>-1.54</v>
      </c>
      <c r="G2250" s="3">
        <v>194.36</v>
      </c>
      <c r="H2250" s="3">
        <v>145.62</v>
      </c>
      <c r="I2250" s="3">
        <v>128.85</v>
      </c>
      <c r="J2250" s="3">
        <v>0.0</v>
      </c>
      <c r="K2250" s="4">
        <f t="shared" si="1"/>
        <v>37778.1812</v>
      </c>
      <c r="L2250" s="4">
        <f t="shared" si="2"/>
        <v>0.9555780308</v>
      </c>
    </row>
    <row r="2251">
      <c r="A2251" s="3" t="s">
        <v>143</v>
      </c>
      <c r="B2251" s="3">
        <v>28.7</v>
      </c>
      <c r="C2251" s="3">
        <v>6.96</v>
      </c>
      <c r="D2251" s="3">
        <v>190.0</v>
      </c>
      <c r="E2251" s="3">
        <v>8.87</v>
      </c>
      <c r="F2251" s="3">
        <v>-5.89</v>
      </c>
      <c r="G2251" s="3">
        <v>186.95</v>
      </c>
      <c r="H2251" s="3">
        <v>130.15</v>
      </c>
      <c r="I2251" s="3">
        <v>94.62</v>
      </c>
      <c r="J2251" s="3">
        <v>0.0</v>
      </c>
      <c r="K2251" s="4">
        <f t="shared" si="1"/>
        <v>34984.9946</v>
      </c>
      <c r="L2251" s="4">
        <f t="shared" si="2"/>
        <v>1.031870961</v>
      </c>
    </row>
    <row r="2252">
      <c r="A2252" s="3" t="s">
        <v>143</v>
      </c>
      <c r="B2252" s="3">
        <v>28.7</v>
      </c>
      <c r="C2252" s="3">
        <v>8.35</v>
      </c>
      <c r="D2252" s="3">
        <v>198.0</v>
      </c>
      <c r="E2252" s="3">
        <v>3.19</v>
      </c>
      <c r="F2252" s="3">
        <v>-6.18</v>
      </c>
      <c r="G2252" s="3">
        <v>182.36</v>
      </c>
      <c r="H2252" s="3">
        <v>118.83</v>
      </c>
      <c r="I2252" s="3">
        <v>73.26</v>
      </c>
      <c r="J2252" s="3">
        <v>0.0</v>
      </c>
      <c r="K2252" s="4">
        <f t="shared" si="1"/>
        <v>33293.362</v>
      </c>
      <c r="L2252" s="4">
        <f t="shared" si="2"/>
        <v>1.177532026</v>
      </c>
    </row>
    <row r="2253">
      <c r="A2253" s="3" t="s">
        <v>143</v>
      </c>
      <c r="B2253" s="3">
        <v>28.7</v>
      </c>
      <c r="C2253" s="3">
        <v>9.73</v>
      </c>
      <c r="D2253" s="3">
        <v>204.0</v>
      </c>
      <c r="E2253" s="3">
        <v>2.56</v>
      </c>
      <c r="F2253" s="3">
        <v>5.96</v>
      </c>
      <c r="G2253" s="3">
        <v>181.71</v>
      </c>
      <c r="H2253" s="3">
        <v>110.08</v>
      </c>
      <c r="I2253" s="3">
        <v>49.74</v>
      </c>
      <c r="J2253" s="3">
        <v>0.0</v>
      </c>
      <c r="K2253" s="4">
        <f t="shared" si="1"/>
        <v>33054.0457</v>
      </c>
      <c r="L2253" s="4">
        <f t="shared" si="2"/>
        <v>1.259028936</v>
      </c>
    </row>
    <row r="2254">
      <c r="A2254" s="3" t="s">
        <v>143</v>
      </c>
      <c r="B2254" s="3">
        <v>28.7</v>
      </c>
      <c r="C2254" s="3">
        <v>11.14</v>
      </c>
      <c r="D2254" s="3">
        <v>204.0</v>
      </c>
      <c r="E2254" s="3">
        <v>1.09</v>
      </c>
      <c r="F2254" s="3">
        <v>14.87</v>
      </c>
      <c r="G2254" s="3">
        <v>174.04</v>
      </c>
      <c r="H2254" s="3">
        <v>102.88</v>
      </c>
      <c r="I2254" s="3">
        <v>28.48</v>
      </c>
      <c r="J2254" s="3">
        <v>0.0</v>
      </c>
      <c r="K2254" s="4">
        <f t="shared" si="1"/>
        <v>30511.0385</v>
      </c>
      <c r="L2254" s="4">
        <f t="shared" si="2"/>
        <v>1.363965373</v>
      </c>
    </row>
    <row r="2255">
      <c r="A2255" s="3" t="s">
        <v>143</v>
      </c>
      <c r="B2255" s="3">
        <v>28.7</v>
      </c>
      <c r="C2255" s="3">
        <v>12.51</v>
      </c>
      <c r="D2255" s="3">
        <v>201.0</v>
      </c>
      <c r="E2255" s="3">
        <v>0.57</v>
      </c>
      <c r="F2255" s="3">
        <v>22.04</v>
      </c>
      <c r="G2255" s="3">
        <v>166.83</v>
      </c>
      <c r="H2255" s="3">
        <v>97.08</v>
      </c>
      <c r="I2255" s="3">
        <v>22.2</v>
      </c>
      <c r="J2255" s="3">
        <v>0.0</v>
      </c>
      <c r="K2255" s="4">
        <f t="shared" si="1"/>
        <v>28318.0105</v>
      </c>
      <c r="L2255" s="4">
        <f t="shared" si="2"/>
        <v>1.426689209</v>
      </c>
    </row>
    <row r="2256">
      <c r="A2256" s="3" t="s">
        <v>143</v>
      </c>
      <c r="B2256" s="3">
        <v>28.7</v>
      </c>
      <c r="C2256" s="3">
        <v>13.88</v>
      </c>
      <c r="D2256" s="3">
        <v>203.0</v>
      </c>
      <c r="E2256" s="3">
        <v>0.75</v>
      </c>
      <c r="F2256" s="3">
        <v>28.09</v>
      </c>
      <c r="G2256" s="3">
        <v>161.75</v>
      </c>
      <c r="H2256" s="3">
        <v>92.17</v>
      </c>
      <c r="I2256" s="3">
        <v>16.63</v>
      </c>
      <c r="J2256" s="3">
        <v>0.0</v>
      </c>
      <c r="K2256" s="4">
        <f t="shared" si="1"/>
        <v>26952.1106</v>
      </c>
      <c r="L2256" s="4">
        <f t="shared" si="2"/>
        <v>1.528971167</v>
      </c>
    </row>
    <row r="2257">
      <c r="A2257" s="3" t="s">
        <v>143</v>
      </c>
      <c r="B2257" s="3">
        <v>28.7</v>
      </c>
      <c r="C2257" s="3">
        <v>15.35</v>
      </c>
      <c r="D2257" s="3">
        <v>202.0</v>
      </c>
      <c r="E2257" s="3">
        <v>0.89</v>
      </c>
      <c r="F2257" s="3">
        <v>32.2</v>
      </c>
      <c r="G2257" s="3">
        <v>157.11</v>
      </c>
      <c r="H2257" s="3">
        <v>87.64</v>
      </c>
      <c r="I2257" s="3">
        <v>10.43</v>
      </c>
      <c r="J2257" s="3">
        <v>0.0</v>
      </c>
      <c r="K2257" s="4">
        <f t="shared" si="1"/>
        <v>25720.3921</v>
      </c>
      <c r="L2257" s="4">
        <f t="shared" si="2"/>
        <v>1.586445488</v>
      </c>
    </row>
    <row r="2258">
      <c r="A2258" s="3" t="s">
        <v>143</v>
      </c>
      <c r="B2258" s="3">
        <v>28.7</v>
      </c>
      <c r="C2258" s="3">
        <v>16.72</v>
      </c>
      <c r="D2258" s="3">
        <v>198.0</v>
      </c>
      <c r="E2258" s="3">
        <v>1.58</v>
      </c>
      <c r="F2258" s="3">
        <v>34.45</v>
      </c>
      <c r="G2258" s="3">
        <v>151.02</v>
      </c>
      <c r="H2258" s="3">
        <v>83.97</v>
      </c>
      <c r="I2258" s="3">
        <v>5.62</v>
      </c>
      <c r="J2258" s="3">
        <v>0.0</v>
      </c>
      <c r="K2258" s="4">
        <f t="shared" si="1"/>
        <v>23993.8429</v>
      </c>
      <c r="L2258" s="4">
        <f t="shared" si="2"/>
        <v>1.633919175</v>
      </c>
    </row>
    <row r="2259">
      <c r="A2259" s="3" t="s">
        <v>143</v>
      </c>
      <c r="B2259" s="3">
        <v>28.7</v>
      </c>
      <c r="C2259" s="3">
        <v>18.08</v>
      </c>
      <c r="D2259" s="3">
        <v>195.0</v>
      </c>
      <c r="E2259" s="3">
        <v>1.5</v>
      </c>
      <c r="F2259" s="3">
        <v>34.96</v>
      </c>
      <c r="G2259" s="3">
        <v>144.44</v>
      </c>
      <c r="H2259" s="3">
        <v>80.75</v>
      </c>
      <c r="I2259" s="3">
        <v>2.73</v>
      </c>
      <c r="J2259" s="3">
        <v>0.0</v>
      </c>
      <c r="K2259" s="4">
        <f t="shared" si="1"/>
        <v>22085.1152</v>
      </c>
      <c r="L2259" s="4">
        <f t="shared" si="2"/>
        <v>1.721747868</v>
      </c>
    </row>
    <row r="2260">
      <c r="A2260" s="3" t="s">
        <v>143</v>
      </c>
      <c r="B2260" s="3">
        <v>28.7</v>
      </c>
      <c r="C2260" s="3">
        <v>19.45</v>
      </c>
      <c r="D2260" s="3">
        <v>194.0</v>
      </c>
      <c r="E2260" s="3">
        <v>2.16</v>
      </c>
      <c r="F2260" s="3">
        <v>34.55</v>
      </c>
      <c r="G2260" s="3">
        <v>137.88</v>
      </c>
      <c r="H2260" s="3">
        <v>77.86</v>
      </c>
      <c r="I2260" s="3">
        <v>1.14</v>
      </c>
      <c r="J2260" s="3">
        <v>0.0</v>
      </c>
      <c r="K2260" s="4">
        <f t="shared" si="1"/>
        <v>20204.5969</v>
      </c>
      <c r="L2260" s="4">
        <f t="shared" si="2"/>
        <v>1.862744413</v>
      </c>
    </row>
    <row r="2261">
      <c r="A2261" s="3" t="s">
        <v>143</v>
      </c>
      <c r="B2261" s="3">
        <v>28.7</v>
      </c>
      <c r="C2261" s="3">
        <v>20.92</v>
      </c>
      <c r="D2261" s="3">
        <v>192.0</v>
      </c>
      <c r="E2261" s="3">
        <v>6.21</v>
      </c>
      <c r="F2261" s="3">
        <v>33.63</v>
      </c>
      <c r="G2261" s="3">
        <v>131.28</v>
      </c>
      <c r="H2261" s="3">
        <v>75.07</v>
      </c>
      <c r="I2261" s="3">
        <v>0.0</v>
      </c>
      <c r="J2261" s="3">
        <v>0.0</v>
      </c>
      <c r="K2261" s="4">
        <f t="shared" si="1"/>
        <v>18365.4153</v>
      </c>
      <c r="L2261" s="4">
        <f t="shared" si="2"/>
        <v>2.007251097</v>
      </c>
    </row>
    <row r="2262">
      <c r="A2262" s="3" t="s">
        <v>143</v>
      </c>
      <c r="B2262" s="3">
        <v>28.7</v>
      </c>
      <c r="C2262" s="3">
        <v>22.92</v>
      </c>
      <c r="D2262" s="3">
        <v>190.0</v>
      </c>
      <c r="E2262" s="3">
        <v>3.14</v>
      </c>
      <c r="F2262" s="3">
        <v>31.78</v>
      </c>
      <c r="G2262" s="3">
        <v>123.21</v>
      </c>
      <c r="H2262" s="3">
        <v>71.72</v>
      </c>
      <c r="I2262" s="3">
        <v>0.0</v>
      </c>
      <c r="J2262" s="3">
        <v>0.0</v>
      </c>
      <c r="K2262" s="4">
        <f t="shared" si="1"/>
        <v>16190.6725</v>
      </c>
      <c r="L2262" s="4">
        <f t="shared" si="2"/>
        <v>2.229678847</v>
      </c>
    </row>
    <row r="2263">
      <c r="A2263" s="3" t="s">
        <v>143</v>
      </c>
      <c r="B2263" s="3">
        <v>28.7</v>
      </c>
      <c r="C2263" s="3">
        <v>25.02</v>
      </c>
      <c r="D2263" s="3">
        <v>191.0</v>
      </c>
      <c r="E2263" s="3">
        <v>14.6</v>
      </c>
      <c r="F2263" s="3">
        <v>29.63</v>
      </c>
      <c r="G2263" s="3">
        <v>116.76</v>
      </c>
      <c r="H2263" s="3">
        <v>68.65</v>
      </c>
      <c r="I2263" s="3">
        <v>0.0</v>
      </c>
      <c r="J2263" s="3">
        <v>0.0</v>
      </c>
      <c r="K2263" s="4">
        <f t="shared" si="1"/>
        <v>14510.8345</v>
      </c>
      <c r="L2263" s="4">
        <f t="shared" si="2"/>
        <v>2.514052517</v>
      </c>
    </row>
    <row r="2264">
      <c r="A2264" s="3" t="s">
        <v>143</v>
      </c>
      <c r="B2264" s="3">
        <v>28.7</v>
      </c>
      <c r="C2264" s="3">
        <v>29.23</v>
      </c>
      <c r="D2264" s="3">
        <v>193.0</v>
      </c>
      <c r="E2264" s="3">
        <v>18.6</v>
      </c>
      <c r="F2264" s="3">
        <v>26.35</v>
      </c>
      <c r="G2264" s="3">
        <v>106.8</v>
      </c>
      <c r="H2264" s="3">
        <v>63.51</v>
      </c>
      <c r="I2264" s="3">
        <v>0.0</v>
      </c>
      <c r="J2264" s="3">
        <v>0.0</v>
      </c>
      <c r="K2264" s="4">
        <f t="shared" si="1"/>
        <v>12100.5625</v>
      </c>
      <c r="L2264" s="4">
        <f t="shared" si="2"/>
        <v>3.07828665</v>
      </c>
    </row>
    <row r="2265">
      <c r="A2265" s="3" t="s">
        <v>144</v>
      </c>
      <c r="B2265" s="3">
        <v>20.7</v>
      </c>
      <c r="C2265" s="3">
        <v>0.11</v>
      </c>
      <c r="D2265" s="3">
        <v>56.2</v>
      </c>
      <c r="E2265" s="3">
        <v>28.5</v>
      </c>
      <c r="F2265" s="3">
        <v>-1.03</v>
      </c>
      <c r="G2265" s="3">
        <v>10.27</v>
      </c>
      <c r="H2265" s="3">
        <v>44.15</v>
      </c>
      <c r="I2265" s="3">
        <v>655.22</v>
      </c>
      <c r="J2265" s="3">
        <v>4452.47</v>
      </c>
      <c r="K2265" s="4">
        <f t="shared" si="1"/>
        <v>106.5338</v>
      </c>
      <c r="L2265" s="4">
        <f t="shared" si="2"/>
        <v>29.64730442</v>
      </c>
    </row>
    <row r="2266">
      <c r="A2266" s="3" t="s">
        <v>144</v>
      </c>
      <c r="B2266" s="3">
        <v>20.7</v>
      </c>
      <c r="C2266" s="3">
        <v>0.23</v>
      </c>
      <c r="D2266" s="3">
        <v>64.6</v>
      </c>
      <c r="E2266" s="3">
        <v>22.7</v>
      </c>
      <c r="F2266" s="3">
        <v>-1.23</v>
      </c>
      <c r="G2266" s="3">
        <v>20.21</v>
      </c>
      <c r="H2266" s="3">
        <v>75.69</v>
      </c>
      <c r="I2266" s="3">
        <v>599.52</v>
      </c>
      <c r="J2266" s="3">
        <v>2773.9</v>
      </c>
      <c r="K2266" s="4">
        <f t="shared" si="1"/>
        <v>409.957</v>
      </c>
      <c r="L2266" s="4">
        <f t="shared" si="2"/>
        <v>10.17950663</v>
      </c>
    </row>
    <row r="2267">
      <c r="A2267" s="3" t="s">
        <v>144</v>
      </c>
      <c r="B2267" s="3">
        <v>20.7</v>
      </c>
      <c r="C2267" s="3">
        <v>0.34</v>
      </c>
      <c r="D2267" s="3">
        <v>70.2</v>
      </c>
      <c r="E2267" s="3">
        <v>17.2</v>
      </c>
      <c r="F2267" s="3">
        <v>-1.32</v>
      </c>
      <c r="G2267" s="3">
        <v>28.3</v>
      </c>
      <c r="H2267" s="3">
        <v>90.09</v>
      </c>
      <c r="I2267" s="3">
        <v>552.64</v>
      </c>
      <c r="J2267" s="3">
        <v>1731.65</v>
      </c>
      <c r="K2267" s="4">
        <f t="shared" si="1"/>
        <v>802.6324</v>
      </c>
      <c r="L2267" s="4">
        <f t="shared" si="2"/>
        <v>6.139846834</v>
      </c>
    </row>
    <row r="2268">
      <c r="A2268" s="3" t="s">
        <v>144</v>
      </c>
      <c r="B2268" s="3">
        <v>20.7</v>
      </c>
      <c r="C2268" s="3">
        <v>0.46</v>
      </c>
      <c r="D2268" s="3">
        <v>71.6</v>
      </c>
      <c r="E2268" s="3">
        <v>11.7</v>
      </c>
      <c r="F2268" s="3">
        <v>-1.38</v>
      </c>
      <c r="G2268" s="3">
        <v>36.17</v>
      </c>
      <c r="H2268" s="3">
        <v>97.29</v>
      </c>
      <c r="I2268" s="3">
        <v>505.66</v>
      </c>
      <c r="J2268" s="3">
        <v>1079.38</v>
      </c>
      <c r="K2268" s="4">
        <f t="shared" si="1"/>
        <v>1310.1733</v>
      </c>
      <c r="L2268" s="4">
        <f t="shared" si="2"/>
        <v>3.912886944</v>
      </c>
    </row>
    <row r="2269">
      <c r="A2269" s="3" t="s">
        <v>144</v>
      </c>
      <c r="B2269" s="3">
        <v>20.7</v>
      </c>
      <c r="C2269" s="3">
        <v>0.57</v>
      </c>
      <c r="D2269" s="3">
        <v>71.0</v>
      </c>
      <c r="E2269" s="3">
        <v>11.3</v>
      </c>
      <c r="F2269" s="3">
        <v>-1.41</v>
      </c>
      <c r="G2269" s="3">
        <v>42.64</v>
      </c>
      <c r="H2269" s="3">
        <v>98.4</v>
      </c>
      <c r="I2269" s="3">
        <v>466.11</v>
      </c>
      <c r="J2269" s="3">
        <v>777.25</v>
      </c>
      <c r="K2269" s="4">
        <f t="shared" si="1"/>
        <v>1820.1577</v>
      </c>
      <c r="L2269" s="4">
        <f t="shared" si="2"/>
        <v>2.769540244</v>
      </c>
    </row>
    <row r="2270">
      <c r="A2270" s="3" t="s">
        <v>144</v>
      </c>
      <c r="B2270" s="3">
        <v>20.7</v>
      </c>
      <c r="C2270" s="3">
        <v>0.69</v>
      </c>
      <c r="D2270" s="3">
        <v>69.0</v>
      </c>
      <c r="E2270" s="3">
        <v>9.37</v>
      </c>
      <c r="F2270" s="3">
        <v>-1.36</v>
      </c>
      <c r="G2270" s="3">
        <v>48.95</v>
      </c>
      <c r="H2270" s="3">
        <v>99.3</v>
      </c>
      <c r="I2270" s="3">
        <v>426.49</v>
      </c>
      <c r="J2270" s="3">
        <v>601.37</v>
      </c>
      <c r="K2270" s="4">
        <f t="shared" si="1"/>
        <v>2397.9521</v>
      </c>
      <c r="L2270" s="4">
        <f t="shared" si="2"/>
        <v>1.985444163</v>
      </c>
    </row>
    <row r="2271">
      <c r="A2271" s="3" t="s">
        <v>144</v>
      </c>
      <c r="B2271" s="3">
        <v>20.7</v>
      </c>
      <c r="C2271" s="3">
        <v>0.8</v>
      </c>
      <c r="D2271" s="3">
        <v>67.7</v>
      </c>
      <c r="E2271" s="3">
        <v>6.23</v>
      </c>
      <c r="F2271" s="3">
        <v>-1.23</v>
      </c>
      <c r="G2271" s="3">
        <v>54.16</v>
      </c>
      <c r="H2271" s="3">
        <v>100.36</v>
      </c>
      <c r="I2271" s="3">
        <v>393.14</v>
      </c>
      <c r="J2271" s="3">
        <v>459.37</v>
      </c>
      <c r="K2271" s="4">
        <f t="shared" si="1"/>
        <v>2934.8185</v>
      </c>
      <c r="L2271" s="4">
        <f t="shared" si="2"/>
        <v>1.561694531</v>
      </c>
    </row>
    <row r="2272">
      <c r="A2272" s="3" t="s">
        <v>144</v>
      </c>
      <c r="B2272" s="3">
        <v>20.7</v>
      </c>
      <c r="C2272" s="3">
        <v>0.92</v>
      </c>
      <c r="D2272" s="3">
        <v>66.9</v>
      </c>
      <c r="E2272" s="3">
        <v>4.0</v>
      </c>
      <c r="F2272" s="3">
        <v>-0.91</v>
      </c>
      <c r="G2272" s="3">
        <v>59.24</v>
      </c>
      <c r="H2272" s="3">
        <v>100.84</v>
      </c>
      <c r="I2272" s="3">
        <v>359.72</v>
      </c>
      <c r="J2272" s="3">
        <v>348.84</v>
      </c>
      <c r="K2272" s="4">
        <f t="shared" si="1"/>
        <v>3510.2057</v>
      </c>
      <c r="L2272" s="4">
        <f t="shared" si="2"/>
        <v>1.275027842</v>
      </c>
    </row>
    <row r="2273">
      <c r="A2273" s="3" t="s">
        <v>144</v>
      </c>
      <c r="B2273" s="3">
        <v>20.7</v>
      </c>
      <c r="C2273" s="3">
        <v>1.03</v>
      </c>
      <c r="D2273" s="3">
        <v>66.6</v>
      </c>
      <c r="E2273" s="3">
        <v>3.1</v>
      </c>
      <c r="F2273" s="3">
        <v>0.49</v>
      </c>
      <c r="G2273" s="3">
        <v>63.4</v>
      </c>
      <c r="H2273" s="3">
        <v>101.52</v>
      </c>
      <c r="I2273" s="3">
        <v>331.59</v>
      </c>
      <c r="J2273" s="3">
        <v>233.68</v>
      </c>
      <c r="K2273" s="4">
        <f t="shared" si="1"/>
        <v>4019.8001</v>
      </c>
      <c r="L2273" s="4">
        <f t="shared" si="2"/>
        <v>1.103428004</v>
      </c>
    </row>
    <row r="2274">
      <c r="A2274" s="3" t="s">
        <v>144</v>
      </c>
      <c r="B2274" s="3">
        <v>20.7</v>
      </c>
      <c r="C2274" s="3">
        <v>1.14</v>
      </c>
      <c r="D2274" s="3">
        <v>66.8</v>
      </c>
      <c r="E2274" s="3">
        <v>3.02</v>
      </c>
      <c r="F2274" s="3">
        <v>1.27</v>
      </c>
      <c r="G2274" s="3">
        <v>67.15</v>
      </c>
      <c r="H2274" s="3">
        <v>100.91</v>
      </c>
      <c r="I2274" s="3">
        <v>305.66</v>
      </c>
      <c r="J2274" s="3">
        <v>159.27</v>
      </c>
      <c r="K2274" s="4">
        <f t="shared" si="1"/>
        <v>4510.7354</v>
      </c>
      <c r="L2274" s="4">
        <f t="shared" si="2"/>
        <v>0.9892488928</v>
      </c>
    </row>
    <row r="2275">
      <c r="A2275" s="3" t="s">
        <v>144</v>
      </c>
      <c r="B2275" s="3">
        <v>20.7</v>
      </c>
      <c r="C2275" s="3">
        <v>1.26</v>
      </c>
      <c r="D2275" s="3">
        <v>67.4</v>
      </c>
      <c r="E2275" s="3">
        <v>3.09</v>
      </c>
      <c r="F2275" s="3">
        <v>1.89</v>
      </c>
      <c r="G2275" s="3">
        <v>70.78</v>
      </c>
      <c r="H2275" s="3">
        <v>99.65</v>
      </c>
      <c r="I2275" s="3">
        <v>279.67</v>
      </c>
      <c r="J2275" s="3">
        <v>96.37</v>
      </c>
      <c r="K2275" s="4">
        <f t="shared" si="1"/>
        <v>5013.3805</v>
      </c>
      <c r="L2275" s="4">
        <f t="shared" si="2"/>
        <v>0.9061271132</v>
      </c>
    </row>
    <row r="2276">
      <c r="A2276" s="3" t="s">
        <v>144</v>
      </c>
      <c r="B2276" s="3">
        <v>20.7</v>
      </c>
      <c r="C2276" s="3">
        <v>1.37</v>
      </c>
      <c r="D2276" s="3">
        <v>68.3</v>
      </c>
      <c r="E2276" s="3">
        <v>2.71</v>
      </c>
      <c r="F2276" s="3">
        <v>2.47</v>
      </c>
      <c r="G2276" s="3">
        <v>73.73</v>
      </c>
      <c r="H2276" s="3">
        <v>97.83</v>
      </c>
      <c r="I2276" s="3">
        <v>257.8</v>
      </c>
      <c r="J2276" s="3">
        <v>50.26</v>
      </c>
      <c r="K2276" s="4">
        <f t="shared" si="1"/>
        <v>5442.2138</v>
      </c>
      <c r="L2276" s="4">
        <f t="shared" si="2"/>
        <v>0.857167721</v>
      </c>
    </row>
    <row r="2277">
      <c r="A2277" s="3" t="s">
        <v>144</v>
      </c>
      <c r="B2277" s="3">
        <v>20.7</v>
      </c>
      <c r="C2277" s="3">
        <v>1.49</v>
      </c>
      <c r="D2277" s="3">
        <v>69.6</v>
      </c>
      <c r="E2277" s="3">
        <v>2.75</v>
      </c>
      <c r="F2277" s="3">
        <v>2.98</v>
      </c>
      <c r="G2277" s="3">
        <v>76.63</v>
      </c>
      <c r="H2277" s="3">
        <v>95.14</v>
      </c>
      <c r="I2277" s="3">
        <v>239.14</v>
      </c>
      <c r="J2277" s="3">
        <v>24.69</v>
      </c>
      <c r="K2277" s="4">
        <f t="shared" si="1"/>
        <v>5881.0373</v>
      </c>
      <c r="L2277" s="4">
        <f t="shared" si="2"/>
        <v>0.823691426</v>
      </c>
    </row>
    <row r="2278">
      <c r="A2278" s="3" t="s">
        <v>144</v>
      </c>
      <c r="B2278" s="3">
        <v>20.7</v>
      </c>
      <c r="C2278" s="3">
        <v>1.61</v>
      </c>
      <c r="D2278" s="3">
        <v>71.2</v>
      </c>
      <c r="E2278" s="3">
        <v>2.61</v>
      </c>
      <c r="F2278" s="3">
        <v>3.52</v>
      </c>
      <c r="G2278" s="3">
        <v>79.45</v>
      </c>
      <c r="H2278" s="3">
        <v>92.26</v>
      </c>
      <c r="I2278" s="3">
        <v>221.75</v>
      </c>
      <c r="J2278" s="3">
        <v>12.13</v>
      </c>
      <c r="K2278" s="4">
        <f t="shared" si="1"/>
        <v>6324.6929</v>
      </c>
      <c r="L2278" s="4">
        <f t="shared" si="2"/>
        <v>0.8015314072</v>
      </c>
    </row>
    <row r="2279">
      <c r="A2279" s="3" t="s">
        <v>144</v>
      </c>
      <c r="B2279" s="3">
        <v>20.7</v>
      </c>
      <c r="C2279" s="3">
        <v>1.71</v>
      </c>
      <c r="D2279" s="3">
        <v>72.9</v>
      </c>
      <c r="E2279" s="3">
        <v>4.09</v>
      </c>
      <c r="F2279" s="3">
        <v>4.06</v>
      </c>
      <c r="G2279" s="3">
        <v>81.6</v>
      </c>
      <c r="H2279" s="3">
        <v>89.85</v>
      </c>
      <c r="I2279" s="3">
        <v>205.51</v>
      </c>
      <c r="J2279" s="3">
        <v>6.74</v>
      </c>
      <c r="K2279" s="4">
        <f t="shared" si="1"/>
        <v>6675.0436</v>
      </c>
      <c r="L2279" s="4">
        <f t="shared" si="2"/>
        <v>0.7961610917</v>
      </c>
    </row>
    <row r="2280">
      <c r="A2280" s="3" t="s">
        <v>144</v>
      </c>
      <c r="B2280" s="3">
        <v>20.7</v>
      </c>
      <c r="C2280" s="3">
        <v>1.83</v>
      </c>
      <c r="D2280" s="3">
        <v>74.9</v>
      </c>
      <c r="E2280" s="3">
        <v>6.17</v>
      </c>
      <c r="F2280" s="3">
        <v>4.62</v>
      </c>
      <c r="G2280" s="3">
        <v>83.69</v>
      </c>
      <c r="H2280" s="3">
        <v>87.09</v>
      </c>
      <c r="I2280" s="3">
        <v>183.4</v>
      </c>
      <c r="J2280" s="3">
        <v>3.33</v>
      </c>
      <c r="K2280" s="4">
        <f t="shared" si="1"/>
        <v>7025.3605</v>
      </c>
      <c r="L2280" s="4">
        <f t="shared" si="2"/>
        <v>0.7985369576</v>
      </c>
    </row>
    <row r="2281">
      <c r="A2281" s="3" t="s">
        <v>144</v>
      </c>
      <c r="B2281" s="3">
        <v>20.7</v>
      </c>
      <c r="C2281" s="3">
        <v>1.94</v>
      </c>
      <c r="D2281" s="3">
        <v>77.0</v>
      </c>
      <c r="E2281" s="3">
        <v>7.74</v>
      </c>
      <c r="F2281" s="3">
        <v>5.19</v>
      </c>
      <c r="G2281" s="3">
        <v>85.04</v>
      </c>
      <c r="H2281" s="3">
        <v>84.69</v>
      </c>
      <c r="I2281" s="3">
        <v>167.21</v>
      </c>
      <c r="J2281" s="3">
        <v>1.73</v>
      </c>
      <c r="K2281" s="4">
        <f t="shared" si="1"/>
        <v>7258.7377</v>
      </c>
      <c r="L2281" s="4">
        <f t="shared" si="2"/>
        <v>0.8168086856</v>
      </c>
    </row>
    <row r="2282">
      <c r="A2282" s="3" t="s">
        <v>144</v>
      </c>
      <c r="B2282" s="3">
        <v>20.7</v>
      </c>
      <c r="C2282" s="3">
        <v>2.06</v>
      </c>
      <c r="D2282" s="3">
        <v>79.2</v>
      </c>
      <c r="E2282" s="3">
        <v>5.36</v>
      </c>
      <c r="F2282" s="3">
        <v>5.77</v>
      </c>
      <c r="G2282" s="3">
        <v>86.25</v>
      </c>
      <c r="H2282" s="3">
        <v>82.25</v>
      </c>
      <c r="I2282" s="3">
        <v>154.41</v>
      </c>
      <c r="J2282" s="3">
        <v>0.85</v>
      </c>
      <c r="K2282" s="4">
        <f t="shared" si="1"/>
        <v>7472.3554</v>
      </c>
      <c r="L2282" s="4">
        <f t="shared" si="2"/>
        <v>0.8394461538</v>
      </c>
    </row>
    <row r="2283">
      <c r="A2283" s="3" t="s">
        <v>144</v>
      </c>
      <c r="B2283" s="3">
        <v>20.7</v>
      </c>
      <c r="C2283" s="3">
        <v>2.18</v>
      </c>
      <c r="D2283" s="3">
        <v>81.4</v>
      </c>
      <c r="E2283" s="3">
        <v>6.34</v>
      </c>
      <c r="F2283" s="3">
        <v>6.34</v>
      </c>
      <c r="G2283" s="3">
        <v>87.49</v>
      </c>
      <c r="H2283" s="3">
        <v>79.96</v>
      </c>
      <c r="I2283" s="3">
        <v>146.81</v>
      </c>
      <c r="J2283" s="3">
        <v>0.42</v>
      </c>
      <c r="K2283" s="4">
        <f t="shared" si="1"/>
        <v>7694.6957</v>
      </c>
      <c r="L2283" s="4">
        <f t="shared" si="2"/>
        <v>0.8611074769</v>
      </c>
    </row>
    <row r="2284">
      <c r="A2284" s="3" t="s">
        <v>144</v>
      </c>
      <c r="B2284" s="3">
        <v>20.7</v>
      </c>
      <c r="C2284" s="3">
        <v>2.29</v>
      </c>
      <c r="D2284" s="3">
        <v>83.6</v>
      </c>
      <c r="E2284" s="3">
        <v>2.03</v>
      </c>
      <c r="F2284" s="3">
        <v>6.95</v>
      </c>
      <c r="G2284" s="3">
        <v>88.91</v>
      </c>
      <c r="H2284" s="3">
        <v>78.04</v>
      </c>
      <c r="I2284" s="3">
        <v>140.69</v>
      </c>
      <c r="J2284" s="3">
        <v>0.22</v>
      </c>
      <c r="K2284" s="4">
        <f t="shared" si="1"/>
        <v>7953.2906</v>
      </c>
      <c r="L2284" s="4">
        <f t="shared" si="2"/>
        <v>0.87875074</v>
      </c>
    </row>
    <row r="2285">
      <c r="A2285" s="3" t="s">
        <v>144</v>
      </c>
      <c r="B2285" s="3">
        <v>20.7</v>
      </c>
      <c r="C2285" s="3">
        <v>2.4</v>
      </c>
      <c r="D2285" s="3">
        <v>85.7</v>
      </c>
      <c r="E2285" s="3">
        <v>1.94</v>
      </c>
      <c r="F2285" s="3">
        <v>7.56</v>
      </c>
      <c r="G2285" s="3">
        <v>90.4</v>
      </c>
      <c r="H2285" s="3">
        <v>76.26</v>
      </c>
      <c r="I2285" s="3">
        <v>131.91</v>
      </c>
      <c r="J2285" s="3">
        <v>0.11</v>
      </c>
      <c r="K2285" s="4">
        <f t="shared" si="1"/>
        <v>8229.3136</v>
      </c>
      <c r="L2285" s="4">
        <f t="shared" si="2"/>
        <v>0.892479052</v>
      </c>
    </row>
    <row r="2286">
      <c r="A2286" s="3" t="s">
        <v>144</v>
      </c>
      <c r="B2286" s="3">
        <v>20.7</v>
      </c>
      <c r="C2286" s="3">
        <v>2.52</v>
      </c>
      <c r="D2286" s="3">
        <v>87.8</v>
      </c>
      <c r="E2286" s="3">
        <v>1.7</v>
      </c>
      <c r="F2286" s="3">
        <v>8.2</v>
      </c>
      <c r="G2286" s="3">
        <v>91.9</v>
      </c>
      <c r="H2286" s="3">
        <v>74.41</v>
      </c>
      <c r="I2286" s="3">
        <v>120.79</v>
      </c>
      <c r="J2286" s="3">
        <v>0.06</v>
      </c>
      <c r="K2286" s="4">
        <f t="shared" si="1"/>
        <v>8512.85</v>
      </c>
      <c r="L2286" s="4">
        <f t="shared" si="2"/>
        <v>0.9055533693</v>
      </c>
    </row>
    <row r="2287">
      <c r="A2287" s="3" t="s">
        <v>144</v>
      </c>
      <c r="B2287" s="3">
        <v>20.7</v>
      </c>
      <c r="C2287" s="3">
        <v>2.63</v>
      </c>
      <c r="D2287" s="3">
        <v>89.7</v>
      </c>
      <c r="E2287" s="3">
        <v>2.16</v>
      </c>
      <c r="F2287" s="3">
        <v>8.89</v>
      </c>
      <c r="G2287" s="3">
        <v>92.95</v>
      </c>
      <c r="H2287" s="3">
        <v>72.86</v>
      </c>
      <c r="I2287" s="3">
        <v>108.91</v>
      </c>
      <c r="J2287" s="3">
        <v>0.03</v>
      </c>
      <c r="K2287" s="4">
        <f t="shared" si="1"/>
        <v>8718.7346</v>
      </c>
      <c r="L2287" s="4">
        <f t="shared" si="2"/>
        <v>0.9228506623</v>
      </c>
    </row>
    <row r="2288">
      <c r="A2288" s="3" t="s">
        <v>144</v>
      </c>
      <c r="B2288" s="3">
        <v>20.7</v>
      </c>
      <c r="C2288" s="3">
        <v>2.75</v>
      </c>
      <c r="D2288" s="3">
        <v>91.4</v>
      </c>
      <c r="E2288" s="3">
        <v>1.88</v>
      </c>
      <c r="F2288" s="3">
        <v>9.58</v>
      </c>
      <c r="G2288" s="3">
        <v>93.65</v>
      </c>
      <c r="H2288" s="3">
        <v>71.23</v>
      </c>
      <c r="I2288" s="3">
        <v>96.05</v>
      </c>
      <c r="J2288" s="3">
        <v>0.01</v>
      </c>
      <c r="K2288" s="4">
        <f t="shared" si="1"/>
        <v>8862.0989</v>
      </c>
      <c r="L2288" s="4">
        <f t="shared" si="2"/>
        <v>0.9426615629</v>
      </c>
    </row>
    <row r="2289">
      <c r="A2289" s="3" t="s">
        <v>144</v>
      </c>
      <c r="B2289" s="3">
        <v>20.7</v>
      </c>
      <c r="C2289" s="3">
        <v>2.86</v>
      </c>
      <c r="D2289" s="3">
        <v>92.8</v>
      </c>
      <c r="E2289" s="3">
        <v>3.36</v>
      </c>
      <c r="F2289" s="3">
        <v>10.31</v>
      </c>
      <c r="G2289" s="3">
        <v>93.97</v>
      </c>
      <c r="H2289" s="3">
        <v>69.85</v>
      </c>
      <c r="I2289" s="3">
        <v>86.65</v>
      </c>
      <c r="J2289" s="3">
        <v>0.01</v>
      </c>
      <c r="K2289" s="4">
        <f t="shared" si="1"/>
        <v>8936.657</v>
      </c>
      <c r="L2289" s="4">
        <f t="shared" si="2"/>
        <v>0.9636534109</v>
      </c>
    </row>
    <row r="2290">
      <c r="A2290" s="3" t="s">
        <v>144</v>
      </c>
      <c r="B2290" s="3">
        <v>20.7</v>
      </c>
      <c r="C2290" s="3">
        <v>2.98</v>
      </c>
      <c r="D2290" s="3">
        <v>94.1</v>
      </c>
      <c r="E2290" s="3">
        <v>1.4</v>
      </c>
      <c r="F2290" s="3">
        <v>11.11</v>
      </c>
      <c r="G2290" s="3">
        <v>94.1</v>
      </c>
      <c r="H2290" s="3">
        <v>68.43</v>
      </c>
      <c r="I2290" s="3">
        <v>77.7</v>
      </c>
      <c r="J2290" s="3">
        <v>0.0</v>
      </c>
      <c r="K2290" s="4">
        <f t="shared" si="1"/>
        <v>8978.2421</v>
      </c>
      <c r="L2290" s="4">
        <f t="shared" si="2"/>
        <v>0.986252086</v>
      </c>
    </row>
    <row r="2291">
      <c r="A2291" s="3" t="s">
        <v>144</v>
      </c>
      <c r="B2291" s="3">
        <v>20.7</v>
      </c>
      <c r="C2291" s="3">
        <v>3.09</v>
      </c>
      <c r="D2291" s="3">
        <v>95.2</v>
      </c>
      <c r="E2291" s="3">
        <v>5.51</v>
      </c>
      <c r="F2291" s="3">
        <v>11.94</v>
      </c>
      <c r="G2291" s="3">
        <v>93.98</v>
      </c>
      <c r="H2291" s="3">
        <v>67.21</v>
      </c>
      <c r="I2291" s="3">
        <v>70.44</v>
      </c>
      <c r="J2291" s="3">
        <v>0.0</v>
      </c>
      <c r="K2291" s="4">
        <f t="shared" si="1"/>
        <v>8974.804</v>
      </c>
      <c r="L2291" s="4">
        <f t="shared" si="2"/>
        <v>1.009831524</v>
      </c>
    </row>
    <row r="2292">
      <c r="A2292" s="3" t="s">
        <v>144</v>
      </c>
      <c r="B2292" s="3">
        <v>20.7</v>
      </c>
      <c r="C2292" s="3">
        <v>3.2</v>
      </c>
      <c r="D2292" s="3">
        <v>96.1</v>
      </c>
      <c r="E2292" s="3">
        <v>6.23</v>
      </c>
      <c r="F2292" s="3">
        <v>12.77</v>
      </c>
      <c r="G2292" s="3">
        <v>93.74</v>
      </c>
      <c r="H2292" s="3">
        <v>66.06</v>
      </c>
      <c r="I2292" s="3">
        <v>64.18</v>
      </c>
      <c r="J2292" s="3">
        <v>0.0</v>
      </c>
      <c r="K2292" s="4">
        <f t="shared" si="1"/>
        <v>8950.2605</v>
      </c>
      <c r="L2292" s="4">
        <f t="shared" si="2"/>
        <v>1.031837006</v>
      </c>
    </row>
    <row r="2293">
      <c r="A2293" s="3" t="s">
        <v>144</v>
      </c>
      <c r="B2293" s="3">
        <v>20.7</v>
      </c>
      <c r="C2293" s="3">
        <v>4.52</v>
      </c>
      <c r="D2293" s="3">
        <v>97.4</v>
      </c>
      <c r="E2293" s="3">
        <v>2.3</v>
      </c>
      <c r="F2293" s="3">
        <v>19.31</v>
      </c>
      <c r="G2293" s="3">
        <v>88.08</v>
      </c>
      <c r="H2293" s="3">
        <v>55.57</v>
      </c>
      <c r="I2293" s="3">
        <v>28.91</v>
      </c>
      <c r="J2293" s="3">
        <v>0.0</v>
      </c>
      <c r="K2293" s="4">
        <f t="shared" si="1"/>
        <v>8130.9625</v>
      </c>
      <c r="L2293" s="4">
        <f t="shared" si="2"/>
        <v>1.166745019</v>
      </c>
    </row>
    <row r="2294">
      <c r="A2294" s="3" t="s">
        <v>144</v>
      </c>
      <c r="B2294" s="3">
        <v>20.7</v>
      </c>
      <c r="C2294" s="3">
        <v>4.69</v>
      </c>
      <c r="D2294" s="3">
        <v>96.9</v>
      </c>
      <c r="E2294" s="3">
        <v>11.7</v>
      </c>
      <c r="F2294" s="3">
        <v>19.73</v>
      </c>
      <c r="G2294" s="3">
        <v>87.36</v>
      </c>
      <c r="H2294" s="3">
        <v>54.55</v>
      </c>
      <c r="I2294" s="3">
        <v>26.51</v>
      </c>
      <c r="J2294" s="3">
        <v>0.0</v>
      </c>
      <c r="K2294" s="4">
        <f t="shared" si="1"/>
        <v>8021.0425</v>
      </c>
      <c r="L2294" s="4">
        <f t="shared" si="2"/>
        <v>1.170622148</v>
      </c>
    </row>
    <row r="2295">
      <c r="A2295" s="3" t="s">
        <v>144</v>
      </c>
      <c r="B2295" s="3">
        <v>20.7</v>
      </c>
      <c r="C2295" s="3">
        <v>6.03</v>
      </c>
      <c r="D2295" s="3">
        <v>96.8</v>
      </c>
      <c r="E2295" s="3">
        <v>2.3</v>
      </c>
      <c r="F2295" s="3">
        <v>22.95</v>
      </c>
      <c r="G2295" s="3">
        <v>81.5</v>
      </c>
      <c r="H2295" s="3">
        <v>48.11</v>
      </c>
      <c r="I2295" s="3">
        <v>14.16</v>
      </c>
      <c r="J2295" s="3">
        <v>0.0</v>
      </c>
      <c r="K2295" s="4">
        <f t="shared" si="1"/>
        <v>7168.9525</v>
      </c>
      <c r="L2295" s="4">
        <f t="shared" si="2"/>
        <v>1.307058458</v>
      </c>
    </row>
    <row r="2296">
      <c r="A2296" s="3" t="s">
        <v>144</v>
      </c>
      <c r="B2296" s="3">
        <v>20.7</v>
      </c>
      <c r="C2296" s="3">
        <v>7.53</v>
      </c>
      <c r="D2296" s="3">
        <v>105.0</v>
      </c>
      <c r="E2296" s="3">
        <v>1.02</v>
      </c>
      <c r="F2296" s="3">
        <v>26.37</v>
      </c>
      <c r="G2296" s="3">
        <v>76.78</v>
      </c>
      <c r="H2296" s="3">
        <v>43.05</v>
      </c>
      <c r="I2296" s="3">
        <v>8.19</v>
      </c>
      <c r="J2296" s="3">
        <v>0.0</v>
      </c>
      <c r="K2296" s="4">
        <f t="shared" si="1"/>
        <v>6590.5453</v>
      </c>
      <c r="L2296" s="4">
        <f t="shared" si="2"/>
        <v>1.672850955</v>
      </c>
    </row>
    <row r="2297">
      <c r="A2297" s="3" t="s">
        <v>144</v>
      </c>
      <c r="B2297" s="3">
        <v>20.7</v>
      </c>
      <c r="C2297" s="3">
        <v>8.58</v>
      </c>
      <c r="D2297" s="3">
        <v>110.0</v>
      </c>
      <c r="E2297" s="3">
        <v>7.12</v>
      </c>
      <c r="F2297" s="3">
        <v>28.87</v>
      </c>
      <c r="G2297" s="3">
        <v>73.0</v>
      </c>
      <c r="H2297" s="3">
        <v>40.33</v>
      </c>
      <c r="I2297" s="3">
        <v>5.41</v>
      </c>
      <c r="J2297" s="3">
        <v>0.0</v>
      </c>
      <c r="K2297" s="4">
        <f t="shared" si="1"/>
        <v>6162.4769</v>
      </c>
      <c r="L2297" s="4">
        <f t="shared" si="2"/>
        <v>1.963496204</v>
      </c>
    </row>
    <row r="2298">
      <c r="A2298" s="3" t="s">
        <v>144</v>
      </c>
      <c r="B2298" s="3">
        <v>20.7</v>
      </c>
      <c r="C2298" s="3">
        <v>8.7</v>
      </c>
      <c r="D2298" s="3">
        <v>110.0</v>
      </c>
      <c r="E2298" s="3">
        <v>5.26</v>
      </c>
      <c r="F2298" s="3">
        <v>29.07</v>
      </c>
      <c r="G2298" s="3">
        <v>72.69</v>
      </c>
      <c r="H2298" s="3">
        <v>40.05</v>
      </c>
      <c r="I2298" s="3">
        <v>5.18</v>
      </c>
      <c r="J2298" s="3">
        <v>0.0</v>
      </c>
      <c r="K2298" s="4">
        <f t="shared" si="1"/>
        <v>6128.901</v>
      </c>
      <c r="L2298" s="4">
        <f t="shared" si="2"/>
        <v>1.974252806</v>
      </c>
    </row>
    <row r="2299">
      <c r="A2299" s="3" t="s">
        <v>144</v>
      </c>
      <c r="B2299" s="3">
        <v>20.7</v>
      </c>
      <c r="C2299" s="3">
        <v>8.82</v>
      </c>
      <c r="D2299" s="3">
        <v>110.0</v>
      </c>
      <c r="E2299" s="3">
        <v>5.16</v>
      </c>
      <c r="F2299" s="3">
        <v>29.38</v>
      </c>
      <c r="G2299" s="3">
        <v>72.31</v>
      </c>
      <c r="H2299" s="3">
        <v>39.78</v>
      </c>
      <c r="I2299" s="3">
        <v>4.95</v>
      </c>
      <c r="J2299" s="3">
        <v>0.0</v>
      </c>
      <c r="K2299" s="4">
        <f t="shared" si="1"/>
        <v>6091.9205</v>
      </c>
      <c r="L2299" s="4">
        <f t="shared" si="2"/>
        <v>1.986237345</v>
      </c>
    </row>
    <row r="2300">
      <c r="A2300" s="3" t="s">
        <v>144</v>
      </c>
      <c r="B2300" s="3">
        <v>20.7</v>
      </c>
      <c r="C2300" s="3">
        <v>9.03</v>
      </c>
      <c r="D2300" s="3">
        <v>111.0</v>
      </c>
      <c r="E2300" s="3">
        <v>0.82</v>
      </c>
      <c r="F2300" s="3">
        <v>29.9</v>
      </c>
      <c r="G2300" s="3">
        <v>71.64</v>
      </c>
      <c r="H2300" s="3">
        <v>39.31</v>
      </c>
      <c r="I2300" s="3">
        <v>4.58</v>
      </c>
      <c r="J2300" s="3">
        <v>0.0</v>
      </c>
      <c r="K2300" s="4">
        <f t="shared" si="1"/>
        <v>6026.2996</v>
      </c>
      <c r="L2300" s="4">
        <f t="shared" si="2"/>
        <v>2.044538244</v>
      </c>
    </row>
    <row r="2301">
      <c r="A2301" s="3" t="s">
        <v>144</v>
      </c>
      <c r="B2301" s="3">
        <v>20.7</v>
      </c>
      <c r="C2301" s="3">
        <v>9.05</v>
      </c>
      <c r="D2301" s="3">
        <v>111.0</v>
      </c>
      <c r="E2301" s="3">
        <v>7.81</v>
      </c>
      <c r="F2301" s="3">
        <v>29.9</v>
      </c>
      <c r="G2301" s="3">
        <v>71.58</v>
      </c>
      <c r="H2301" s="3">
        <v>39.27</v>
      </c>
      <c r="I2301" s="3">
        <v>4.54</v>
      </c>
      <c r="J2301" s="3">
        <v>0.0</v>
      </c>
      <c r="K2301" s="4">
        <f t="shared" si="1"/>
        <v>6017.7064</v>
      </c>
      <c r="L2301" s="4">
        <f t="shared" si="2"/>
        <v>2.047457815</v>
      </c>
    </row>
    <row r="2302">
      <c r="A2302" s="3" t="s">
        <v>144</v>
      </c>
      <c r="B2302" s="3">
        <v>20.7</v>
      </c>
      <c r="C2302" s="3">
        <v>10.53</v>
      </c>
      <c r="D2302" s="3">
        <v>112.0</v>
      </c>
      <c r="E2302" s="3">
        <v>1.43</v>
      </c>
      <c r="F2302" s="3">
        <v>33.33</v>
      </c>
      <c r="G2302" s="3">
        <v>67.3</v>
      </c>
      <c r="H2302" s="3">
        <v>36.41</v>
      </c>
      <c r="I2302" s="3">
        <v>2.67</v>
      </c>
      <c r="J2302" s="3">
        <v>0.0</v>
      </c>
      <c r="K2302" s="4">
        <f t="shared" si="1"/>
        <v>5640.1789</v>
      </c>
      <c r="L2302" s="4">
        <f t="shared" si="2"/>
        <v>2.224042929</v>
      </c>
    </row>
    <row r="2303">
      <c r="A2303" s="3" t="s">
        <v>144</v>
      </c>
      <c r="B2303" s="3">
        <v>20.7</v>
      </c>
      <c r="C2303" s="3">
        <v>12.07</v>
      </c>
      <c r="D2303" s="3">
        <v>112.0</v>
      </c>
      <c r="E2303" s="3">
        <v>1.21</v>
      </c>
      <c r="F2303" s="3">
        <v>36.03</v>
      </c>
      <c r="G2303" s="3">
        <v>63.57</v>
      </c>
      <c r="H2303" s="3">
        <v>34.0</v>
      </c>
      <c r="I2303" s="3">
        <v>1.5</v>
      </c>
      <c r="J2303" s="3">
        <v>0.0</v>
      </c>
      <c r="K2303" s="4">
        <f t="shared" si="1"/>
        <v>5339.3058</v>
      </c>
      <c r="L2303" s="4">
        <f t="shared" si="2"/>
        <v>2.349369088</v>
      </c>
    </row>
    <row r="2304">
      <c r="A2304" s="3" t="s">
        <v>144</v>
      </c>
      <c r="B2304" s="3">
        <v>20.7</v>
      </c>
      <c r="C2304" s="3">
        <v>13.58</v>
      </c>
      <c r="D2304" s="3">
        <v>114.0</v>
      </c>
      <c r="E2304" s="3">
        <v>1.35</v>
      </c>
      <c r="F2304" s="3">
        <v>37.9</v>
      </c>
      <c r="G2304" s="3">
        <v>59.74</v>
      </c>
      <c r="H2304" s="3">
        <v>32.06</v>
      </c>
      <c r="I2304" s="3">
        <v>0.69</v>
      </c>
      <c r="J2304" s="3">
        <v>0.0</v>
      </c>
      <c r="K2304" s="4">
        <f t="shared" si="1"/>
        <v>5005.2776</v>
      </c>
      <c r="L2304" s="4">
        <f t="shared" si="2"/>
        <v>2.596459385</v>
      </c>
    </row>
    <row r="2305">
      <c r="A2305" s="3" t="s">
        <v>144</v>
      </c>
      <c r="B2305" s="3">
        <v>20.7</v>
      </c>
      <c r="C2305" s="3">
        <v>15.09</v>
      </c>
      <c r="D2305" s="3">
        <v>118.0</v>
      </c>
      <c r="E2305" s="3">
        <v>1.36</v>
      </c>
      <c r="F2305" s="3">
        <v>39.04</v>
      </c>
      <c r="G2305" s="3">
        <v>56.25</v>
      </c>
      <c r="H2305" s="3">
        <v>30.41</v>
      </c>
      <c r="I2305" s="3">
        <v>0.37</v>
      </c>
      <c r="J2305" s="3">
        <v>0.0</v>
      </c>
      <c r="K2305" s="4">
        <f t="shared" si="1"/>
        <v>4688.1841</v>
      </c>
      <c r="L2305" s="4">
        <f t="shared" si="2"/>
        <v>2.970019885</v>
      </c>
    </row>
    <row r="2306">
      <c r="A2306" s="3" t="s">
        <v>144</v>
      </c>
      <c r="B2306" s="3">
        <v>20.7</v>
      </c>
      <c r="C2306" s="3">
        <v>16.6</v>
      </c>
      <c r="D2306" s="3">
        <v>122.0</v>
      </c>
      <c r="E2306" s="3">
        <v>1.44</v>
      </c>
      <c r="F2306" s="3">
        <v>39.66</v>
      </c>
      <c r="G2306" s="3">
        <v>53.26</v>
      </c>
      <c r="H2306" s="3">
        <v>29.0</v>
      </c>
      <c r="I2306" s="3">
        <v>0.2</v>
      </c>
      <c r="J2306" s="3">
        <v>0.0</v>
      </c>
      <c r="K2306" s="4">
        <f t="shared" si="1"/>
        <v>4409.5432</v>
      </c>
      <c r="L2306" s="4">
        <f t="shared" si="2"/>
        <v>3.375406323</v>
      </c>
    </row>
    <row r="2307">
      <c r="A2307" s="3" t="s">
        <v>144</v>
      </c>
      <c r="B2307" s="3">
        <v>20.7</v>
      </c>
      <c r="C2307" s="3">
        <v>18.11</v>
      </c>
      <c r="D2307" s="3">
        <v>125.0</v>
      </c>
      <c r="E2307" s="3">
        <v>1.64</v>
      </c>
      <c r="F2307" s="3">
        <v>40.08</v>
      </c>
      <c r="G2307" s="3">
        <v>50.67</v>
      </c>
      <c r="H2307" s="3">
        <v>27.76</v>
      </c>
      <c r="I2307" s="3">
        <v>0.11</v>
      </c>
      <c r="J2307" s="3">
        <v>0.0</v>
      </c>
      <c r="K2307" s="4">
        <f t="shared" si="1"/>
        <v>4173.8553</v>
      </c>
      <c r="L2307" s="4">
        <f t="shared" si="2"/>
        <v>3.743541373</v>
      </c>
    </row>
    <row r="2308">
      <c r="A2308" s="3" t="s">
        <v>144</v>
      </c>
      <c r="B2308" s="3">
        <v>20.7</v>
      </c>
      <c r="C2308" s="3">
        <v>19.62</v>
      </c>
      <c r="D2308" s="3">
        <v>128.0</v>
      </c>
      <c r="E2308" s="3">
        <v>1.97</v>
      </c>
      <c r="F2308" s="3">
        <v>40.18</v>
      </c>
      <c r="G2308" s="3">
        <v>48.42</v>
      </c>
      <c r="H2308" s="3">
        <v>26.67</v>
      </c>
      <c r="I2308" s="3">
        <v>0.06</v>
      </c>
      <c r="J2308" s="3">
        <v>0.0</v>
      </c>
      <c r="K2308" s="4">
        <f t="shared" si="1"/>
        <v>3958.9288</v>
      </c>
      <c r="L2308" s="4">
        <f t="shared" si="2"/>
        <v>4.138493221</v>
      </c>
    </row>
    <row r="2309">
      <c r="A2309" s="3" t="s">
        <v>144</v>
      </c>
      <c r="B2309" s="3">
        <v>20.7</v>
      </c>
      <c r="C2309" s="3">
        <v>21.02</v>
      </c>
      <c r="D2309" s="3">
        <v>131.0</v>
      </c>
      <c r="E2309" s="3">
        <v>1.81</v>
      </c>
      <c r="F2309" s="3">
        <v>39.87</v>
      </c>
      <c r="G2309" s="3">
        <v>46.57</v>
      </c>
      <c r="H2309" s="3">
        <v>25.77</v>
      </c>
      <c r="I2309" s="3">
        <v>0.03</v>
      </c>
      <c r="J2309" s="3">
        <v>0.0</v>
      </c>
      <c r="K2309" s="4">
        <f t="shared" si="1"/>
        <v>3758.3818</v>
      </c>
      <c r="L2309" s="4">
        <f t="shared" si="2"/>
        <v>4.566060851</v>
      </c>
    </row>
    <row r="2310">
      <c r="A2310" s="3" t="s">
        <v>144</v>
      </c>
      <c r="B2310" s="3">
        <v>20.7</v>
      </c>
      <c r="C2310" s="3">
        <v>24.04</v>
      </c>
      <c r="D2310" s="3">
        <v>127.0</v>
      </c>
      <c r="E2310" s="3">
        <v>1.93</v>
      </c>
      <c r="F2310" s="3">
        <v>37.17</v>
      </c>
      <c r="G2310" s="3">
        <v>43.23</v>
      </c>
      <c r="H2310" s="3">
        <v>24.09</v>
      </c>
      <c r="I2310" s="3">
        <v>0.01</v>
      </c>
      <c r="J2310" s="3">
        <v>0.0</v>
      </c>
      <c r="K2310" s="4">
        <f t="shared" si="1"/>
        <v>3250.4418</v>
      </c>
      <c r="L2310" s="4">
        <f t="shared" si="2"/>
        <v>4.962094691</v>
      </c>
    </row>
    <row r="2311">
      <c r="A2311" s="3" t="s">
        <v>144</v>
      </c>
      <c r="B2311" s="3">
        <v>20.7</v>
      </c>
      <c r="C2311" s="3">
        <v>27.06</v>
      </c>
      <c r="D2311" s="3">
        <v>124.0</v>
      </c>
      <c r="E2311" s="3">
        <v>1.92</v>
      </c>
      <c r="F2311" s="3">
        <v>34.89</v>
      </c>
      <c r="G2311" s="3">
        <v>40.56</v>
      </c>
      <c r="H2311" s="3">
        <v>22.71</v>
      </c>
      <c r="I2311" s="3">
        <v>0.0</v>
      </c>
      <c r="J2311" s="3">
        <v>0.0</v>
      </c>
      <c r="K2311" s="4">
        <f t="shared" si="1"/>
        <v>2862.4257</v>
      </c>
      <c r="L2311" s="4">
        <f t="shared" si="2"/>
        <v>5.371667813</v>
      </c>
    </row>
    <row r="2312">
      <c r="A2312" s="3" t="s">
        <v>145</v>
      </c>
      <c r="B2312" s="3">
        <v>9.51</v>
      </c>
      <c r="C2312" s="3">
        <v>0.14</v>
      </c>
      <c r="D2312" s="3">
        <v>5.23</v>
      </c>
      <c r="E2312" s="3">
        <v>5.31</v>
      </c>
      <c r="F2312" s="3">
        <v>-0.97</v>
      </c>
      <c r="G2312" s="3">
        <v>4.32</v>
      </c>
      <c r="H2312" s="3">
        <v>0.0</v>
      </c>
      <c r="I2312" s="3">
        <v>79.35</v>
      </c>
      <c r="J2312" s="3">
        <v>0.0</v>
      </c>
      <c r="K2312" s="4">
        <f t="shared" si="1"/>
        <v>19.6033</v>
      </c>
      <c r="L2312" s="4">
        <f t="shared" si="2"/>
        <v>1.395321196</v>
      </c>
    </row>
    <row r="2313">
      <c r="A2313" s="3" t="s">
        <v>145</v>
      </c>
      <c r="B2313" s="3">
        <v>9.51</v>
      </c>
      <c r="C2313" s="3">
        <v>0.42</v>
      </c>
      <c r="D2313" s="3">
        <v>15.4</v>
      </c>
      <c r="E2313" s="3">
        <v>7.78</v>
      </c>
      <c r="F2313" s="3">
        <v>0.23</v>
      </c>
      <c r="G2313" s="3">
        <v>11.34</v>
      </c>
      <c r="H2313" s="3">
        <v>0.0</v>
      </c>
      <c r="I2313" s="3">
        <v>66.89</v>
      </c>
      <c r="J2313" s="3">
        <v>0.0</v>
      </c>
      <c r="K2313" s="4">
        <f t="shared" si="1"/>
        <v>128.6485</v>
      </c>
      <c r="L2313" s="4">
        <f t="shared" si="2"/>
        <v>1.843472718</v>
      </c>
    </row>
    <row r="2314">
      <c r="A2314" s="3" t="s">
        <v>145</v>
      </c>
      <c r="B2314" s="3">
        <v>9.51</v>
      </c>
      <c r="C2314" s="3">
        <v>0.69</v>
      </c>
      <c r="D2314" s="3">
        <v>24.4</v>
      </c>
      <c r="E2314" s="3">
        <v>4.0</v>
      </c>
      <c r="F2314" s="3">
        <v>3.77</v>
      </c>
      <c r="G2314" s="3">
        <v>17.59</v>
      </c>
      <c r="H2314" s="3">
        <v>0.0</v>
      </c>
      <c r="I2314" s="3">
        <v>63.43</v>
      </c>
      <c r="J2314" s="3">
        <v>0.0</v>
      </c>
      <c r="K2314" s="4">
        <f t="shared" si="1"/>
        <v>323.621</v>
      </c>
      <c r="L2314" s="4">
        <f t="shared" si="2"/>
        <v>1.839682839</v>
      </c>
    </row>
    <row r="2315">
      <c r="A2315" s="3" t="s">
        <v>145</v>
      </c>
      <c r="B2315" s="3">
        <v>9.51</v>
      </c>
      <c r="C2315" s="3">
        <v>0.97</v>
      </c>
      <c r="D2315" s="3">
        <v>32.1</v>
      </c>
      <c r="E2315" s="3">
        <v>4.0</v>
      </c>
      <c r="F2315" s="3">
        <v>5.25</v>
      </c>
      <c r="G2315" s="3">
        <v>23.49</v>
      </c>
      <c r="H2315" s="3">
        <v>0.0</v>
      </c>
      <c r="I2315" s="3">
        <v>52.56</v>
      </c>
      <c r="J2315" s="3">
        <v>0.0</v>
      </c>
      <c r="K2315" s="4">
        <f t="shared" si="1"/>
        <v>579.3426</v>
      </c>
      <c r="L2315" s="4">
        <f t="shared" si="2"/>
        <v>1.7785849</v>
      </c>
    </row>
    <row r="2316">
      <c r="A2316" s="3" t="s">
        <v>145</v>
      </c>
      <c r="B2316" s="3">
        <v>9.51</v>
      </c>
      <c r="C2316" s="3">
        <v>1.25</v>
      </c>
      <c r="D2316" s="3">
        <v>34.6</v>
      </c>
      <c r="E2316" s="3">
        <v>4.0</v>
      </c>
      <c r="F2316" s="3">
        <v>5.18</v>
      </c>
      <c r="G2316" s="3">
        <v>27.96</v>
      </c>
      <c r="H2316" s="3">
        <v>0.0</v>
      </c>
      <c r="I2316" s="3">
        <v>40.76</v>
      </c>
      <c r="J2316" s="3">
        <v>0.0</v>
      </c>
      <c r="K2316" s="4">
        <f t="shared" si="1"/>
        <v>808.594</v>
      </c>
      <c r="L2316" s="4">
        <f t="shared" si="2"/>
        <v>1.480545243</v>
      </c>
    </row>
    <row r="2317">
      <c r="A2317" s="3" t="s">
        <v>145</v>
      </c>
      <c r="B2317" s="3">
        <v>9.51</v>
      </c>
      <c r="C2317" s="3">
        <v>1.52</v>
      </c>
      <c r="D2317" s="3">
        <v>37.9</v>
      </c>
      <c r="E2317" s="3">
        <v>4.0</v>
      </c>
      <c r="F2317" s="3">
        <v>-5.25</v>
      </c>
      <c r="G2317" s="3">
        <v>30.3</v>
      </c>
      <c r="H2317" s="3">
        <v>0.0</v>
      </c>
      <c r="I2317" s="3">
        <v>26.46</v>
      </c>
      <c r="J2317" s="3">
        <v>0.0</v>
      </c>
      <c r="K2317" s="4">
        <f t="shared" si="1"/>
        <v>945.6525</v>
      </c>
      <c r="L2317" s="4">
        <f t="shared" si="2"/>
        <v>1.518961775</v>
      </c>
    </row>
    <row r="2318">
      <c r="A2318" s="3" t="s">
        <v>145</v>
      </c>
      <c r="B2318" s="3">
        <v>9.51</v>
      </c>
      <c r="C2318" s="3">
        <v>1.8</v>
      </c>
      <c r="D2318" s="3">
        <v>40.5</v>
      </c>
      <c r="E2318" s="3">
        <v>4.0</v>
      </c>
      <c r="F2318" s="3">
        <v>-9.36</v>
      </c>
      <c r="G2318" s="3">
        <v>30.65</v>
      </c>
      <c r="H2318" s="3">
        <v>0.0</v>
      </c>
      <c r="I2318" s="3">
        <v>21.33</v>
      </c>
      <c r="J2318" s="3">
        <v>0.0</v>
      </c>
      <c r="K2318" s="4">
        <f t="shared" si="1"/>
        <v>1027.0321</v>
      </c>
      <c r="L2318" s="4">
        <f t="shared" si="2"/>
        <v>1.597077638</v>
      </c>
    </row>
    <row r="2319">
      <c r="A2319" s="3" t="s">
        <v>145</v>
      </c>
      <c r="B2319" s="3">
        <v>9.51</v>
      </c>
      <c r="C2319" s="3">
        <v>2.07</v>
      </c>
      <c r="D2319" s="3">
        <v>43.0</v>
      </c>
      <c r="E2319" s="3">
        <v>4.0</v>
      </c>
      <c r="F2319" s="3">
        <v>-9.36</v>
      </c>
      <c r="G2319" s="3">
        <v>30.82</v>
      </c>
      <c r="H2319" s="3">
        <v>0.0</v>
      </c>
      <c r="I2319" s="3">
        <v>17.73</v>
      </c>
      <c r="J2319" s="3">
        <v>0.0</v>
      </c>
      <c r="K2319" s="4">
        <f t="shared" si="1"/>
        <v>1037.482</v>
      </c>
      <c r="L2319" s="4">
        <f t="shared" si="2"/>
        <v>1.782199595</v>
      </c>
    </row>
    <row r="2320">
      <c r="A2320" s="3" t="s">
        <v>145</v>
      </c>
      <c r="B2320" s="3">
        <v>9.51</v>
      </c>
      <c r="C2320" s="3">
        <v>2.35</v>
      </c>
      <c r="D2320" s="3">
        <v>45.1</v>
      </c>
      <c r="E2320" s="3">
        <v>4.0</v>
      </c>
      <c r="F2320" s="3">
        <v>-7.81</v>
      </c>
      <c r="G2320" s="3">
        <v>31.07</v>
      </c>
      <c r="H2320" s="3">
        <v>0.0</v>
      </c>
      <c r="I2320" s="3">
        <v>15.71</v>
      </c>
      <c r="J2320" s="3">
        <v>0.0</v>
      </c>
      <c r="K2320" s="4">
        <f t="shared" si="1"/>
        <v>1026.341</v>
      </c>
      <c r="L2320" s="4">
        <f t="shared" si="2"/>
        <v>1.981807216</v>
      </c>
    </row>
    <row r="2321">
      <c r="A2321" s="3" t="s">
        <v>145</v>
      </c>
      <c r="B2321" s="3">
        <v>9.51</v>
      </c>
      <c r="C2321" s="3">
        <v>2.63</v>
      </c>
      <c r="D2321" s="3">
        <v>45.6</v>
      </c>
      <c r="E2321" s="3">
        <v>4.0</v>
      </c>
      <c r="F2321" s="3">
        <v>-5.6</v>
      </c>
      <c r="G2321" s="3">
        <v>31.29</v>
      </c>
      <c r="H2321" s="3">
        <v>0.0</v>
      </c>
      <c r="I2321" s="3">
        <v>14.32</v>
      </c>
      <c r="J2321" s="3">
        <v>0.0</v>
      </c>
      <c r="K2321" s="4">
        <f t="shared" si="1"/>
        <v>1010.4241</v>
      </c>
      <c r="L2321" s="4">
        <f t="shared" si="2"/>
        <v>2.05790816</v>
      </c>
    </row>
    <row r="2322">
      <c r="A2322" s="3" t="s">
        <v>145</v>
      </c>
      <c r="B2322" s="3">
        <v>9.51</v>
      </c>
      <c r="C2322" s="3">
        <v>2.91</v>
      </c>
      <c r="D2322" s="3">
        <v>49.2</v>
      </c>
      <c r="E2322" s="3">
        <v>13.0</v>
      </c>
      <c r="F2322" s="3">
        <v>-4.88</v>
      </c>
      <c r="G2322" s="3">
        <v>31.96</v>
      </c>
      <c r="H2322" s="3">
        <v>0.0</v>
      </c>
      <c r="I2322" s="3">
        <v>13.15</v>
      </c>
      <c r="J2322" s="3">
        <v>0.0</v>
      </c>
      <c r="K2322" s="4">
        <f t="shared" si="1"/>
        <v>1045.256</v>
      </c>
      <c r="L2322" s="4">
        <f t="shared" si="2"/>
        <v>2.31583459</v>
      </c>
    </row>
    <row r="2323">
      <c r="A2323" s="3" t="s">
        <v>145</v>
      </c>
      <c r="B2323" s="3">
        <v>9.51</v>
      </c>
      <c r="C2323" s="3">
        <v>3.19</v>
      </c>
      <c r="D2323" s="3">
        <v>50.3</v>
      </c>
      <c r="E2323" s="3">
        <v>4.0</v>
      </c>
      <c r="F2323" s="3">
        <v>-6.06</v>
      </c>
      <c r="G2323" s="3">
        <v>32.66</v>
      </c>
      <c r="H2323" s="3">
        <v>0.0</v>
      </c>
      <c r="I2323" s="3">
        <v>11.82</v>
      </c>
      <c r="J2323" s="3">
        <v>0.0</v>
      </c>
      <c r="K2323" s="4">
        <f t="shared" si="1"/>
        <v>1103.3992</v>
      </c>
      <c r="L2323" s="4">
        <f t="shared" si="2"/>
        <v>2.292996043</v>
      </c>
    </row>
    <row r="2324">
      <c r="A2324" s="3" t="s">
        <v>145</v>
      </c>
      <c r="B2324" s="3">
        <v>9.51</v>
      </c>
      <c r="C2324" s="3">
        <v>3.46</v>
      </c>
      <c r="D2324" s="3">
        <v>53.7</v>
      </c>
      <c r="E2324" s="3">
        <v>4.19</v>
      </c>
      <c r="F2324" s="3">
        <v>-7.65</v>
      </c>
      <c r="G2324" s="3">
        <v>33.34</v>
      </c>
      <c r="H2324" s="3">
        <v>0.0</v>
      </c>
      <c r="I2324" s="3">
        <v>10.46</v>
      </c>
      <c r="J2324" s="3">
        <v>0.0</v>
      </c>
      <c r="K2324" s="4">
        <f t="shared" si="1"/>
        <v>1170.0781</v>
      </c>
      <c r="L2324" s="4">
        <f t="shared" si="2"/>
        <v>2.464527795</v>
      </c>
    </row>
    <row r="2325">
      <c r="A2325" s="3" t="s">
        <v>145</v>
      </c>
      <c r="B2325" s="3">
        <v>9.51</v>
      </c>
      <c r="C2325" s="3">
        <v>3.74</v>
      </c>
      <c r="D2325" s="3">
        <v>58.0</v>
      </c>
      <c r="E2325" s="3">
        <v>7.53</v>
      </c>
      <c r="F2325" s="3">
        <v>-8.9</v>
      </c>
      <c r="G2325" s="3">
        <v>33.79</v>
      </c>
      <c r="H2325" s="3">
        <v>0.0</v>
      </c>
      <c r="I2325" s="3">
        <v>9.02</v>
      </c>
      <c r="J2325" s="3">
        <v>0.0</v>
      </c>
      <c r="K2325" s="4">
        <f t="shared" si="1"/>
        <v>1220.9741</v>
      </c>
      <c r="L2325" s="4">
        <f t="shared" si="2"/>
        <v>2.755177198</v>
      </c>
    </row>
    <row r="2326">
      <c r="A2326" s="3" t="s">
        <v>145</v>
      </c>
      <c r="B2326" s="3">
        <v>9.51</v>
      </c>
      <c r="C2326" s="3">
        <v>4.01</v>
      </c>
      <c r="D2326" s="3">
        <v>64.4</v>
      </c>
      <c r="E2326" s="3">
        <v>4.0</v>
      </c>
      <c r="F2326" s="3">
        <v>-9.52</v>
      </c>
      <c r="G2326" s="3">
        <v>33.93</v>
      </c>
      <c r="H2326" s="3">
        <v>0.0</v>
      </c>
      <c r="I2326" s="3">
        <v>7.85</v>
      </c>
      <c r="J2326" s="3">
        <v>0.0</v>
      </c>
      <c r="K2326" s="4">
        <f t="shared" si="1"/>
        <v>1241.8753</v>
      </c>
      <c r="L2326" s="4">
        <f t="shared" si="2"/>
        <v>3.339594563</v>
      </c>
    </row>
    <row r="2327">
      <c r="A2327" s="3" t="s">
        <v>145</v>
      </c>
      <c r="B2327" s="3">
        <v>9.51</v>
      </c>
      <c r="C2327" s="3">
        <v>4.29</v>
      </c>
      <c r="D2327" s="3">
        <v>67.5</v>
      </c>
      <c r="E2327" s="3">
        <v>4.0</v>
      </c>
      <c r="F2327" s="3">
        <v>-10.37</v>
      </c>
      <c r="G2327" s="3">
        <v>34.12</v>
      </c>
      <c r="H2327" s="3">
        <v>0.0</v>
      </c>
      <c r="I2327" s="3">
        <v>7.26</v>
      </c>
      <c r="J2327" s="3">
        <v>0.0</v>
      </c>
      <c r="K2327" s="4">
        <f t="shared" si="1"/>
        <v>1271.7113</v>
      </c>
      <c r="L2327" s="4">
        <f t="shared" si="2"/>
        <v>3.582770712</v>
      </c>
    </row>
    <row r="2328">
      <c r="A2328" s="3" t="s">
        <v>145</v>
      </c>
      <c r="B2328" s="3">
        <v>9.51</v>
      </c>
      <c r="C2328" s="3">
        <v>4.57</v>
      </c>
      <c r="D2328" s="3">
        <v>71.3</v>
      </c>
      <c r="E2328" s="3">
        <v>4.0</v>
      </c>
      <c r="F2328" s="3">
        <v>-8.76</v>
      </c>
      <c r="G2328" s="3">
        <v>34.51</v>
      </c>
      <c r="H2328" s="3">
        <v>0.0</v>
      </c>
      <c r="I2328" s="3">
        <v>6.6</v>
      </c>
      <c r="J2328" s="3">
        <v>0.0</v>
      </c>
      <c r="K2328" s="4">
        <f t="shared" si="1"/>
        <v>1267.6777</v>
      </c>
      <c r="L2328" s="4">
        <f t="shared" si="2"/>
        <v>4.010238565</v>
      </c>
    </row>
    <row r="2329">
      <c r="A2329" s="3" t="s">
        <v>145</v>
      </c>
      <c r="B2329" s="3">
        <v>9.51</v>
      </c>
      <c r="C2329" s="3">
        <v>4.85</v>
      </c>
      <c r="D2329" s="3">
        <v>75.6</v>
      </c>
      <c r="E2329" s="3">
        <v>4.0</v>
      </c>
      <c r="F2329" s="3">
        <v>1.41</v>
      </c>
      <c r="G2329" s="3">
        <v>34.99</v>
      </c>
      <c r="H2329" s="3">
        <v>0.0</v>
      </c>
      <c r="I2329" s="3">
        <v>5.83</v>
      </c>
      <c r="J2329" s="3">
        <v>0.0</v>
      </c>
      <c r="K2329" s="4">
        <f t="shared" si="1"/>
        <v>1226.2882</v>
      </c>
      <c r="L2329" s="4">
        <f t="shared" si="2"/>
        <v>4.660698847</v>
      </c>
    </row>
    <row r="2330">
      <c r="A2330" s="3" t="s">
        <v>145</v>
      </c>
      <c r="B2330" s="3">
        <v>9.51</v>
      </c>
      <c r="C2330" s="3">
        <v>5.13</v>
      </c>
      <c r="D2330" s="3">
        <v>80.0</v>
      </c>
      <c r="E2330" s="3">
        <v>4.0</v>
      </c>
      <c r="F2330" s="3">
        <v>9.52</v>
      </c>
      <c r="G2330" s="3">
        <v>35.27</v>
      </c>
      <c r="H2330" s="3">
        <v>0.0</v>
      </c>
      <c r="I2330" s="3">
        <v>4.74</v>
      </c>
      <c r="J2330" s="3">
        <v>0.0</v>
      </c>
      <c r="K2330" s="4">
        <f t="shared" si="1"/>
        <v>1334.6033</v>
      </c>
      <c r="L2330" s="4">
        <f t="shared" si="2"/>
        <v>4.79543247</v>
      </c>
    </row>
    <row r="2331">
      <c r="A2331" s="3" t="s">
        <v>145</v>
      </c>
      <c r="B2331" s="3">
        <v>9.51</v>
      </c>
      <c r="C2331" s="3">
        <v>5.4</v>
      </c>
      <c r="D2331" s="3">
        <v>82.8</v>
      </c>
      <c r="E2331" s="3">
        <v>4.0</v>
      </c>
      <c r="F2331" s="3">
        <v>17.13</v>
      </c>
      <c r="G2331" s="3">
        <v>35.21</v>
      </c>
      <c r="H2331" s="3">
        <v>0.0</v>
      </c>
      <c r="I2331" s="3">
        <v>4.0</v>
      </c>
      <c r="J2331" s="3">
        <v>0.0</v>
      </c>
      <c r="K2331" s="4">
        <f t="shared" si="1"/>
        <v>1533.181</v>
      </c>
      <c r="L2331" s="4">
        <f t="shared" si="2"/>
        <v>4.471644248</v>
      </c>
    </row>
    <row r="2332">
      <c r="A2332" s="3" t="s">
        <v>145</v>
      </c>
      <c r="B2332" s="3">
        <v>9.51</v>
      </c>
      <c r="C2332" s="3">
        <v>5.68</v>
      </c>
      <c r="D2332" s="3">
        <v>84.8</v>
      </c>
      <c r="E2332" s="3">
        <v>15.7</v>
      </c>
      <c r="F2332" s="3">
        <v>23.98</v>
      </c>
      <c r="G2332" s="3">
        <v>35.26</v>
      </c>
      <c r="H2332" s="3">
        <v>0.0</v>
      </c>
      <c r="I2332" s="3">
        <v>3.57</v>
      </c>
      <c r="J2332" s="3">
        <v>0.0</v>
      </c>
      <c r="K2332" s="4">
        <f t="shared" si="1"/>
        <v>1818.308</v>
      </c>
      <c r="L2332" s="4">
        <f t="shared" si="2"/>
        <v>3.954797537</v>
      </c>
    </row>
    <row r="2333">
      <c r="A2333" s="3" t="s">
        <v>145</v>
      </c>
      <c r="B2333" s="3">
        <v>9.51</v>
      </c>
      <c r="C2333" s="3">
        <v>5.86</v>
      </c>
      <c r="D2333" s="3">
        <v>86.3</v>
      </c>
      <c r="E2333" s="3">
        <v>16.8</v>
      </c>
      <c r="F2333" s="3">
        <v>27.31</v>
      </c>
      <c r="G2333" s="3">
        <v>35.38</v>
      </c>
      <c r="H2333" s="3">
        <v>0.0</v>
      </c>
      <c r="I2333" s="3">
        <v>3.09</v>
      </c>
      <c r="J2333" s="3">
        <v>0.0</v>
      </c>
      <c r="K2333" s="4">
        <f t="shared" si="1"/>
        <v>1997.5805</v>
      </c>
      <c r="L2333" s="4">
        <f t="shared" si="2"/>
        <v>3.728355378</v>
      </c>
    </row>
    <row r="2334">
      <c r="A2334" s="3" t="s">
        <v>145</v>
      </c>
      <c r="B2334" s="3">
        <v>9.51</v>
      </c>
      <c r="C2334" s="3">
        <v>6.36</v>
      </c>
      <c r="D2334" s="3">
        <v>90.2</v>
      </c>
      <c r="E2334" s="3">
        <v>8.07</v>
      </c>
      <c r="F2334" s="3">
        <v>36.83</v>
      </c>
      <c r="G2334" s="3">
        <v>34.91</v>
      </c>
      <c r="H2334" s="3">
        <v>0.0</v>
      </c>
      <c r="I2334" s="3">
        <v>1.48</v>
      </c>
      <c r="J2334" s="3">
        <v>0.0</v>
      </c>
      <c r="K2334" s="4">
        <f t="shared" si="1"/>
        <v>2575.157</v>
      </c>
      <c r="L2334" s="4">
        <f t="shared" si="2"/>
        <v>3.159434551</v>
      </c>
    </row>
    <row r="2335">
      <c r="A2335" s="3" t="s">
        <v>145</v>
      </c>
      <c r="B2335" s="3">
        <v>9.51</v>
      </c>
      <c r="C2335" s="3">
        <v>6.51</v>
      </c>
      <c r="D2335" s="3">
        <v>91.3</v>
      </c>
      <c r="E2335" s="3">
        <v>4.0</v>
      </c>
      <c r="F2335" s="3">
        <v>39.02</v>
      </c>
      <c r="G2335" s="3">
        <v>34.54</v>
      </c>
      <c r="H2335" s="3">
        <v>0.0</v>
      </c>
      <c r="I2335" s="3">
        <v>1.14</v>
      </c>
      <c r="J2335" s="3">
        <v>0.0</v>
      </c>
      <c r="K2335" s="4">
        <f t="shared" si="1"/>
        <v>2715.572</v>
      </c>
      <c r="L2335" s="4">
        <f t="shared" si="2"/>
        <v>3.069589022</v>
      </c>
    </row>
    <row r="2336">
      <c r="A2336" s="3" t="s">
        <v>145</v>
      </c>
      <c r="B2336" s="3">
        <v>9.51</v>
      </c>
      <c r="C2336" s="3">
        <v>6.69</v>
      </c>
      <c r="D2336" s="3">
        <v>92.8</v>
      </c>
      <c r="E2336" s="3">
        <v>8.75</v>
      </c>
      <c r="F2336" s="3">
        <v>38.64</v>
      </c>
      <c r="G2336" s="3">
        <v>34.02</v>
      </c>
      <c r="H2336" s="3">
        <v>0.0</v>
      </c>
      <c r="I2336" s="3">
        <v>0.79</v>
      </c>
      <c r="J2336" s="3">
        <v>0.0</v>
      </c>
      <c r="K2336" s="4">
        <f t="shared" si="1"/>
        <v>2650.41</v>
      </c>
      <c r="L2336" s="4">
        <f t="shared" si="2"/>
        <v>3.24924823</v>
      </c>
    </row>
    <row r="2337">
      <c r="A2337" s="3" t="s">
        <v>25</v>
      </c>
      <c r="B2337" s="3">
        <v>3.45</v>
      </c>
      <c r="C2337" s="3">
        <v>0.25</v>
      </c>
      <c r="D2337" s="3">
        <v>3.17</v>
      </c>
      <c r="E2337" s="3">
        <v>3.22</v>
      </c>
      <c r="F2337" s="3">
        <v>-1.04</v>
      </c>
      <c r="G2337" s="3">
        <v>6.45</v>
      </c>
      <c r="H2337" s="3">
        <v>0.0</v>
      </c>
      <c r="I2337" s="3">
        <v>73.77</v>
      </c>
      <c r="J2337" s="3">
        <v>0.0</v>
      </c>
      <c r="K2337" s="4">
        <f t="shared" si="1"/>
        <v>42.6841</v>
      </c>
      <c r="L2337" s="4">
        <f t="shared" si="2"/>
        <v>0.2354249006</v>
      </c>
    </row>
    <row r="2338">
      <c r="A2338" s="3" t="s">
        <v>25</v>
      </c>
      <c r="B2338" s="3">
        <v>3.45</v>
      </c>
      <c r="C2338" s="3">
        <v>0.5</v>
      </c>
      <c r="D2338" s="3">
        <v>10.5</v>
      </c>
      <c r="E2338" s="3">
        <v>3.32</v>
      </c>
      <c r="F2338" s="3">
        <v>-3.35</v>
      </c>
      <c r="G2338" s="3">
        <v>13.17</v>
      </c>
      <c r="H2338" s="3">
        <v>0.0</v>
      </c>
      <c r="I2338" s="3">
        <v>58.74</v>
      </c>
      <c r="J2338" s="3">
        <v>0.0</v>
      </c>
      <c r="K2338" s="4">
        <f t="shared" si="1"/>
        <v>184.6714</v>
      </c>
      <c r="L2338" s="4">
        <f t="shared" si="2"/>
        <v>0.5970063583</v>
      </c>
    </row>
    <row r="2339">
      <c r="A2339" s="3" t="s">
        <v>25</v>
      </c>
      <c r="B2339" s="3">
        <v>3.45</v>
      </c>
      <c r="C2339" s="3">
        <v>0.75</v>
      </c>
      <c r="D2339" s="3">
        <v>17.5</v>
      </c>
      <c r="E2339" s="3">
        <v>4.47</v>
      </c>
      <c r="F2339" s="3">
        <v>4.05</v>
      </c>
      <c r="G2339" s="3">
        <v>18.27</v>
      </c>
      <c r="H2339" s="3">
        <v>0.0</v>
      </c>
      <c r="I2339" s="3">
        <v>53.03</v>
      </c>
      <c r="J2339" s="3">
        <v>0.0</v>
      </c>
      <c r="K2339" s="4">
        <f t="shared" si="1"/>
        <v>350.1954</v>
      </c>
      <c r="L2339" s="4">
        <f t="shared" si="2"/>
        <v>0.8745117726</v>
      </c>
    </row>
    <row r="2340">
      <c r="A2340" s="3" t="s">
        <v>25</v>
      </c>
      <c r="B2340" s="3">
        <v>3.45</v>
      </c>
      <c r="C2340" s="3">
        <v>1.0</v>
      </c>
      <c r="D2340" s="3">
        <v>22.7</v>
      </c>
      <c r="E2340" s="3">
        <v>4.96</v>
      </c>
      <c r="F2340" s="3">
        <v>4.85</v>
      </c>
      <c r="G2340" s="3">
        <v>24.79</v>
      </c>
      <c r="H2340" s="3">
        <v>0.0</v>
      </c>
      <c r="I2340" s="3">
        <v>53.05</v>
      </c>
      <c r="J2340" s="3">
        <v>0.0</v>
      </c>
      <c r="K2340" s="4">
        <f t="shared" si="1"/>
        <v>638.0666</v>
      </c>
      <c r="L2340" s="4">
        <f t="shared" si="2"/>
        <v>0.8075802745</v>
      </c>
    </row>
    <row r="2341">
      <c r="A2341" s="3" t="s">
        <v>25</v>
      </c>
      <c r="B2341" s="3">
        <v>3.45</v>
      </c>
      <c r="C2341" s="3">
        <v>1.26</v>
      </c>
      <c r="D2341" s="3">
        <v>29.7</v>
      </c>
      <c r="E2341" s="3">
        <v>5.29</v>
      </c>
      <c r="F2341" s="3">
        <v>6.16</v>
      </c>
      <c r="G2341" s="3">
        <v>29.98</v>
      </c>
      <c r="H2341" s="3">
        <v>0.0</v>
      </c>
      <c r="I2341" s="3">
        <v>33.12</v>
      </c>
      <c r="J2341" s="3">
        <v>0.0</v>
      </c>
      <c r="K2341" s="4">
        <f t="shared" si="1"/>
        <v>936.746</v>
      </c>
      <c r="L2341" s="4">
        <f t="shared" si="2"/>
        <v>0.9416533404</v>
      </c>
    </row>
    <row r="2342">
      <c r="A2342" s="3" t="s">
        <v>25</v>
      </c>
      <c r="B2342" s="3">
        <v>3.45</v>
      </c>
      <c r="C2342" s="3">
        <v>1.5</v>
      </c>
      <c r="D2342" s="3">
        <v>34.5</v>
      </c>
      <c r="E2342" s="3">
        <v>4.7</v>
      </c>
      <c r="F2342" s="3">
        <v>7.83</v>
      </c>
      <c r="G2342" s="3">
        <v>30.56</v>
      </c>
      <c r="H2342" s="3">
        <v>0.0</v>
      </c>
      <c r="I2342" s="3">
        <v>23.92</v>
      </c>
      <c r="J2342" s="3">
        <v>0.0</v>
      </c>
      <c r="K2342" s="4">
        <f t="shared" si="1"/>
        <v>995.2225</v>
      </c>
      <c r="L2342" s="4">
        <f t="shared" si="2"/>
        <v>1.195963717</v>
      </c>
    </row>
    <row r="2343">
      <c r="A2343" s="3" t="s">
        <v>25</v>
      </c>
      <c r="B2343" s="3">
        <v>3.45</v>
      </c>
      <c r="C2343" s="3">
        <v>1.76</v>
      </c>
      <c r="D2343" s="3">
        <v>36.0</v>
      </c>
      <c r="E2343" s="3">
        <v>3.51</v>
      </c>
      <c r="F2343" s="3">
        <v>8.37</v>
      </c>
      <c r="G2343" s="3">
        <v>30.97</v>
      </c>
      <c r="H2343" s="3">
        <v>0.0</v>
      </c>
      <c r="I2343" s="3">
        <v>17.24</v>
      </c>
      <c r="J2343" s="3">
        <v>0.0</v>
      </c>
      <c r="K2343" s="4">
        <f t="shared" si="1"/>
        <v>1029.1978</v>
      </c>
      <c r="L2343" s="4">
        <f t="shared" si="2"/>
        <v>1.259233162</v>
      </c>
    </row>
    <row r="2344">
      <c r="A2344" s="3" t="s">
        <v>25</v>
      </c>
      <c r="B2344" s="3">
        <v>3.45</v>
      </c>
      <c r="C2344" s="3">
        <v>2.01</v>
      </c>
      <c r="D2344" s="3">
        <v>37.3</v>
      </c>
      <c r="E2344" s="3">
        <v>3.45</v>
      </c>
      <c r="F2344" s="3">
        <v>8.4</v>
      </c>
      <c r="G2344" s="3">
        <v>29.96</v>
      </c>
      <c r="H2344" s="3">
        <v>0.0</v>
      </c>
      <c r="I2344" s="3">
        <v>13.58</v>
      </c>
      <c r="J2344" s="3">
        <v>0.0</v>
      </c>
      <c r="K2344" s="4">
        <f t="shared" si="1"/>
        <v>968.1616</v>
      </c>
      <c r="L2344" s="4">
        <f t="shared" si="2"/>
        <v>1.437043155</v>
      </c>
    </row>
    <row r="2345">
      <c r="A2345" s="3" t="s">
        <v>25</v>
      </c>
      <c r="B2345" s="3">
        <v>3.45</v>
      </c>
      <c r="C2345" s="3">
        <v>2.26</v>
      </c>
      <c r="D2345" s="3">
        <v>35.6</v>
      </c>
      <c r="E2345" s="3">
        <v>3.57</v>
      </c>
      <c r="F2345" s="3">
        <v>10.27</v>
      </c>
      <c r="G2345" s="3">
        <v>30.04</v>
      </c>
      <c r="H2345" s="3">
        <v>0.0</v>
      </c>
      <c r="I2345" s="3">
        <v>14.97</v>
      </c>
      <c r="J2345" s="3">
        <v>0.0</v>
      </c>
      <c r="K2345" s="4">
        <f t="shared" si="1"/>
        <v>1007.8745</v>
      </c>
      <c r="L2345" s="4">
        <f t="shared" si="2"/>
        <v>1.257458146</v>
      </c>
    </row>
    <row r="2346">
      <c r="A2346" s="3" t="s">
        <v>25</v>
      </c>
      <c r="B2346" s="3">
        <v>3.45</v>
      </c>
      <c r="C2346" s="3">
        <v>2.51</v>
      </c>
      <c r="D2346" s="3">
        <v>34.9</v>
      </c>
      <c r="E2346" s="3">
        <v>3.88</v>
      </c>
      <c r="F2346" s="3">
        <v>11.89</v>
      </c>
      <c r="G2346" s="3">
        <v>31.48</v>
      </c>
      <c r="H2346" s="3">
        <v>0.0</v>
      </c>
      <c r="I2346" s="3">
        <v>13.82</v>
      </c>
      <c r="J2346" s="3">
        <v>0.0</v>
      </c>
      <c r="K2346" s="4">
        <f t="shared" si="1"/>
        <v>1132.3625</v>
      </c>
      <c r="L2346" s="4">
        <f t="shared" si="2"/>
        <v>1.075636115</v>
      </c>
    </row>
    <row r="2347">
      <c r="A2347" s="3" t="s">
        <v>25</v>
      </c>
      <c r="B2347" s="3">
        <v>3.45</v>
      </c>
      <c r="C2347" s="3">
        <v>2.76</v>
      </c>
      <c r="D2347" s="3">
        <v>32.7</v>
      </c>
      <c r="E2347" s="3">
        <v>3.27</v>
      </c>
      <c r="F2347" s="3">
        <v>15.11</v>
      </c>
      <c r="G2347" s="3">
        <v>33.07</v>
      </c>
      <c r="H2347" s="3">
        <v>0.0</v>
      </c>
      <c r="I2347" s="3">
        <v>11.76</v>
      </c>
      <c r="J2347" s="3">
        <v>0.0</v>
      </c>
      <c r="K2347" s="4">
        <f t="shared" si="1"/>
        <v>1321.937</v>
      </c>
      <c r="L2347" s="4">
        <f t="shared" si="2"/>
        <v>0.8088812099</v>
      </c>
    </row>
    <row r="2348">
      <c r="A2348" s="3" t="s">
        <v>25</v>
      </c>
      <c r="B2348" s="3">
        <v>3.45</v>
      </c>
      <c r="C2348" s="3">
        <v>3.01</v>
      </c>
      <c r="D2348" s="3">
        <v>32.8</v>
      </c>
      <c r="E2348" s="3">
        <v>3.21</v>
      </c>
      <c r="F2348" s="3">
        <v>17.63</v>
      </c>
      <c r="G2348" s="3">
        <v>34.11</v>
      </c>
      <c r="H2348" s="3">
        <v>0.0</v>
      </c>
      <c r="I2348" s="3">
        <v>8.8</v>
      </c>
      <c r="J2348" s="3">
        <v>0.0</v>
      </c>
      <c r="K2348" s="4">
        <f t="shared" si="1"/>
        <v>1474.309</v>
      </c>
      <c r="L2348" s="4">
        <f t="shared" si="2"/>
        <v>0.7297249084</v>
      </c>
    </row>
    <row r="2349">
      <c r="A2349" s="3" t="s">
        <v>25</v>
      </c>
      <c r="B2349" s="3">
        <v>3.45</v>
      </c>
      <c r="C2349" s="3">
        <v>3.27</v>
      </c>
      <c r="D2349" s="3">
        <v>33.2</v>
      </c>
      <c r="E2349" s="3">
        <v>3.21</v>
      </c>
      <c r="F2349" s="3">
        <v>19.74</v>
      </c>
      <c r="G2349" s="3">
        <v>33.92</v>
      </c>
      <c r="H2349" s="3">
        <v>0.0</v>
      </c>
      <c r="I2349" s="3">
        <v>5.53</v>
      </c>
      <c r="J2349" s="3">
        <v>0.0</v>
      </c>
      <c r="K2349" s="4">
        <f t="shared" si="1"/>
        <v>1540.234</v>
      </c>
      <c r="L2349" s="4">
        <f t="shared" si="2"/>
        <v>0.7156315209</v>
      </c>
    </row>
    <row r="2350">
      <c r="A2350" s="3" t="s">
        <v>25</v>
      </c>
      <c r="B2350" s="3">
        <v>3.45</v>
      </c>
      <c r="C2350" s="3">
        <v>3.51</v>
      </c>
      <c r="D2350" s="3">
        <v>32.1</v>
      </c>
      <c r="E2350" s="3">
        <v>3.23</v>
      </c>
      <c r="F2350" s="3">
        <v>22.06</v>
      </c>
      <c r="G2350" s="3">
        <v>33.27</v>
      </c>
      <c r="H2350" s="3">
        <v>0.0</v>
      </c>
      <c r="I2350" s="3">
        <v>4.03</v>
      </c>
      <c r="J2350" s="3">
        <v>0.0</v>
      </c>
      <c r="K2350" s="4">
        <f t="shared" si="1"/>
        <v>1593.5365</v>
      </c>
      <c r="L2350" s="4">
        <f t="shared" si="2"/>
        <v>0.6466183862</v>
      </c>
    </row>
    <row r="2351">
      <c r="A2351" s="3" t="s">
        <v>25</v>
      </c>
      <c r="B2351" s="3">
        <v>3.45</v>
      </c>
      <c r="C2351" s="3">
        <v>3.76</v>
      </c>
      <c r="D2351" s="3">
        <v>30.1</v>
      </c>
      <c r="E2351" s="3">
        <v>3.16</v>
      </c>
      <c r="F2351" s="3">
        <v>23.37</v>
      </c>
      <c r="G2351" s="3">
        <v>32.39</v>
      </c>
      <c r="H2351" s="3">
        <v>0.0</v>
      </c>
      <c r="I2351" s="3">
        <v>2.74</v>
      </c>
      <c r="J2351" s="3">
        <v>0.0</v>
      </c>
      <c r="K2351" s="4">
        <f t="shared" si="1"/>
        <v>1595.269</v>
      </c>
      <c r="L2351" s="4">
        <f t="shared" si="2"/>
        <v>0.5679355645</v>
      </c>
    </row>
    <row r="2352">
      <c r="A2352" s="3" t="s">
        <v>25</v>
      </c>
      <c r="B2352" s="3">
        <v>3.45</v>
      </c>
      <c r="C2352" s="3">
        <v>4.02</v>
      </c>
      <c r="D2352" s="3">
        <v>32.3</v>
      </c>
      <c r="E2352" s="3">
        <v>3.16</v>
      </c>
      <c r="F2352" s="3">
        <v>24.68</v>
      </c>
      <c r="G2352" s="3">
        <v>31.18</v>
      </c>
      <c r="H2352" s="3">
        <v>0.0</v>
      </c>
      <c r="I2352" s="3">
        <v>1.92</v>
      </c>
      <c r="J2352" s="3">
        <v>0.0</v>
      </c>
      <c r="K2352" s="4">
        <f t="shared" si="1"/>
        <v>1581.2948</v>
      </c>
      <c r="L2352" s="4">
        <f t="shared" si="2"/>
        <v>0.6597694497</v>
      </c>
    </row>
    <row r="2353">
      <c r="A2353" s="3" t="s">
        <v>25</v>
      </c>
      <c r="B2353" s="3">
        <v>3.45</v>
      </c>
      <c r="C2353" s="3">
        <v>4.26</v>
      </c>
      <c r="D2353" s="3">
        <v>33.6</v>
      </c>
      <c r="E2353" s="3">
        <v>3.12</v>
      </c>
      <c r="F2353" s="3">
        <v>25.38</v>
      </c>
      <c r="G2353" s="3">
        <v>30.16</v>
      </c>
      <c r="H2353" s="3">
        <v>0.0</v>
      </c>
      <c r="I2353" s="3">
        <v>1.67</v>
      </c>
      <c r="J2353" s="3">
        <v>0.0</v>
      </c>
      <c r="K2353" s="4">
        <f t="shared" si="1"/>
        <v>1553.77</v>
      </c>
      <c r="L2353" s="4">
        <f t="shared" si="2"/>
        <v>0.7265940261</v>
      </c>
    </row>
    <row r="2354">
      <c r="A2354" s="3" t="s">
        <v>25</v>
      </c>
      <c r="B2354" s="3">
        <v>3.45</v>
      </c>
      <c r="C2354" s="3">
        <v>4.52</v>
      </c>
      <c r="D2354" s="3">
        <v>35.1</v>
      </c>
      <c r="E2354" s="3">
        <v>3.12</v>
      </c>
      <c r="F2354" s="3">
        <v>25.99</v>
      </c>
      <c r="G2354" s="3">
        <v>29.51</v>
      </c>
      <c r="H2354" s="3">
        <v>0.0</v>
      </c>
      <c r="I2354" s="3">
        <v>1.74</v>
      </c>
      <c r="J2354" s="3">
        <v>0.0</v>
      </c>
      <c r="K2354" s="4">
        <f t="shared" si="1"/>
        <v>1546.3202</v>
      </c>
      <c r="L2354" s="4">
        <f t="shared" si="2"/>
        <v>0.7967366655</v>
      </c>
    </row>
    <row r="2355">
      <c r="A2355" s="3" t="s">
        <v>25</v>
      </c>
      <c r="B2355" s="3">
        <v>3.45</v>
      </c>
      <c r="C2355" s="3">
        <v>4.77</v>
      </c>
      <c r="D2355" s="3">
        <v>35.3</v>
      </c>
      <c r="E2355" s="3">
        <v>3.12</v>
      </c>
      <c r="F2355" s="3">
        <v>26.59</v>
      </c>
      <c r="G2355" s="3">
        <v>29.25</v>
      </c>
      <c r="H2355" s="3">
        <v>0.0</v>
      </c>
      <c r="I2355" s="3">
        <v>1.45</v>
      </c>
      <c r="J2355" s="3">
        <v>0.0</v>
      </c>
      <c r="K2355" s="4">
        <f t="shared" si="1"/>
        <v>1562.5906</v>
      </c>
      <c r="L2355" s="4">
        <f t="shared" si="2"/>
        <v>0.7974513606</v>
      </c>
    </row>
    <row r="2356">
      <c r="A2356" s="3" t="s">
        <v>25</v>
      </c>
      <c r="B2356" s="3">
        <v>3.45</v>
      </c>
      <c r="C2356" s="3">
        <v>5.02</v>
      </c>
      <c r="D2356" s="3">
        <v>35.2</v>
      </c>
      <c r="E2356" s="3">
        <v>3.13</v>
      </c>
      <c r="F2356" s="3">
        <v>26.9</v>
      </c>
      <c r="G2356" s="3">
        <v>29.1</v>
      </c>
      <c r="H2356" s="3">
        <v>0.0</v>
      </c>
      <c r="I2356" s="3">
        <v>1.14</v>
      </c>
      <c r="J2356" s="3">
        <v>0.0</v>
      </c>
      <c r="K2356" s="4">
        <f t="shared" si="1"/>
        <v>1570.42</v>
      </c>
      <c r="L2356" s="4">
        <f t="shared" si="2"/>
        <v>0.7889863858</v>
      </c>
    </row>
    <row r="2357">
      <c r="A2357" s="3" t="s">
        <v>25</v>
      </c>
      <c r="B2357" s="3">
        <v>3.45</v>
      </c>
      <c r="C2357" s="3">
        <v>5.27</v>
      </c>
      <c r="D2357" s="3">
        <v>34.6</v>
      </c>
      <c r="E2357" s="3">
        <v>3.11</v>
      </c>
      <c r="F2357" s="3">
        <v>27.2</v>
      </c>
      <c r="G2357" s="3">
        <v>28.04</v>
      </c>
      <c r="H2357" s="3">
        <v>0.0</v>
      </c>
      <c r="I2357" s="3">
        <v>0.0</v>
      </c>
      <c r="J2357" s="3">
        <v>0.0</v>
      </c>
      <c r="K2357" s="4">
        <f t="shared" si="1"/>
        <v>1526.0816</v>
      </c>
      <c r="L2357" s="4">
        <f t="shared" si="2"/>
        <v>0.7844665711</v>
      </c>
    </row>
    <row r="2358">
      <c r="A2358" s="3" t="s">
        <v>25</v>
      </c>
      <c r="B2358" s="3">
        <v>3.45</v>
      </c>
      <c r="C2358" s="3">
        <v>5.52</v>
      </c>
      <c r="D2358" s="3">
        <v>33.0</v>
      </c>
      <c r="E2358" s="3">
        <v>3.11</v>
      </c>
      <c r="F2358" s="3">
        <v>27.3</v>
      </c>
      <c r="G2358" s="3">
        <v>26.8</v>
      </c>
      <c r="H2358" s="3">
        <v>0.0</v>
      </c>
      <c r="I2358" s="3">
        <v>0.0</v>
      </c>
      <c r="J2358" s="3">
        <v>0.0</v>
      </c>
      <c r="K2358" s="4">
        <f t="shared" si="1"/>
        <v>1463.53</v>
      </c>
      <c r="L2358" s="4">
        <f t="shared" si="2"/>
        <v>0.7440913408</v>
      </c>
    </row>
    <row r="2359">
      <c r="A2359" s="3" t="s">
        <v>146</v>
      </c>
      <c r="B2359" s="3">
        <v>9.6</v>
      </c>
      <c r="C2359" s="3">
        <v>0.7</v>
      </c>
      <c r="D2359" s="3">
        <v>41.3</v>
      </c>
      <c r="E2359" s="3">
        <v>3.05</v>
      </c>
      <c r="F2359" s="3">
        <v>2.87</v>
      </c>
      <c r="G2359" s="3">
        <v>20.97</v>
      </c>
      <c r="H2359" s="3">
        <v>0.0</v>
      </c>
      <c r="I2359" s="3">
        <v>87.42</v>
      </c>
      <c r="J2359" s="3">
        <v>0.0</v>
      </c>
      <c r="K2359" s="4">
        <f t="shared" si="1"/>
        <v>447.9778</v>
      </c>
      <c r="L2359" s="4">
        <f t="shared" si="2"/>
        <v>3.807532427</v>
      </c>
    </row>
    <row r="2360">
      <c r="A2360" s="3" t="s">
        <v>146</v>
      </c>
      <c r="B2360" s="3">
        <v>9.6</v>
      </c>
      <c r="C2360" s="3">
        <v>1.4</v>
      </c>
      <c r="D2360" s="3">
        <v>68.7</v>
      </c>
      <c r="E2360" s="3">
        <v>3.07</v>
      </c>
      <c r="F2360" s="3">
        <v>6.75</v>
      </c>
      <c r="G2360" s="3">
        <v>32.22</v>
      </c>
      <c r="H2360" s="3">
        <v>0.0</v>
      </c>
      <c r="I2360" s="3">
        <v>61.1</v>
      </c>
      <c r="J2360" s="3">
        <v>0.0</v>
      </c>
      <c r="K2360" s="4">
        <f t="shared" si="1"/>
        <v>1083.6909</v>
      </c>
      <c r="L2360" s="4">
        <f t="shared" si="2"/>
        <v>4.355199439</v>
      </c>
    </row>
    <row r="2361">
      <c r="A2361" s="3" t="s">
        <v>146</v>
      </c>
      <c r="B2361" s="3">
        <v>9.6</v>
      </c>
      <c r="C2361" s="3">
        <v>2.09</v>
      </c>
      <c r="D2361" s="3">
        <v>83.8</v>
      </c>
      <c r="E2361" s="3">
        <v>3.05</v>
      </c>
      <c r="F2361" s="3">
        <v>14.14</v>
      </c>
      <c r="G2361" s="3">
        <v>40.91</v>
      </c>
      <c r="H2361" s="3">
        <v>0.0</v>
      </c>
      <c r="I2361" s="3">
        <v>42.17</v>
      </c>
      <c r="J2361" s="3">
        <v>0.0</v>
      </c>
      <c r="K2361" s="4">
        <f t="shared" si="1"/>
        <v>1873.5677</v>
      </c>
      <c r="L2361" s="4">
        <f t="shared" si="2"/>
        <v>3.748164531</v>
      </c>
    </row>
    <row r="2362">
      <c r="A2362" s="3" t="s">
        <v>146</v>
      </c>
      <c r="B2362" s="3">
        <v>9.6</v>
      </c>
      <c r="C2362" s="3">
        <v>2.79</v>
      </c>
      <c r="D2362" s="3">
        <v>88.7</v>
      </c>
      <c r="E2362" s="3">
        <v>3.05</v>
      </c>
      <c r="F2362" s="3">
        <v>20.18</v>
      </c>
      <c r="G2362" s="3">
        <v>46.75</v>
      </c>
      <c r="H2362" s="3">
        <v>0.0</v>
      </c>
      <c r="I2362" s="3">
        <v>29.93</v>
      </c>
      <c r="J2362" s="3">
        <v>0.0</v>
      </c>
      <c r="K2362" s="4">
        <f t="shared" si="1"/>
        <v>2592.7949</v>
      </c>
      <c r="L2362" s="4">
        <f t="shared" si="2"/>
        <v>3.034443642</v>
      </c>
    </row>
    <row r="2363">
      <c r="A2363" s="3" t="s">
        <v>146</v>
      </c>
      <c r="B2363" s="3">
        <v>9.6</v>
      </c>
      <c r="C2363" s="3">
        <v>3.49</v>
      </c>
      <c r="D2363" s="3">
        <v>90.1</v>
      </c>
      <c r="E2363" s="3">
        <v>3.05</v>
      </c>
      <c r="F2363" s="3">
        <v>24.08</v>
      </c>
      <c r="G2363" s="3">
        <v>50.1</v>
      </c>
      <c r="H2363" s="3">
        <v>0.0</v>
      </c>
      <c r="I2363" s="3">
        <v>17.39</v>
      </c>
      <c r="J2363" s="3">
        <v>0.0</v>
      </c>
      <c r="K2363" s="4">
        <f t="shared" si="1"/>
        <v>3089.8564</v>
      </c>
      <c r="L2363" s="4">
        <f t="shared" si="2"/>
        <v>2.6273098</v>
      </c>
    </row>
    <row r="2364">
      <c r="A2364" s="3" t="s">
        <v>146</v>
      </c>
      <c r="B2364" s="3">
        <v>9.6</v>
      </c>
      <c r="C2364" s="3">
        <v>4.19</v>
      </c>
      <c r="D2364" s="3">
        <v>91.6</v>
      </c>
      <c r="E2364" s="3">
        <v>3.05</v>
      </c>
      <c r="F2364" s="3">
        <v>26.71</v>
      </c>
      <c r="G2364" s="3">
        <v>49.34</v>
      </c>
      <c r="H2364" s="3">
        <v>0.0</v>
      </c>
      <c r="I2364" s="3">
        <v>9.83</v>
      </c>
      <c r="J2364" s="3">
        <v>0.0</v>
      </c>
      <c r="K2364" s="4">
        <f t="shared" si="1"/>
        <v>3147.8597</v>
      </c>
      <c r="L2364" s="4">
        <f t="shared" si="2"/>
        <v>2.66548093</v>
      </c>
    </row>
    <row r="2365">
      <c r="A2365" s="3" t="s">
        <v>146</v>
      </c>
      <c r="B2365" s="3">
        <v>9.6</v>
      </c>
      <c r="C2365" s="3">
        <v>4.89</v>
      </c>
      <c r="D2365" s="3">
        <v>92.7</v>
      </c>
      <c r="E2365" s="3">
        <v>3.05</v>
      </c>
      <c r="F2365" s="3">
        <v>28.08</v>
      </c>
      <c r="G2365" s="3">
        <v>47.94</v>
      </c>
      <c r="H2365" s="3">
        <v>0.0</v>
      </c>
      <c r="I2365" s="3">
        <v>4.64</v>
      </c>
      <c r="J2365" s="3">
        <v>0.0</v>
      </c>
      <c r="K2365" s="4">
        <f t="shared" si="1"/>
        <v>3086.73</v>
      </c>
      <c r="L2365" s="4">
        <f t="shared" si="2"/>
        <v>2.783946118</v>
      </c>
    </row>
    <row r="2366">
      <c r="A2366" s="3" t="s">
        <v>146</v>
      </c>
      <c r="B2366" s="3">
        <v>9.6</v>
      </c>
      <c r="C2366" s="3">
        <v>5.59</v>
      </c>
      <c r="D2366" s="3">
        <v>91.5</v>
      </c>
      <c r="E2366" s="3">
        <v>3.05</v>
      </c>
      <c r="F2366" s="3">
        <v>29.25</v>
      </c>
      <c r="G2366" s="3">
        <v>45.47</v>
      </c>
      <c r="H2366" s="3">
        <v>0.0</v>
      </c>
      <c r="I2366" s="3">
        <v>1.75</v>
      </c>
      <c r="J2366" s="3">
        <v>0.0</v>
      </c>
      <c r="K2366" s="4">
        <f t="shared" si="1"/>
        <v>2923.0834</v>
      </c>
      <c r="L2366" s="4">
        <f t="shared" si="2"/>
        <v>2.864184443</v>
      </c>
    </row>
    <row r="2367">
      <c r="A2367" s="3" t="s">
        <v>26</v>
      </c>
      <c r="B2367" s="3">
        <v>3.34</v>
      </c>
      <c r="C2367" s="3">
        <v>0.08</v>
      </c>
      <c r="D2367" s="3">
        <v>5.11</v>
      </c>
      <c r="E2367" s="3">
        <v>2.79</v>
      </c>
      <c r="F2367" s="3">
        <v>1.47</v>
      </c>
      <c r="G2367" s="3">
        <v>3.91</v>
      </c>
      <c r="H2367" s="3">
        <v>0.0</v>
      </c>
      <c r="I2367" s="3">
        <v>41.7</v>
      </c>
      <c r="J2367" s="3">
        <v>0.0</v>
      </c>
      <c r="K2367" s="4">
        <f t="shared" si="1"/>
        <v>17.449</v>
      </c>
      <c r="L2367" s="4">
        <f t="shared" si="2"/>
        <v>1.496481174</v>
      </c>
    </row>
    <row r="2368">
      <c r="A2368" s="3" t="s">
        <v>26</v>
      </c>
      <c r="B2368" s="3">
        <v>3.34</v>
      </c>
      <c r="C2368" s="3">
        <v>0.24</v>
      </c>
      <c r="D2368" s="3">
        <v>10.8</v>
      </c>
      <c r="E2368" s="3">
        <v>1.94</v>
      </c>
      <c r="F2368" s="3">
        <v>4.46</v>
      </c>
      <c r="G2368" s="3">
        <v>8.92</v>
      </c>
      <c r="H2368" s="3">
        <v>0.0</v>
      </c>
      <c r="I2368" s="3">
        <v>19.51</v>
      </c>
      <c r="J2368" s="3">
        <v>0.0</v>
      </c>
      <c r="K2368" s="4">
        <f t="shared" si="1"/>
        <v>99.458</v>
      </c>
      <c r="L2368" s="4">
        <f t="shared" si="2"/>
        <v>1.172756339</v>
      </c>
    </row>
    <row r="2369">
      <c r="A2369" s="3" t="s">
        <v>26</v>
      </c>
      <c r="B2369" s="3">
        <v>3.34</v>
      </c>
      <c r="C2369" s="3">
        <v>0.4</v>
      </c>
      <c r="D2369" s="3">
        <v>17.3</v>
      </c>
      <c r="E2369" s="3">
        <v>1.56</v>
      </c>
      <c r="F2369" s="3">
        <v>7.28</v>
      </c>
      <c r="G2369" s="3">
        <v>9.95</v>
      </c>
      <c r="H2369" s="3">
        <v>0.0</v>
      </c>
      <c r="I2369" s="3">
        <v>6.19</v>
      </c>
      <c r="J2369" s="3">
        <v>0.0</v>
      </c>
      <c r="K2369" s="4">
        <f t="shared" si="1"/>
        <v>152.0009</v>
      </c>
      <c r="L2369" s="4">
        <f t="shared" si="2"/>
        <v>1.969001499</v>
      </c>
    </row>
    <row r="2370">
      <c r="A2370" s="3" t="s">
        <v>26</v>
      </c>
      <c r="B2370" s="3">
        <v>3.34</v>
      </c>
      <c r="C2370" s="3">
        <v>0.57</v>
      </c>
      <c r="D2370" s="3">
        <v>20.8</v>
      </c>
      <c r="E2370" s="3">
        <v>1.25</v>
      </c>
      <c r="F2370" s="3">
        <v>9.38</v>
      </c>
      <c r="G2370" s="3">
        <v>9.7</v>
      </c>
      <c r="H2370" s="3">
        <v>0.0</v>
      </c>
      <c r="I2370" s="3">
        <v>2.73</v>
      </c>
      <c r="J2370" s="3">
        <v>0.0</v>
      </c>
      <c r="K2370" s="4">
        <f t="shared" si="1"/>
        <v>182.0744</v>
      </c>
      <c r="L2370" s="4">
        <f t="shared" si="2"/>
        <v>2.376171499</v>
      </c>
    </row>
    <row r="2371">
      <c r="A2371" s="3" t="s">
        <v>26</v>
      </c>
      <c r="B2371" s="3">
        <v>3.34</v>
      </c>
      <c r="C2371" s="3">
        <v>0.73</v>
      </c>
      <c r="D2371" s="3">
        <v>20.8</v>
      </c>
      <c r="E2371" s="3">
        <v>1.62</v>
      </c>
      <c r="F2371" s="3">
        <v>10.63</v>
      </c>
      <c r="G2371" s="3">
        <v>9.13</v>
      </c>
      <c r="H2371" s="3">
        <v>0.0</v>
      </c>
      <c r="I2371" s="3">
        <v>1.13</v>
      </c>
      <c r="J2371" s="3">
        <v>0.0</v>
      </c>
      <c r="K2371" s="4">
        <f t="shared" si="1"/>
        <v>196.3538</v>
      </c>
      <c r="L2371" s="4">
        <f t="shared" si="2"/>
        <v>2.203369632</v>
      </c>
    </row>
    <row r="2372">
      <c r="A2372" s="3" t="s">
        <v>26</v>
      </c>
      <c r="B2372" s="3">
        <v>3.34</v>
      </c>
      <c r="C2372" s="3">
        <v>0.89</v>
      </c>
      <c r="D2372" s="3">
        <v>22.9</v>
      </c>
      <c r="E2372" s="3">
        <v>1.76</v>
      </c>
      <c r="F2372" s="3">
        <v>11.34</v>
      </c>
      <c r="G2372" s="3">
        <v>8.44</v>
      </c>
      <c r="H2372" s="3">
        <v>0.0</v>
      </c>
      <c r="I2372" s="3">
        <v>0.46</v>
      </c>
      <c r="J2372" s="3">
        <v>0.0</v>
      </c>
      <c r="K2372" s="4">
        <f t="shared" si="1"/>
        <v>199.8292</v>
      </c>
      <c r="L2372" s="4">
        <f t="shared" si="2"/>
        <v>2.624291145</v>
      </c>
    </row>
    <row r="2373">
      <c r="A2373" s="3" t="s">
        <v>26</v>
      </c>
      <c r="B2373" s="3">
        <v>3.34</v>
      </c>
      <c r="C2373" s="3">
        <v>1.05</v>
      </c>
      <c r="D2373" s="3">
        <v>24.3</v>
      </c>
      <c r="E2373" s="3">
        <v>2.23</v>
      </c>
      <c r="F2373" s="3">
        <v>11.95</v>
      </c>
      <c r="G2373" s="3">
        <v>7.79</v>
      </c>
      <c r="H2373" s="3">
        <v>0.0</v>
      </c>
      <c r="I2373" s="3">
        <v>0.19</v>
      </c>
      <c r="J2373" s="3">
        <v>0.0</v>
      </c>
      <c r="K2373" s="4">
        <f t="shared" si="1"/>
        <v>203.4866</v>
      </c>
      <c r="L2373" s="4">
        <f t="shared" si="2"/>
        <v>2.901861842</v>
      </c>
    </row>
    <row r="2374">
      <c r="A2374" s="3" t="s">
        <v>26</v>
      </c>
      <c r="B2374" s="3">
        <v>3.34</v>
      </c>
      <c r="C2374" s="3">
        <v>1.21</v>
      </c>
      <c r="D2374" s="3">
        <v>24.2</v>
      </c>
      <c r="E2374" s="3">
        <v>1.23</v>
      </c>
      <c r="F2374" s="3">
        <v>12.36</v>
      </c>
      <c r="G2374" s="3">
        <v>7.22</v>
      </c>
      <c r="H2374" s="3">
        <v>0.0</v>
      </c>
      <c r="I2374" s="3">
        <v>0.0</v>
      </c>
      <c r="J2374" s="3">
        <v>0.0</v>
      </c>
      <c r="K2374" s="4">
        <f t="shared" si="1"/>
        <v>204.898</v>
      </c>
      <c r="L2374" s="4">
        <f t="shared" si="2"/>
        <v>2.858202618</v>
      </c>
    </row>
    <row r="2375">
      <c r="A2375" s="3" t="s">
        <v>147</v>
      </c>
      <c r="B2375" s="3">
        <v>12.5</v>
      </c>
      <c r="C2375" s="3">
        <v>0.91</v>
      </c>
      <c r="D2375" s="3">
        <v>26.0</v>
      </c>
      <c r="E2375" s="3">
        <v>4.1</v>
      </c>
      <c r="F2375" s="3">
        <v>-3.26</v>
      </c>
      <c r="G2375" s="3">
        <v>30.14</v>
      </c>
      <c r="H2375" s="3">
        <v>0.0</v>
      </c>
      <c r="I2375" s="3">
        <v>60.69</v>
      </c>
      <c r="J2375" s="3">
        <v>0.0</v>
      </c>
      <c r="K2375" s="4">
        <f t="shared" si="1"/>
        <v>919.0472</v>
      </c>
      <c r="L2375" s="4">
        <f t="shared" si="2"/>
        <v>0.7355443768</v>
      </c>
    </row>
    <row r="2376">
      <c r="A2376" s="3" t="s">
        <v>147</v>
      </c>
      <c r="B2376" s="3">
        <v>12.5</v>
      </c>
      <c r="C2376" s="3">
        <v>1.82</v>
      </c>
      <c r="D2376" s="3">
        <v>45.1</v>
      </c>
      <c r="E2376" s="3">
        <v>3.02</v>
      </c>
      <c r="F2376" s="3">
        <v>5.75</v>
      </c>
      <c r="G2376" s="3">
        <v>35.45</v>
      </c>
      <c r="H2376" s="3">
        <v>0.0</v>
      </c>
      <c r="I2376" s="3">
        <v>25.56</v>
      </c>
      <c r="J2376" s="3">
        <v>0.0</v>
      </c>
      <c r="K2376" s="4">
        <f t="shared" si="1"/>
        <v>1289.765</v>
      </c>
      <c r="L2376" s="4">
        <f t="shared" si="2"/>
        <v>1.577039228</v>
      </c>
    </row>
    <row r="2377">
      <c r="A2377" s="3" t="s">
        <v>147</v>
      </c>
      <c r="B2377" s="3">
        <v>12.5</v>
      </c>
      <c r="C2377" s="3">
        <v>2.73</v>
      </c>
      <c r="D2377" s="3">
        <v>57.0</v>
      </c>
      <c r="E2377" s="3">
        <v>2.97</v>
      </c>
      <c r="F2377" s="3">
        <v>15.79</v>
      </c>
      <c r="G2377" s="3">
        <v>36.37</v>
      </c>
      <c r="H2377" s="3">
        <v>0.0</v>
      </c>
      <c r="I2377" s="3">
        <v>15.15</v>
      </c>
      <c r="J2377" s="3">
        <v>0.0</v>
      </c>
      <c r="K2377" s="4">
        <f t="shared" si="1"/>
        <v>1572.101</v>
      </c>
      <c r="L2377" s="4">
        <f t="shared" si="2"/>
        <v>2.066661111</v>
      </c>
    </row>
    <row r="2378">
      <c r="A2378" s="3" t="s">
        <v>147</v>
      </c>
      <c r="B2378" s="3">
        <v>12.5</v>
      </c>
      <c r="C2378" s="3">
        <v>3.63</v>
      </c>
      <c r="D2378" s="3">
        <v>62.0</v>
      </c>
      <c r="E2378" s="3">
        <v>2.85</v>
      </c>
      <c r="F2378" s="3">
        <v>22.36</v>
      </c>
      <c r="G2378" s="3">
        <v>38.25</v>
      </c>
      <c r="H2378" s="3">
        <v>0.0</v>
      </c>
      <c r="I2378" s="3">
        <v>9.97</v>
      </c>
      <c r="J2378" s="3">
        <v>0.0</v>
      </c>
      <c r="K2378" s="4">
        <f t="shared" si="1"/>
        <v>1963.0321</v>
      </c>
      <c r="L2378" s="4">
        <f t="shared" si="2"/>
        <v>1.958195182</v>
      </c>
    </row>
    <row r="2379">
      <c r="A2379" s="3" t="s">
        <v>147</v>
      </c>
      <c r="B2379" s="3">
        <v>12.5</v>
      </c>
      <c r="C2379" s="3">
        <v>4.55</v>
      </c>
      <c r="D2379" s="3">
        <v>66.9</v>
      </c>
      <c r="E2379" s="3">
        <v>2.75</v>
      </c>
      <c r="F2379" s="3">
        <v>25.59</v>
      </c>
      <c r="G2379" s="3">
        <v>37.1</v>
      </c>
      <c r="H2379" s="3">
        <v>0.0</v>
      </c>
      <c r="I2379" s="3">
        <v>5.38</v>
      </c>
      <c r="J2379" s="3">
        <v>0.0</v>
      </c>
      <c r="K2379" s="4">
        <f t="shared" si="1"/>
        <v>2031.2581</v>
      </c>
      <c r="L2379" s="4">
        <f t="shared" si="2"/>
        <v>2.203368444</v>
      </c>
    </row>
    <row r="2380">
      <c r="A2380" s="3" t="s">
        <v>147</v>
      </c>
      <c r="B2380" s="3">
        <v>12.5</v>
      </c>
      <c r="C2380" s="3">
        <v>5.45</v>
      </c>
      <c r="D2380" s="3">
        <v>70.6</v>
      </c>
      <c r="E2380" s="3">
        <v>2.86</v>
      </c>
      <c r="F2380" s="3">
        <v>27.95</v>
      </c>
      <c r="G2380" s="3">
        <v>35.74</v>
      </c>
      <c r="H2380" s="3">
        <v>0.0</v>
      </c>
      <c r="I2380" s="3">
        <v>3.28</v>
      </c>
      <c r="J2380" s="3">
        <v>0.0</v>
      </c>
      <c r="K2380" s="4">
        <f t="shared" si="1"/>
        <v>2058.5501</v>
      </c>
      <c r="L2380" s="4">
        <f t="shared" si="2"/>
        <v>2.421296426</v>
      </c>
    </row>
    <row r="2381">
      <c r="A2381" s="3" t="s">
        <v>147</v>
      </c>
      <c r="B2381" s="3">
        <v>12.5</v>
      </c>
      <c r="C2381" s="3">
        <v>6.37</v>
      </c>
      <c r="D2381" s="3">
        <v>72.8</v>
      </c>
      <c r="E2381" s="3">
        <v>2.66</v>
      </c>
      <c r="F2381" s="3">
        <v>28.63</v>
      </c>
      <c r="G2381" s="3">
        <v>34.29</v>
      </c>
      <c r="H2381" s="3">
        <v>0.0</v>
      </c>
      <c r="I2381" s="3">
        <v>2.46</v>
      </c>
      <c r="J2381" s="3">
        <v>0.0</v>
      </c>
      <c r="K2381" s="4">
        <f t="shared" si="1"/>
        <v>1995.481</v>
      </c>
      <c r="L2381" s="4">
        <f t="shared" si="2"/>
        <v>2.655921054</v>
      </c>
    </row>
    <row r="2382">
      <c r="A2382" s="3" t="s">
        <v>147</v>
      </c>
      <c r="B2382" s="3">
        <v>12.5</v>
      </c>
      <c r="C2382" s="3">
        <v>7.28</v>
      </c>
      <c r="D2382" s="3">
        <v>73.3</v>
      </c>
      <c r="E2382" s="3">
        <v>2.66</v>
      </c>
      <c r="F2382" s="3">
        <v>31.18</v>
      </c>
      <c r="G2382" s="3">
        <v>33.63</v>
      </c>
      <c r="H2382" s="3">
        <v>0.0</v>
      </c>
      <c r="I2382" s="3">
        <v>1.53</v>
      </c>
      <c r="J2382" s="3">
        <v>0.0</v>
      </c>
      <c r="K2382" s="4">
        <f t="shared" si="1"/>
        <v>2103.1693</v>
      </c>
      <c r="L2382" s="4">
        <f t="shared" si="2"/>
        <v>2.554663574</v>
      </c>
    </row>
    <row r="2383">
      <c r="A2383" s="3" t="s">
        <v>147</v>
      </c>
      <c r="B2383" s="3">
        <v>12.5</v>
      </c>
      <c r="C2383" s="3">
        <v>8.18</v>
      </c>
      <c r="D2383" s="3">
        <v>74.3</v>
      </c>
      <c r="E2383" s="3">
        <v>2.67</v>
      </c>
      <c r="F2383" s="3">
        <v>32.26</v>
      </c>
      <c r="G2383" s="3">
        <v>33.14</v>
      </c>
      <c r="H2383" s="3">
        <v>0.0</v>
      </c>
      <c r="I2383" s="3">
        <v>0.0</v>
      </c>
      <c r="J2383" s="3">
        <v>0.0</v>
      </c>
      <c r="K2383" s="4">
        <f t="shared" si="1"/>
        <v>2138.9672</v>
      </c>
      <c r="L2383" s="4">
        <f t="shared" si="2"/>
        <v>2.580913817</v>
      </c>
    </row>
    <row r="2384">
      <c r="A2384" s="3" t="s">
        <v>148</v>
      </c>
      <c r="B2384" s="3">
        <v>53.7</v>
      </c>
      <c r="C2384" s="3">
        <v>0.78</v>
      </c>
      <c r="D2384" s="3">
        <v>14.5</v>
      </c>
      <c r="E2384" s="3">
        <v>8.1</v>
      </c>
      <c r="F2384" s="3">
        <v>3.09</v>
      </c>
      <c r="G2384" s="3">
        <v>15.78</v>
      </c>
      <c r="H2384" s="3">
        <v>0.0</v>
      </c>
      <c r="I2384" s="3">
        <v>53.49</v>
      </c>
      <c r="J2384" s="3">
        <v>0.0</v>
      </c>
      <c r="K2384" s="4">
        <f t="shared" si="1"/>
        <v>258.5565</v>
      </c>
      <c r="L2384" s="4">
        <f t="shared" si="2"/>
        <v>0.8131684951</v>
      </c>
    </row>
    <row r="2385">
      <c r="A2385" s="3" t="s">
        <v>148</v>
      </c>
      <c r="B2385" s="3">
        <v>53.7</v>
      </c>
      <c r="C2385" s="3">
        <v>2.34</v>
      </c>
      <c r="D2385" s="3">
        <v>32.6</v>
      </c>
      <c r="E2385" s="3">
        <v>26.8</v>
      </c>
      <c r="F2385" s="3">
        <v>8.01</v>
      </c>
      <c r="G2385" s="3">
        <v>29.57</v>
      </c>
      <c r="H2385" s="3">
        <v>0.0</v>
      </c>
      <c r="I2385" s="3">
        <v>27.34</v>
      </c>
      <c r="J2385" s="3">
        <v>0.0</v>
      </c>
      <c r="K2385" s="4">
        <f t="shared" si="1"/>
        <v>938.545</v>
      </c>
      <c r="L2385" s="4">
        <f t="shared" si="2"/>
        <v>1.132348476</v>
      </c>
    </row>
    <row r="2386">
      <c r="A2386" s="3" t="s">
        <v>148</v>
      </c>
      <c r="B2386" s="3">
        <v>53.7</v>
      </c>
      <c r="C2386" s="3">
        <v>3.91</v>
      </c>
      <c r="D2386" s="3">
        <v>48.6</v>
      </c>
      <c r="E2386" s="3">
        <v>11.3</v>
      </c>
      <c r="F2386" s="3">
        <v>11.69</v>
      </c>
      <c r="G2386" s="3">
        <v>39.92</v>
      </c>
      <c r="H2386" s="3">
        <v>0.0</v>
      </c>
      <c r="I2386" s="3">
        <v>21.36</v>
      </c>
      <c r="J2386" s="3">
        <v>0.0</v>
      </c>
      <c r="K2386" s="4">
        <f t="shared" si="1"/>
        <v>1730.2625</v>
      </c>
      <c r="L2386" s="4">
        <f t="shared" si="2"/>
        <v>1.365087667</v>
      </c>
    </row>
    <row r="2387">
      <c r="A2387" s="3" t="s">
        <v>148</v>
      </c>
      <c r="B2387" s="3">
        <v>53.7</v>
      </c>
      <c r="C2387" s="3">
        <v>5.47</v>
      </c>
      <c r="D2387" s="3">
        <v>58.1</v>
      </c>
      <c r="E2387" s="3">
        <v>6.1</v>
      </c>
      <c r="F2387" s="3">
        <v>14.84</v>
      </c>
      <c r="G2387" s="3">
        <v>44.43</v>
      </c>
      <c r="H2387" s="3">
        <v>0.0</v>
      </c>
      <c r="I2387" s="3">
        <v>11.76</v>
      </c>
      <c r="J2387" s="3">
        <v>0.0</v>
      </c>
      <c r="K2387" s="4">
        <f t="shared" si="1"/>
        <v>2194.2505</v>
      </c>
      <c r="L2387" s="4">
        <f t="shared" si="2"/>
        <v>1.538388621</v>
      </c>
    </row>
    <row r="2388">
      <c r="A2388" s="3" t="s">
        <v>148</v>
      </c>
      <c r="B2388" s="3">
        <v>53.7</v>
      </c>
      <c r="C2388" s="3">
        <v>7.04</v>
      </c>
      <c r="D2388" s="3">
        <v>65.9</v>
      </c>
      <c r="E2388" s="3">
        <v>8.71</v>
      </c>
      <c r="F2388" s="3">
        <v>17.28</v>
      </c>
      <c r="G2388" s="3">
        <v>44.27</v>
      </c>
      <c r="H2388" s="3">
        <v>0.0</v>
      </c>
      <c r="I2388" s="3">
        <v>7.46</v>
      </c>
      <c r="J2388" s="3">
        <v>0.0</v>
      </c>
      <c r="K2388" s="4">
        <f t="shared" si="1"/>
        <v>2258.4313</v>
      </c>
      <c r="L2388" s="4">
        <f t="shared" si="2"/>
        <v>1.922932081</v>
      </c>
    </row>
    <row r="2389">
      <c r="A2389" s="3" t="s">
        <v>148</v>
      </c>
      <c r="B2389" s="3">
        <v>53.7</v>
      </c>
      <c r="C2389" s="3">
        <v>8.6</v>
      </c>
      <c r="D2389" s="3">
        <v>72.5</v>
      </c>
      <c r="E2389" s="3">
        <v>12.2</v>
      </c>
      <c r="F2389" s="3">
        <v>20.43</v>
      </c>
      <c r="G2389" s="3">
        <v>44.23</v>
      </c>
      <c r="H2389" s="3">
        <v>0.0</v>
      </c>
      <c r="I2389" s="3">
        <v>4.27</v>
      </c>
      <c r="J2389" s="3">
        <v>0.0</v>
      </c>
      <c r="K2389" s="4">
        <f t="shared" si="1"/>
        <v>2373.6778</v>
      </c>
      <c r="L2389" s="4">
        <f t="shared" si="2"/>
        <v>2.214390681</v>
      </c>
    </row>
    <row r="2390">
      <c r="A2390" s="3" t="s">
        <v>148</v>
      </c>
      <c r="B2390" s="3">
        <v>53.7</v>
      </c>
      <c r="C2390" s="3">
        <v>10.17</v>
      </c>
      <c r="D2390" s="3">
        <v>78.6</v>
      </c>
      <c r="E2390" s="3">
        <v>28.4</v>
      </c>
      <c r="F2390" s="3">
        <v>23.88</v>
      </c>
      <c r="G2390" s="3">
        <v>42.94</v>
      </c>
      <c r="H2390" s="3">
        <v>0.0</v>
      </c>
      <c r="I2390" s="3">
        <v>2.88</v>
      </c>
      <c r="J2390" s="3">
        <v>0.0</v>
      </c>
      <c r="K2390" s="4">
        <f t="shared" si="1"/>
        <v>2414.098</v>
      </c>
      <c r="L2390" s="4">
        <f t="shared" si="2"/>
        <v>2.559117318</v>
      </c>
    </row>
    <row r="2391">
      <c r="A2391" s="3" t="s">
        <v>148</v>
      </c>
      <c r="B2391" s="3">
        <v>53.7</v>
      </c>
      <c r="C2391" s="3">
        <v>17.97</v>
      </c>
      <c r="D2391" s="3">
        <v>97.1</v>
      </c>
      <c r="E2391" s="3">
        <v>10.0</v>
      </c>
      <c r="F2391" s="3">
        <v>35.26</v>
      </c>
      <c r="G2391" s="3">
        <v>33.89</v>
      </c>
      <c r="H2391" s="3">
        <v>0.0</v>
      </c>
      <c r="I2391" s="3">
        <v>0.23</v>
      </c>
      <c r="J2391" s="3">
        <v>0.0</v>
      </c>
      <c r="K2391" s="4">
        <f t="shared" si="1"/>
        <v>2391.7997</v>
      </c>
      <c r="L2391" s="4">
        <f t="shared" si="2"/>
        <v>3.941973067</v>
      </c>
    </row>
    <row r="2392">
      <c r="A2392" s="3" t="s">
        <v>148</v>
      </c>
      <c r="B2392" s="3">
        <v>53.7</v>
      </c>
      <c r="C2392" s="3">
        <v>21.07</v>
      </c>
      <c r="D2392" s="3">
        <v>99.4</v>
      </c>
      <c r="E2392" s="3">
        <v>10.0</v>
      </c>
      <c r="F2392" s="3">
        <v>36.58</v>
      </c>
      <c r="G2392" s="3">
        <v>30.93</v>
      </c>
      <c r="H2392" s="3">
        <v>0.0</v>
      </c>
      <c r="I2392" s="3">
        <v>0.09</v>
      </c>
      <c r="J2392" s="3">
        <v>0.0</v>
      </c>
      <c r="K2392" s="4">
        <f t="shared" si="1"/>
        <v>2294.7613</v>
      </c>
      <c r="L2392" s="4">
        <f t="shared" si="2"/>
        <v>4.305615578</v>
      </c>
    </row>
    <row r="2393">
      <c r="A2393" s="3" t="s">
        <v>148</v>
      </c>
      <c r="B2393" s="3">
        <v>53.7</v>
      </c>
      <c r="C2393" s="3">
        <v>22.72</v>
      </c>
      <c r="D2393" s="3">
        <v>100.0</v>
      </c>
      <c r="E2393" s="3">
        <v>10.0</v>
      </c>
      <c r="F2393" s="3">
        <v>37.09</v>
      </c>
      <c r="G2393" s="3">
        <v>29.59</v>
      </c>
      <c r="H2393" s="3">
        <v>0.0</v>
      </c>
      <c r="I2393" s="3">
        <v>0.05</v>
      </c>
      <c r="J2393" s="3">
        <v>0.0</v>
      </c>
      <c r="K2393" s="4">
        <f t="shared" si="1"/>
        <v>2251.2362</v>
      </c>
      <c r="L2393" s="4">
        <f t="shared" si="2"/>
        <v>4.442003909</v>
      </c>
    </row>
    <row r="2394">
      <c r="A2394" s="3" t="s">
        <v>148</v>
      </c>
      <c r="B2394" s="3">
        <v>53.7</v>
      </c>
      <c r="C2394" s="3">
        <v>28.61</v>
      </c>
      <c r="D2394" s="3">
        <v>99.1</v>
      </c>
      <c r="E2394" s="3">
        <v>10.0</v>
      </c>
      <c r="F2394" s="3">
        <v>39.02</v>
      </c>
      <c r="G2394" s="3">
        <v>25.82</v>
      </c>
      <c r="H2394" s="3">
        <v>0.0</v>
      </c>
      <c r="I2394" s="3">
        <v>0.0</v>
      </c>
      <c r="J2394" s="3">
        <v>0.0</v>
      </c>
      <c r="K2394" s="4">
        <f t="shared" si="1"/>
        <v>2189.2328</v>
      </c>
      <c r="L2394" s="4">
        <f t="shared" si="2"/>
        <v>4.485959648</v>
      </c>
    </row>
    <row r="2395">
      <c r="A2395" s="3" t="s">
        <v>149</v>
      </c>
      <c r="B2395" s="3">
        <v>22.9</v>
      </c>
      <c r="C2395" s="3">
        <v>0.13</v>
      </c>
      <c r="D2395" s="3">
        <v>232.0</v>
      </c>
      <c r="E2395" s="3">
        <v>33.4</v>
      </c>
      <c r="F2395" s="3">
        <v>-2.47</v>
      </c>
      <c r="G2395" s="3">
        <v>8.23</v>
      </c>
      <c r="H2395" s="3">
        <v>149.99</v>
      </c>
      <c r="I2395" s="3">
        <v>789.02</v>
      </c>
      <c r="J2395" s="3">
        <v>34497.8</v>
      </c>
      <c r="K2395" s="4">
        <f t="shared" si="1"/>
        <v>73.8338</v>
      </c>
      <c r="L2395" s="4">
        <f t="shared" si="2"/>
        <v>728.9886204</v>
      </c>
    </row>
    <row r="2396">
      <c r="A2396" s="3" t="s">
        <v>149</v>
      </c>
      <c r="B2396" s="3">
        <v>22.9</v>
      </c>
      <c r="C2396" s="3">
        <v>0.25</v>
      </c>
      <c r="D2396" s="3">
        <v>233.0</v>
      </c>
      <c r="E2396" s="3">
        <v>16.9</v>
      </c>
      <c r="F2396" s="3">
        <v>-2.73</v>
      </c>
      <c r="G2396" s="3">
        <v>15.54</v>
      </c>
      <c r="H2396" s="3">
        <v>220.78</v>
      </c>
      <c r="I2396" s="3">
        <v>767.45</v>
      </c>
      <c r="J2396" s="3">
        <v>20300.24</v>
      </c>
      <c r="K2396" s="4">
        <f t="shared" si="1"/>
        <v>248.9445</v>
      </c>
      <c r="L2396" s="4">
        <f t="shared" si="2"/>
        <v>218.0767199</v>
      </c>
    </row>
    <row r="2397">
      <c r="A2397" s="3" t="s">
        <v>149</v>
      </c>
      <c r="B2397" s="3">
        <v>22.9</v>
      </c>
      <c r="C2397" s="3">
        <v>0.38</v>
      </c>
      <c r="D2397" s="3">
        <v>234.0</v>
      </c>
      <c r="E2397" s="3">
        <v>14.6</v>
      </c>
      <c r="F2397" s="3">
        <v>-2.63</v>
      </c>
      <c r="G2397" s="3">
        <v>23.07</v>
      </c>
      <c r="H2397" s="3">
        <v>253.99</v>
      </c>
      <c r="I2397" s="3">
        <v>744.75</v>
      </c>
      <c r="J2397" s="3">
        <v>12406.57</v>
      </c>
      <c r="K2397" s="4">
        <f t="shared" si="1"/>
        <v>539.1418</v>
      </c>
      <c r="L2397" s="4">
        <f t="shared" si="2"/>
        <v>101.5614074</v>
      </c>
    </row>
    <row r="2398">
      <c r="A2398" s="3" t="s">
        <v>149</v>
      </c>
      <c r="B2398" s="3">
        <v>22.9</v>
      </c>
      <c r="C2398" s="3">
        <v>0.51</v>
      </c>
      <c r="D2398" s="3">
        <v>235.0</v>
      </c>
      <c r="E2398" s="3">
        <v>10.6</v>
      </c>
      <c r="F2398" s="3">
        <v>-2.41</v>
      </c>
      <c r="G2398" s="3">
        <v>30.21</v>
      </c>
      <c r="H2398" s="3">
        <v>269.15</v>
      </c>
      <c r="I2398" s="3">
        <v>722.72</v>
      </c>
      <c r="J2398" s="3">
        <v>8657.54</v>
      </c>
      <c r="K2398" s="4">
        <f t="shared" si="1"/>
        <v>918.4522</v>
      </c>
      <c r="L2398" s="4">
        <f t="shared" si="2"/>
        <v>60.1283333</v>
      </c>
    </row>
    <row r="2399">
      <c r="A2399" s="3" t="s">
        <v>149</v>
      </c>
      <c r="B2399" s="3">
        <v>22.9</v>
      </c>
      <c r="C2399" s="3">
        <v>0.63</v>
      </c>
      <c r="D2399" s="3">
        <v>236.0</v>
      </c>
      <c r="E2399" s="3">
        <v>9.12</v>
      </c>
      <c r="F2399" s="3">
        <v>-2.13</v>
      </c>
      <c r="G2399" s="3">
        <v>36.51</v>
      </c>
      <c r="H2399" s="3">
        <v>276.27</v>
      </c>
      <c r="I2399" s="3">
        <v>702.97</v>
      </c>
      <c r="J2399" s="3">
        <v>6495.51</v>
      </c>
      <c r="K2399" s="4">
        <f t="shared" si="1"/>
        <v>1337.517</v>
      </c>
      <c r="L2399" s="4">
        <f t="shared" si="2"/>
        <v>41.64133989</v>
      </c>
    </row>
    <row r="2400">
      <c r="A2400" s="3" t="s">
        <v>149</v>
      </c>
      <c r="B2400" s="3">
        <v>22.9</v>
      </c>
      <c r="C2400" s="3">
        <v>0.76</v>
      </c>
      <c r="D2400" s="3">
        <v>237.0</v>
      </c>
      <c r="E2400" s="3">
        <v>10.3</v>
      </c>
      <c r="F2400" s="3">
        <v>-1.79</v>
      </c>
      <c r="G2400" s="3">
        <v>43.02</v>
      </c>
      <c r="H2400" s="3">
        <v>278.6</v>
      </c>
      <c r="I2400" s="3">
        <v>682.17</v>
      </c>
      <c r="J2400" s="3">
        <v>5042.31</v>
      </c>
      <c r="K2400" s="4">
        <f t="shared" si="1"/>
        <v>1853.9245</v>
      </c>
      <c r="L2400" s="4">
        <f t="shared" si="2"/>
        <v>30.2973503</v>
      </c>
    </row>
    <row r="2401">
      <c r="A2401" s="3" t="s">
        <v>149</v>
      </c>
      <c r="B2401" s="3">
        <v>22.9</v>
      </c>
      <c r="C2401" s="3">
        <v>0.89</v>
      </c>
      <c r="D2401" s="3">
        <v>238.0</v>
      </c>
      <c r="E2401" s="3">
        <v>9.95</v>
      </c>
      <c r="F2401" s="3">
        <v>-1.58</v>
      </c>
      <c r="G2401" s="3">
        <v>49.25</v>
      </c>
      <c r="H2401" s="3">
        <v>279.31</v>
      </c>
      <c r="I2401" s="3">
        <v>662.0</v>
      </c>
      <c r="J2401" s="3">
        <v>4041.77</v>
      </c>
      <c r="K2401" s="4">
        <f t="shared" si="1"/>
        <v>2428.0589</v>
      </c>
      <c r="L2401" s="4">
        <f t="shared" si="2"/>
        <v>23.32892336</v>
      </c>
    </row>
    <row r="2402">
      <c r="A2402" s="3" t="s">
        <v>149</v>
      </c>
      <c r="B2402" s="3">
        <v>22.9</v>
      </c>
      <c r="C2402" s="3">
        <v>1.01</v>
      </c>
      <c r="D2402" s="3">
        <v>239.0</v>
      </c>
      <c r="E2402" s="3">
        <v>3.51</v>
      </c>
      <c r="F2402" s="3">
        <v>-1.03</v>
      </c>
      <c r="G2402" s="3">
        <v>54.76</v>
      </c>
      <c r="H2402" s="3">
        <v>280.44</v>
      </c>
      <c r="I2402" s="3">
        <v>643.9</v>
      </c>
      <c r="J2402" s="3">
        <v>3369.65</v>
      </c>
      <c r="K2402" s="4">
        <f t="shared" si="1"/>
        <v>2999.7185</v>
      </c>
      <c r="L2402" s="4">
        <f t="shared" si="2"/>
        <v>19.04212012</v>
      </c>
    </row>
    <row r="2403">
      <c r="A2403" s="3" t="s">
        <v>149</v>
      </c>
      <c r="B2403" s="3">
        <v>22.9</v>
      </c>
      <c r="C2403" s="3">
        <v>1.14</v>
      </c>
      <c r="D2403" s="3">
        <v>240.0</v>
      </c>
      <c r="E2403" s="3">
        <v>3.18</v>
      </c>
      <c r="F2403" s="3">
        <v>0.66</v>
      </c>
      <c r="G2403" s="3">
        <v>60.48</v>
      </c>
      <c r="H2403" s="3">
        <v>280.12</v>
      </c>
      <c r="I2403" s="3">
        <v>624.86</v>
      </c>
      <c r="J2403" s="3">
        <v>2769.16</v>
      </c>
      <c r="K2403" s="4">
        <f t="shared" si="1"/>
        <v>3658.266</v>
      </c>
      <c r="L2403" s="4">
        <f t="shared" si="2"/>
        <v>15.74516451</v>
      </c>
    </row>
    <row r="2404">
      <c r="A2404" s="3" t="s">
        <v>149</v>
      </c>
      <c r="B2404" s="3">
        <v>22.9</v>
      </c>
      <c r="C2404" s="3">
        <v>1.27</v>
      </c>
      <c r="D2404" s="3">
        <v>240.0</v>
      </c>
      <c r="E2404" s="3">
        <v>5.19</v>
      </c>
      <c r="F2404" s="3">
        <v>1.42</v>
      </c>
      <c r="G2404" s="3">
        <v>65.96</v>
      </c>
      <c r="H2404" s="3">
        <v>277.94</v>
      </c>
      <c r="I2404" s="3">
        <v>606.37</v>
      </c>
      <c r="J2404" s="3">
        <v>2377.1</v>
      </c>
      <c r="K2404" s="4">
        <f t="shared" si="1"/>
        <v>4352.738</v>
      </c>
      <c r="L2404" s="4">
        <f t="shared" si="2"/>
        <v>13.23305009</v>
      </c>
    </row>
    <row r="2405">
      <c r="A2405" s="3" t="s">
        <v>149</v>
      </c>
      <c r="B2405" s="3">
        <v>22.9</v>
      </c>
      <c r="C2405" s="3">
        <v>1.39</v>
      </c>
      <c r="D2405" s="3">
        <v>241.0</v>
      </c>
      <c r="E2405" s="3">
        <v>3.54</v>
      </c>
      <c r="F2405" s="3">
        <v>1.91</v>
      </c>
      <c r="G2405" s="3">
        <v>70.82</v>
      </c>
      <c r="H2405" s="3">
        <v>277.61</v>
      </c>
      <c r="I2405" s="3">
        <v>589.8</v>
      </c>
      <c r="J2405" s="3">
        <v>2088.11</v>
      </c>
      <c r="K2405" s="4">
        <f t="shared" si="1"/>
        <v>5019.1205</v>
      </c>
      <c r="L2405" s="4">
        <f t="shared" si="2"/>
        <v>11.57194771</v>
      </c>
    </row>
    <row r="2406">
      <c r="A2406" s="3" t="s">
        <v>149</v>
      </c>
      <c r="B2406" s="3">
        <v>22.9</v>
      </c>
      <c r="C2406" s="3">
        <v>1.52</v>
      </c>
      <c r="D2406" s="3">
        <v>242.0</v>
      </c>
      <c r="E2406" s="3">
        <v>2.6</v>
      </c>
      <c r="F2406" s="3">
        <v>2.31</v>
      </c>
      <c r="G2406" s="3">
        <v>75.88</v>
      </c>
      <c r="H2406" s="3">
        <v>276.52</v>
      </c>
      <c r="I2406" s="3">
        <v>572.35</v>
      </c>
      <c r="J2406" s="3">
        <v>1763.1</v>
      </c>
      <c r="K2406" s="4">
        <f t="shared" si="1"/>
        <v>5763.1105</v>
      </c>
      <c r="L2406" s="4">
        <f t="shared" si="2"/>
        <v>10.16187352</v>
      </c>
    </row>
    <row r="2407">
      <c r="A2407" s="3" t="s">
        <v>149</v>
      </c>
      <c r="B2407" s="3">
        <v>22.9</v>
      </c>
      <c r="C2407" s="3">
        <v>1.65</v>
      </c>
      <c r="D2407" s="3">
        <v>242.0</v>
      </c>
      <c r="E2407" s="3">
        <v>1.75</v>
      </c>
      <c r="F2407" s="3">
        <v>2.69</v>
      </c>
      <c r="G2407" s="3">
        <v>80.73</v>
      </c>
      <c r="H2407" s="3">
        <v>274.47</v>
      </c>
      <c r="I2407" s="3">
        <v>555.42</v>
      </c>
      <c r="J2407" s="3">
        <v>1547.08</v>
      </c>
      <c r="K2407" s="4">
        <f t="shared" si="1"/>
        <v>6524.569</v>
      </c>
      <c r="L2407" s="4">
        <f t="shared" si="2"/>
        <v>8.975918563</v>
      </c>
    </row>
    <row r="2408">
      <c r="A2408" s="3" t="s">
        <v>149</v>
      </c>
      <c r="B2408" s="3">
        <v>22.9</v>
      </c>
      <c r="C2408" s="3">
        <v>1.77</v>
      </c>
      <c r="D2408" s="3">
        <v>243.0</v>
      </c>
      <c r="E2408" s="3">
        <v>1.94</v>
      </c>
      <c r="F2408" s="3">
        <v>3.02</v>
      </c>
      <c r="G2408" s="3">
        <v>85.03</v>
      </c>
      <c r="H2408" s="3">
        <v>272.42</v>
      </c>
      <c r="I2408" s="3">
        <v>540.24</v>
      </c>
      <c r="J2408" s="3">
        <v>1396.25</v>
      </c>
      <c r="K2408" s="4">
        <f t="shared" si="1"/>
        <v>7239.2213</v>
      </c>
      <c r="L2408" s="4">
        <f t="shared" si="2"/>
        <v>8.156816535</v>
      </c>
    </row>
    <row r="2409">
      <c r="A2409" s="3" t="s">
        <v>149</v>
      </c>
      <c r="B2409" s="3">
        <v>22.9</v>
      </c>
      <c r="C2409" s="3">
        <v>1.9</v>
      </c>
      <c r="D2409" s="3">
        <v>244.0</v>
      </c>
      <c r="E2409" s="3">
        <v>3.09</v>
      </c>
      <c r="F2409" s="3">
        <v>3.34</v>
      </c>
      <c r="G2409" s="3">
        <v>89.52</v>
      </c>
      <c r="H2409" s="3">
        <v>270.29</v>
      </c>
      <c r="I2409" s="3">
        <v>524.26</v>
      </c>
      <c r="J2409" s="3">
        <v>1264.29</v>
      </c>
      <c r="K2409" s="4">
        <f t="shared" si="1"/>
        <v>8024.986</v>
      </c>
      <c r="L2409" s="4">
        <f t="shared" si="2"/>
        <v>7.418829142</v>
      </c>
    </row>
    <row r="2410">
      <c r="A2410" s="3" t="s">
        <v>149</v>
      </c>
      <c r="B2410" s="3">
        <v>22.9</v>
      </c>
      <c r="C2410" s="3">
        <v>2.03</v>
      </c>
      <c r="D2410" s="3">
        <v>244.0</v>
      </c>
      <c r="E2410" s="3">
        <v>1.6</v>
      </c>
      <c r="F2410" s="3">
        <v>3.66</v>
      </c>
      <c r="G2410" s="3">
        <v>93.85</v>
      </c>
      <c r="H2410" s="3">
        <v>268.35</v>
      </c>
      <c r="I2410" s="3">
        <v>508.76</v>
      </c>
      <c r="J2410" s="3">
        <v>1155.08</v>
      </c>
      <c r="K2410" s="4">
        <f t="shared" si="1"/>
        <v>8821.2181</v>
      </c>
      <c r="L2410" s="4">
        <f t="shared" si="2"/>
        <v>6.749181272</v>
      </c>
    </row>
    <row r="2411">
      <c r="A2411" s="3" t="s">
        <v>149</v>
      </c>
      <c r="B2411" s="3">
        <v>22.9</v>
      </c>
      <c r="C2411" s="3">
        <v>2.16</v>
      </c>
      <c r="D2411" s="3">
        <v>244.0</v>
      </c>
      <c r="E2411" s="3">
        <v>3.0</v>
      </c>
      <c r="F2411" s="3">
        <v>3.96</v>
      </c>
      <c r="G2411" s="3">
        <v>97.99</v>
      </c>
      <c r="H2411" s="3">
        <v>266.67</v>
      </c>
      <c r="I2411" s="3">
        <v>493.71</v>
      </c>
      <c r="J2411" s="3">
        <v>1069.65</v>
      </c>
      <c r="K2411" s="4">
        <f t="shared" si="1"/>
        <v>9617.7217</v>
      </c>
      <c r="L2411" s="4">
        <f t="shared" si="2"/>
        <v>6.19023942</v>
      </c>
    </row>
    <row r="2412">
      <c r="A2412" s="3" t="s">
        <v>149</v>
      </c>
      <c r="B2412" s="3">
        <v>22.9</v>
      </c>
      <c r="C2412" s="3">
        <v>2.28</v>
      </c>
      <c r="D2412" s="3">
        <v>245.0</v>
      </c>
      <c r="E2412" s="3">
        <v>2.19</v>
      </c>
      <c r="F2412" s="3">
        <v>4.26</v>
      </c>
      <c r="G2412" s="3">
        <v>101.66</v>
      </c>
      <c r="H2412" s="3">
        <v>265.58</v>
      </c>
      <c r="I2412" s="3">
        <v>480.21</v>
      </c>
      <c r="J2412" s="3">
        <v>994.58</v>
      </c>
      <c r="K2412" s="4">
        <f t="shared" si="1"/>
        <v>10352.9032</v>
      </c>
      <c r="L2412" s="4">
        <f t="shared" si="2"/>
        <v>5.797890586</v>
      </c>
    </row>
    <row r="2413">
      <c r="A2413" s="3" t="s">
        <v>149</v>
      </c>
      <c r="B2413" s="3">
        <v>22.9</v>
      </c>
      <c r="C2413" s="3">
        <v>2.41</v>
      </c>
      <c r="D2413" s="3">
        <v>245.0</v>
      </c>
      <c r="E2413" s="3">
        <v>3.01</v>
      </c>
      <c r="F2413" s="3">
        <v>4.56</v>
      </c>
      <c r="G2413" s="3">
        <v>105.49</v>
      </c>
      <c r="H2413" s="3">
        <v>264.78</v>
      </c>
      <c r="I2413" s="3">
        <v>466.01</v>
      </c>
      <c r="J2413" s="3">
        <v>911.52</v>
      </c>
      <c r="K2413" s="4">
        <f t="shared" si="1"/>
        <v>11148.9337</v>
      </c>
      <c r="L2413" s="4">
        <f t="shared" si="2"/>
        <v>5.383922949</v>
      </c>
    </row>
    <row r="2414">
      <c r="A2414" s="3" t="s">
        <v>149</v>
      </c>
      <c r="B2414" s="3">
        <v>22.9</v>
      </c>
      <c r="C2414" s="3">
        <v>2.54</v>
      </c>
      <c r="D2414" s="3">
        <v>246.0</v>
      </c>
      <c r="E2414" s="3">
        <v>2.64</v>
      </c>
      <c r="F2414" s="3">
        <v>4.87</v>
      </c>
      <c r="G2414" s="3">
        <v>109.17</v>
      </c>
      <c r="H2414" s="3">
        <v>264.37</v>
      </c>
      <c r="I2414" s="3">
        <v>452.22</v>
      </c>
      <c r="J2414" s="3">
        <v>823.77</v>
      </c>
      <c r="K2414" s="4">
        <f t="shared" si="1"/>
        <v>11941.8058</v>
      </c>
      <c r="L2414" s="4">
        <f t="shared" si="2"/>
        <v>5.067575291</v>
      </c>
    </row>
    <row r="2415">
      <c r="A2415" s="3" t="s">
        <v>149</v>
      </c>
      <c r="B2415" s="3">
        <v>22.9</v>
      </c>
      <c r="C2415" s="3">
        <v>2.66</v>
      </c>
      <c r="D2415" s="3">
        <v>246.0</v>
      </c>
      <c r="E2415" s="3">
        <v>2.38</v>
      </c>
      <c r="F2415" s="3">
        <v>5.17</v>
      </c>
      <c r="G2415" s="3">
        <v>112.45</v>
      </c>
      <c r="H2415" s="3">
        <v>264.0</v>
      </c>
      <c r="I2415" s="3">
        <v>439.86</v>
      </c>
      <c r="J2415" s="3">
        <v>744.22</v>
      </c>
      <c r="K2415" s="4">
        <f t="shared" si="1"/>
        <v>12671.7314</v>
      </c>
      <c r="L2415" s="4">
        <f t="shared" si="2"/>
        <v>4.775669409</v>
      </c>
    </row>
    <row r="2416">
      <c r="A2416" s="3" t="s">
        <v>149</v>
      </c>
      <c r="B2416" s="3">
        <v>22.9</v>
      </c>
      <c r="C2416" s="3">
        <v>2.79</v>
      </c>
      <c r="D2416" s="3">
        <v>246.0</v>
      </c>
      <c r="E2416" s="3">
        <v>3.72</v>
      </c>
      <c r="F2416" s="3">
        <v>5.46</v>
      </c>
      <c r="G2416" s="3">
        <v>115.87</v>
      </c>
      <c r="H2416" s="3">
        <v>263.68</v>
      </c>
      <c r="I2416" s="3">
        <v>426.85</v>
      </c>
      <c r="J2416" s="3">
        <v>660.0</v>
      </c>
      <c r="K2416" s="4">
        <f t="shared" si="1"/>
        <v>13455.6685</v>
      </c>
      <c r="L2416" s="4">
        <f t="shared" si="2"/>
        <v>4.497435412</v>
      </c>
    </row>
    <row r="2417">
      <c r="A2417" s="3" t="s">
        <v>149</v>
      </c>
      <c r="B2417" s="3">
        <v>22.9</v>
      </c>
      <c r="C2417" s="3">
        <v>2.92</v>
      </c>
      <c r="D2417" s="3">
        <v>247.0</v>
      </c>
      <c r="E2417" s="3">
        <v>3.54</v>
      </c>
      <c r="F2417" s="3">
        <v>5.76</v>
      </c>
      <c r="G2417" s="3">
        <v>119.17</v>
      </c>
      <c r="H2417" s="3">
        <v>263.16</v>
      </c>
      <c r="I2417" s="3">
        <v>414.23</v>
      </c>
      <c r="J2417" s="3">
        <v>582.56</v>
      </c>
      <c r="K2417" s="4">
        <f t="shared" si="1"/>
        <v>14234.6665</v>
      </c>
      <c r="L2417" s="4">
        <f t="shared" si="2"/>
        <v>4.285945161</v>
      </c>
    </row>
    <row r="2418">
      <c r="A2418" s="3" t="s">
        <v>149</v>
      </c>
      <c r="B2418" s="3">
        <v>22.9</v>
      </c>
      <c r="C2418" s="3">
        <v>3.04</v>
      </c>
      <c r="D2418" s="3">
        <v>247.0</v>
      </c>
      <c r="E2418" s="3">
        <v>3.74</v>
      </c>
      <c r="F2418" s="3">
        <v>6.05</v>
      </c>
      <c r="G2418" s="3">
        <v>122.1</v>
      </c>
      <c r="H2418" s="3">
        <v>262.58</v>
      </c>
      <c r="I2418" s="3">
        <v>402.9</v>
      </c>
      <c r="J2418" s="3">
        <v>515.24</v>
      </c>
      <c r="K2418" s="4">
        <f t="shared" si="1"/>
        <v>14945.0125</v>
      </c>
      <c r="L2418" s="4">
        <f t="shared" si="2"/>
        <v>4.082231447</v>
      </c>
    </row>
    <row r="2419">
      <c r="A2419" s="3" t="s">
        <v>149</v>
      </c>
      <c r="B2419" s="3">
        <v>22.9</v>
      </c>
      <c r="C2419" s="3">
        <v>3.17</v>
      </c>
      <c r="D2419" s="3">
        <v>247.0</v>
      </c>
      <c r="E2419" s="3">
        <v>5.11</v>
      </c>
      <c r="F2419" s="3">
        <v>6.34</v>
      </c>
      <c r="G2419" s="3">
        <v>125.13</v>
      </c>
      <c r="H2419" s="3">
        <v>261.72</v>
      </c>
      <c r="I2419" s="3">
        <v>390.98</v>
      </c>
      <c r="J2419" s="3">
        <v>447.13</v>
      </c>
      <c r="K2419" s="4">
        <f t="shared" si="1"/>
        <v>15697.7125</v>
      </c>
      <c r="L2419" s="4">
        <f t="shared" si="2"/>
        <v>3.886489831</v>
      </c>
    </row>
    <row r="2420">
      <c r="A2420" s="3" t="s">
        <v>149</v>
      </c>
      <c r="B2420" s="3">
        <v>22.9</v>
      </c>
      <c r="C2420" s="3">
        <v>3.3</v>
      </c>
      <c r="D2420" s="3">
        <v>247.0</v>
      </c>
      <c r="E2420" s="3">
        <v>3.63</v>
      </c>
      <c r="F2420" s="3">
        <v>6.65</v>
      </c>
      <c r="G2420" s="3">
        <v>128.05</v>
      </c>
      <c r="H2420" s="3">
        <v>260.64</v>
      </c>
      <c r="I2420" s="3">
        <v>379.43</v>
      </c>
      <c r="J2420" s="3">
        <v>390.04</v>
      </c>
      <c r="K2420" s="4">
        <f t="shared" si="1"/>
        <v>16441.025</v>
      </c>
      <c r="L2420" s="4">
        <f t="shared" si="2"/>
        <v>3.710778373</v>
      </c>
    </row>
    <row r="2421">
      <c r="A2421" s="3" t="s">
        <v>149</v>
      </c>
      <c r="B2421" s="3">
        <v>22.9</v>
      </c>
      <c r="C2421" s="3">
        <v>3.42</v>
      </c>
      <c r="D2421" s="3">
        <v>247.0</v>
      </c>
      <c r="E2421" s="3">
        <v>3.84</v>
      </c>
      <c r="F2421" s="3">
        <v>6.94</v>
      </c>
      <c r="G2421" s="3">
        <v>130.65</v>
      </c>
      <c r="H2421" s="3">
        <v>259.42</v>
      </c>
      <c r="I2421" s="3">
        <v>369.05</v>
      </c>
      <c r="J2421" s="3">
        <v>346.72</v>
      </c>
      <c r="K2421" s="4">
        <f t="shared" si="1"/>
        <v>17117.5861</v>
      </c>
      <c r="L2421" s="4">
        <f t="shared" si="2"/>
        <v>3.564112349</v>
      </c>
    </row>
    <row r="2422">
      <c r="A2422" s="3" t="s">
        <v>149</v>
      </c>
      <c r="B2422" s="3">
        <v>22.9</v>
      </c>
      <c r="C2422" s="3">
        <v>3.55</v>
      </c>
      <c r="D2422" s="3">
        <v>248.0</v>
      </c>
      <c r="E2422" s="3">
        <v>5.12</v>
      </c>
      <c r="F2422" s="3">
        <v>7.23</v>
      </c>
      <c r="G2422" s="3">
        <v>133.35</v>
      </c>
      <c r="H2422" s="3">
        <v>257.92</v>
      </c>
      <c r="I2422" s="3">
        <v>358.13</v>
      </c>
      <c r="J2422" s="3">
        <v>306.25</v>
      </c>
      <c r="K2422" s="4">
        <f t="shared" si="1"/>
        <v>17834.4954</v>
      </c>
      <c r="L2422" s="4">
        <f t="shared" si="2"/>
        <v>3.44859771</v>
      </c>
    </row>
    <row r="2423">
      <c r="A2423" s="3" t="s">
        <v>149</v>
      </c>
      <c r="B2423" s="3">
        <v>22.9</v>
      </c>
      <c r="C2423" s="3">
        <v>3.68</v>
      </c>
      <c r="D2423" s="3">
        <v>248.0</v>
      </c>
      <c r="E2423" s="3">
        <v>2.77</v>
      </c>
      <c r="F2423" s="3">
        <v>7.53</v>
      </c>
      <c r="G2423" s="3">
        <v>135.94</v>
      </c>
      <c r="H2423" s="3">
        <v>256.73</v>
      </c>
      <c r="I2423" s="3">
        <v>347.54</v>
      </c>
      <c r="J2423" s="3">
        <v>261.67</v>
      </c>
      <c r="K2423" s="4">
        <f t="shared" si="1"/>
        <v>18536.3845</v>
      </c>
      <c r="L2423" s="4">
        <f t="shared" si="2"/>
        <v>3.318014902</v>
      </c>
    </row>
    <row r="2424">
      <c r="A2424" s="3" t="s">
        <v>149</v>
      </c>
      <c r="B2424" s="3">
        <v>22.9</v>
      </c>
      <c r="C2424" s="3">
        <v>3.8</v>
      </c>
      <c r="D2424" s="3">
        <v>248.0</v>
      </c>
      <c r="E2424" s="3">
        <v>3.24</v>
      </c>
      <c r="F2424" s="3">
        <v>7.83</v>
      </c>
      <c r="G2424" s="3">
        <v>138.27</v>
      </c>
      <c r="H2424" s="3">
        <v>255.39</v>
      </c>
      <c r="I2424" s="3">
        <v>338.03</v>
      </c>
      <c r="J2424" s="3">
        <v>221.06</v>
      </c>
      <c r="K2424" s="4">
        <f t="shared" si="1"/>
        <v>19179.9018</v>
      </c>
      <c r="L2424" s="4">
        <f t="shared" si="2"/>
        <v>3.206690036</v>
      </c>
    </row>
    <row r="2425">
      <c r="A2425" s="3" t="s">
        <v>149</v>
      </c>
      <c r="B2425" s="3">
        <v>22.9</v>
      </c>
      <c r="C2425" s="3">
        <v>3.93</v>
      </c>
      <c r="D2425" s="3">
        <v>248.0</v>
      </c>
      <c r="E2425" s="3">
        <v>6.79</v>
      </c>
      <c r="F2425" s="3">
        <v>8.14</v>
      </c>
      <c r="G2425" s="3">
        <v>140.68</v>
      </c>
      <c r="H2425" s="3">
        <v>253.66</v>
      </c>
      <c r="I2425" s="3">
        <v>328.04</v>
      </c>
      <c r="J2425" s="3">
        <v>184.97</v>
      </c>
      <c r="K2425" s="4">
        <f t="shared" si="1"/>
        <v>19857.122</v>
      </c>
      <c r="L2425" s="4">
        <f t="shared" si="2"/>
        <v>3.097326994</v>
      </c>
    </row>
    <row r="2426">
      <c r="A2426" s="3" t="s">
        <v>149</v>
      </c>
      <c r="B2426" s="3">
        <v>22.9</v>
      </c>
      <c r="C2426" s="3">
        <v>4.06</v>
      </c>
      <c r="D2426" s="3">
        <v>248.0</v>
      </c>
      <c r="E2426" s="3">
        <v>8.39</v>
      </c>
      <c r="F2426" s="3">
        <v>8.44</v>
      </c>
      <c r="G2426" s="3">
        <v>143.0</v>
      </c>
      <c r="H2426" s="3">
        <v>251.85</v>
      </c>
      <c r="I2426" s="3">
        <v>318.34</v>
      </c>
      <c r="J2426" s="3">
        <v>152.68</v>
      </c>
      <c r="K2426" s="4">
        <f t="shared" si="1"/>
        <v>20520.2336</v>
      </c>
      <c r="L2426" s="4">
        <f t="shared" si="2"/>
        <v>2.997236835</v>
      </c>
    </row>
    <row r="2427">
      <c r="A2427" s="3" t="s">
        <v>149</v>
      </c>
      <c r="B2427" s="3">
        <v>22.9</v>
      </c>
      <c r="C2427" s="3">
        <v>4.18</v>
      </c>
      <c r="D2427" s="3">
        <v>248.0</v>
      </c>
      <c r="E2427" s="3">
        <v>2.73</v>
      </c>
      <c r="F2427" s="3">
        <v>8.74</v>
      </c>
      <c r="G2427" s="3">
        <v>145.04</v>
      </c>
      <c r="H2427" s="3">
        <v>249.97</v>
      </c>
      <c r="I2427" s="3">
        <v>309.63</v>
      </c>
      <c r="J2427" s="3">
        <v>127.51</v>
      </c>
      <c r="K2427" s="4">
        <f t="shared" si="1"/>
        <v>21112.9892</v>
      </c>
      <c r="L2427" s="4">
        <f t="shared" si="2"/>
        <v>2.913088214</v>
      </c>
    </row>
    <row r="2428">
      <c r="A2428" s="3" t="s">
        <v>149</v>
      </c>
      <c r="B2428" s="3">
        <v>22.9</v>
      </c>
      <c r="C2428" s="3">
        <v>4.31</v>
      </c>
      <c r="D2428" s="3">
        <v>248.0</v>
      </c>
      <c r="E2428" s="3">
        <v>13.7</v>
      </c>
      <c r="F2428" s="3">
        <v>9.04</v>
      </c>
      <c r="G2428" s="3">
        <v>147.17</v>
      </c>
      <c r="H2428" s="3">
        <v>247.82</v>
      </c>
      <c r="I2428" s="3">
        <v>300.48</v>
      </c>
      <c r="J2428" s="3">
        <v>105.36</v>
      </c>
      <c r="K2428" s="4">
        <f t="shared" si="1"/>
        <v>21740.7305</v>
      </c>
      <c r="L2428" s="4">
        <f t="shared" si="2"/>
        <v>2.828975779</v>
      </c>
    </row>
    <row r="2429">
      <c r="A2429" s="3" t="s">
        <v>149</v>
      </c>
      <c r="B2429" s="3">
        <v>22.9</v>
      </c>
      <c r="C2429" s="3">
        <v>4.44</v>
      </c>
      <c r="D2429" s="3">
        <v>248.0</v>
      </c>
      <c r="E2429" s="3">
        <v>4.89</v>
      </c>
      <c r="F2429" s="3">
        <v>9.34</v>
      </c>
      <c r="G2429" s="3">
        <v>149.24</v>
      </c>
      <c r="H2429" s="3">
        <v>245.63</v>
      </c>
      <c r="I2429" s="3">
        <v>291.59</v>
      </c>
      <c r="J2429" s="3">
        <v>85.3</v>
      </c>
      <c r="K2429" s="4">
        <f t="shared" si="1"/>
        <v>22359.8132</v>
      </c>
      <c r="L2429" s="4">
        <f t="shared" si="2"/>
        <v>2.750649098</v>
      </c>
    </row>
    <row r="2430">
      <c r="A2430" s="3" t="s">
        <v>149</v>
      </c>
      <c r="B2430" s="3">
        <v>22.9</v>
      </c>
      <c r="C2430" s="3">
        <v>4.56</v>
      </c>
      <c r="D2430" s="3">
        <v>248.0</v>
      </c>
      <c r="E2430" s="3">
        <v>5.71</v>
      </c>
      <c r="F2430" s="3">
        <v>9.66</v>
      </c>
      <c r="G2430" s="3">
        <v>151.08</v>
      </c>
      <c r="H2430" s="3">
        <v>243.5</v>
      </c>
      <c r="I2430" s="3">
        <v>283.61</v>
      </c>
      <c r="J2430" s="3">
        <v>69.26</v>
      </c>
      <c r="K2430" s="4">
        <f t="shared" si="1"/>
        <v>22918.482</v>
      </c>
      <c r="L2430" s="4">
        <f t="shared" si="2"/>
        <v>2.683598329</v>
      </c>
    </row>
    <row r="2431">
      <c r="A2431" s="3" t="s">
        <v>149</v>
      </c>
      <c r="B2431" s="3">
        <v>22.9</v>
      </c>
      <c r="C2431" s="3">
        <v>4.69</v>
      </c>
      <c r="D2431" s="3">
        <v>248.0</v>
      </c>
      <c r="E2431" s="3">
        <v>15.1</v>
      </c>
      <c r="F2431" s="3">
        <v>9.96</v>
      </c>
      <c r="G2431" s="3">
        <v>152.98</v>
      </c>
      <c r="H2431" s="3">
        <v>241.12</v>
      </c>
      <c r="I2431" s="3">
        <v>275.22</v>
      </c>
      <c r="J2431" s="3">
        <v>55.53</v>
      </c>
      <c r="K2431" s="4">
        <f t="shared" si="1"/>
        <v>23502.082</v>
      </c>
      <c r="L2431" s="4">
        <f t="shared" si="2"/>
        <v>2.616959638</v>
      </c>
    </row>
    <row r="2432">
      <c r="A2432" s="3" t="s">
        <v>149</v>
      </c>
      <c r="B2432" s="3">
        <v>22.9</v>
      </c>
      <c r="C2432" s="3">
        <v>4.82</v>
      </c>
      <c r="D2432" s="3">
        <v>248.0</v>
      </c>
      <c r="E2432" s="3">
        <v>10.5</v>
      </c>
      <c r="F2432" s="3">
        <v>10.27</v>
      </c>
      <c r="G2432" s="3">
        <v>154.8</v>
      </c>
      <c r="H2432" s="3">
        <v>238.76</v>
      </c>
      <c r="I2432" s="3">
        <v>267.1</v>
      </c>
      <c r="J2432" s="3">
        <v>44.24</v>
      </c>
      <c r="K2432" s="4">
        <f t="shared" si="1"/>
        <v>24068.5129</v>
      </c>
      <c r="L2432" s="4">
        <f t="shared" si="2"/>
        <v>2.555371836</v>
      </c>
    </row>
    <row r="2433">
      <c r="A2433" s="3" t="s">
        <v>149</v>
      </c>
      <c r="B2433" s="3">
        <v>22.9</v>
      </c>
      <c r="C2433" s="3">
        <v>4.94</v>
      </c>
      <c r="D2433" s="3">
        <v>248.0</v>
      </c>
      <c r="E2433" s="3">
        <v>1.58</v>
      </c>
      <c r="F2433" s="3">
        <v>10.63</v>
      </c>
      <c r="G2433" s="3">
        <v>156.43</v>
      </c>
      <c r="H2433" s="3">
        <v>236.51</v>
      </c>
      <c r="I2433" s="3">
        <v>259.78</v>
      </c>
      <c r="J2433" s="3">
        <v>33.76</v>
      </c>
      <c r="K2433" s="4">
        <f t="shared" si="1"/>
        <v>24583.3418</v>
      </c>
      <c r="L2433" s="4">
        <f t="shared" si="2"/>
        <v>2.501856765</v>
      </c>
    </row>
    <row r="2434">
      <c r="A2434" s="3" t="s">
        <v>149</v>
      </c>
      <c r="B2434" s="3">
        <v>22.9</v>
      </c>
      <c r="C2434" s="3">
        <v>4.99</v>
      </c>
      <c r="D2434" s="3">
        <v>248.0</v>
      </c>
      <c r="E2434" s="3">
        <v>4.77</v>
      </c>
      <c r="F2434" s="3">
        <v>10.73</v>
      </c>
      <c r="G2434" s="3">
        <v>157.09</v>
      </c>
      <c r="H2434" s="3">
        <v>235.57</v>
      </c>
      <c r="I2434" s="3">
        <v>256.79</v>
      </c>
      <c r="J2434" s="3">
        <v>30.21</v>
      </c>
      <c r="K2434" s="4">
        <f t="shared" si="1"/>
        <v>24792.401</v>
      </c>
      <c r="L2434" s="4">
        <f t="shared" si="2"/>
        <v>2.480760133</v>
      </c>
    </row>
    <row r="2435">
      <c r="A2435" s="3" t="s">
        <v>149</v>
      </c>
      <c r="B2435" s="3">
        <v>22.9</v>
      </c>
      <c r="C2435" s="3">
        <v>5.07</v>
      </c>
      <c r="D2435" s="3">
        <v>248.0</v>
      </c>
      <c r="E2435" s="3">
        <v>4.36</v>
      </c>
      <c r="F2435" s="3">
        <v>10.94</v>
      </c>
      <c r="G2435" s="3">
        <v>158.13</v>
      </c>
      <c r="H2435" s="3">
        <v>234.04</v>
      </c>
      <c r="I2435" s="3">
        <v>252.09</v>
      </c>
      <c r="J2435" s="3">
        <v>25.33</v>
      </c>
      <c r="K2435" s="4">
        <f t="shared" si="1"/>
        <v>25124.7805</v>
      </c>
      <c r="L2435" s="4">
        <f t="shared" si="2"/>
        <v>2.447941784</v>
      </c>
    </row>
    <row r="2436">
      <c r="A2436" s="3" t="s">
        <v>149</v>
      </c>
      <c r="B2436" s="3">
        <v>22.9</v>
      </c>
      <c r="C2436" s="3">
        <v>5.2</v>
      </c>
      <c r="D2436" s="3">
        <v>248.0</v>
      </c>
      <c r="E2436" s="3">
        <v>8.45</v>
      </c>
      <c r="F2436" s="3">
        <v>11.25</v>
      </c>
      <c r="G2436" s="3">
        <v>159.77</v>
      </c>
      <c r="H2436" s="3">
        <v>231.52</v>
      </c>
      <c r="I2436" s="3">
        <v>244.64</v>
      </c>
      <c r="J2436" s="3">
        <v>19.11</v>
      </c>
      <c r="K2436" s="4">
        <f t="shared" si="1"/>
        <v>25653.0154</v>
      </c>
      <c r="L2436" s="4">
        <f t="shared" si="2"/>
        <v>2.397534911</v>
      </c>
    </row>
    <row r="2437">
      <c r="A2437" s="3" t="s">
        <v>149</v>
      </c>
      <c r="B2437" s="3">
        <v>22.9</v>
      </c>
      <c r="C2437" s="3">
        <v>5.45</v>
      </c>
      <c r="D2437" s="3">
        <v>247.0</v>
      </c>
      <c r="E2437" s="3">
        <v>8.25</v>
      </c>
      <c r="F2437" s="3">
        <v>11.88</v>
      </c>
      <c r="G2437" s="3">
        <v>162.71</v>
      </c>
      <c r="H2437" s="3">
        <v>226.76</v>
      </c>
      <c r="I2437" s="3">
        <v>228.88</v>
      </c>
      <c r="J2437" s="3">
        <v>10.99</v>
      </c>
      <c r="K2437" s="4">
        <f t="shared" si="1"/>
        <v>26615.6785</v>
      </c>
      <c r="L2437" s="4">
        <f t="shared" si="2"/>
        <v>2.292220354</v>
      </c>
    </row>
    <row r="2438">
      <c r="A2438" s="3" t="s">
        <v>149</v>
      </c>
      <c r="B2438" s="3">
        <v>22.9</v>
      </c>
      <c r="C2438" s="3">
        <v>5.58</v>
      </c>
      <c r="D2438" s="3">
        <v>247.0</v>
      </c>
      <c r="E2438" s="3">
        <v>2.34</v>
      </c>
      <c r="F2438" s="3">
        <v>12.19</v>
      </c>
      <c r="G2438" s="3">
        <v>164.01</v>
      </c>
      <c r="H2438" s="3">
        <v>224.24</v>
      </c>
      <c r="I2438" s="3">
        <v>219.73</v>
      </c>
      <c r="J2438" s="3">
        <v>8.25</v>
      </c>
      <c r="K2438" s="4">
        <f t="shared" si="1"/>
        <v>27047.8762</v>
      </c>
      <c r="L2438" s="4">
        <f t="shared" si="2"/>
        <v>2.255592992</v>
      </c>
    </row>
    <row r="2439">
      <c r="A2439" s="3" t="s">
        <v>149</v>
      </c>
      <c r="B2439" s="3">
        <v>22.9</v>
      </c>
      <c r="C2439" s="3">
        <v>5.7</v>
      </c>
      <c r="D2439" s="3">
        <v>247.0</v>
      </c>
      <c r="E2439" s="3">
        <v>2.34</v>
      </c>
      <c r="F2439" s="3">
        <v>12.5</v>
      </c>
      <c r="G2439" s="3">
        <v>165.02</v>
      </c>
      <c r="H2439" s="3">
        <v>222.01</v>
      </c>
      <c r="I2439" s="3">
        <v>210.92</v>
      </c>
      <c r="J2439" s="3">
        <v>6.36</v>
      </c>
      <c r="K2439" s="4">
        <f t="shared" si="1"/>
        <v>27387.8504</v>
      </c>
      <c r="L2439" s="4">
        <f t="shared" si="2"/>
        <v>2.22759359</v>
      </c>
    </row>
    <row r="2440">
      <c r="A2440" s="3" t="s">
        <v>149</v>
      </c>
      <c r="B2440" s="3">
        <v>22.9</v>
      </c>
      <c r="C2440" s="3">
        <v>5.83</v>
      </c>
      <c r="D2440" s="3">
        <v>247.0</v>
      </c>
      <c r="E2440" s="3">
        <v>6.13</v>
      </c>
      <c r="F2440" s="3">
        <v>12.81</v>
      </c>
      <c r="G2440" s="3">
        <v>165.84</v>
      </c>
      <c r="H2440" s="3">
        <v>219.54</v>
      </c>
      <c r="I2440" s="3">
        <v>201.41</v>
      </c>
      <c r="J2440" s="3">
        <v>4.8</v>
      </c>
      <c r="K2440" s="4">
        <f t="shared" si="1"/>
        <v>27667.0017</v>
      </c>
      <c r="L2440" s="4">
        <f t="shared" si="2"/>
        <v>2.205117875</v>
      </c>
    </row>
    <row r="2441">
      <c r="A2441" s="3" t="s">
        <v>149</v>
      </c>
      <c r="B2441" s="3">
        <v>22.9</v>
      </c>
      <c r="C2441" s="3">
        <v>6.47</v>
      </c>
      <c r="D2441" s="3">
        <v>247.0</v>
      </c>
      <c r="E2441" s="3">
        <v>6.89</v>
      </c>
      <c r="F2441" s="3">
        <v>14.58</v>
      </c>
      <c r="G2441" s="3">
        <v>169.31</v>
      </c>
      <c r="H2441" s="3">
        <v>208.79</v>
      </c>
      <c r="I2441" s="3">
        <v>180.58</v>
      </c>
      <c r="J2441" s="3">
        <v>1.17</v>
      </c>
      <c r="K2441" s="4">
        <f t="shared" si="1"/>
        <v>28878.4525</v>
      </c>
      <c r="L2441" s="4">
        <f t="shared" si="2"/>
        <v>2.112613202</v>
      </c>
    </row>
    <row r="2442">
      <c r="A2442" s="3" t="s">
        <v>149</v>
      </c>
      <c r="B2442" s="3">
        <v>22.9</v>
      </c>
      <c r="C2442" s="3">
        <v>6.59</v>
      </c>
      <c r="D2442" s="3">
        <v>246.0</v>
      </c>
      <c r="E2442" s="3">
        <v>5.95</v>
      </c>
      <c r="F2442" s="3">
        <v>14.9</v>
      </c>
      <c r="G2442" s="3">
        <v>170.15</v>
      </c>
      <c r="H2442" s="3">
        <v>206.9</v>
      </c>
      <c r="I2442" s="3">
        <v>177.24</v>
      </c>
      <c r="J2442" s="3">
        <v>0.89</v>
      </c>
      <c r="K2442" s="4">
        <f t="shared" si="1"/>
        <v>29173.0325</v>
      </c>
      <c r="L2442" s="4">
        <f t="shared" si="2"/>
        <v>2.074381537</v>
      </c>
    </row>
    <row r="2443">
      <c r="A2443" s="3" t="s">
        <v>149</v>
      </c>
      <c r="B2443" s="3">
        <v>22.9</v>
      </c>
      <c r="C2443" s="3">
        <v>6.66</v>
      </c>
      <c r="D2443" s="3">
        <v>246.0</v>
      </c>
      <c r="E2443" s="3">
        <v>2.29</v>
      </c>
      <c r="F2443" s="3">
        <v>15.11</v>
      </c>
      <c r="G2443" s="3">
        <v>170.65</v>
      </c>
      <c r="H2443" s="3">
        <v>205.85</v>
      </c>
      <c r="I2443" s="3">
        <v>175.39</v>
      </c>
      <c r="J2443" s="3">
        <v>0.77</v>
      </c>
      <c r="K2443" s="4">
        <f t="shared" si="1"/>
        <v>29349.7346</v>
      </c>
      <c r="L2443" s="4">
        <f t="shared" si="2"/>
        <v>2.06189258</v>
      </c>
    </row>
    <row r="2444">
      <c r="A2444" s="3" t="s">
        <v>149</v>
      </c>
      <c r="B2444" s="3">
        <v>22.9</v>
      </c>
      <c r="C2444" s="3">
        <v>6.72</v>
      </c>
      <c r="D2444" s="3">
        <v>246.0</v>
      </c>
      <c r="E2444" s="3">
        <v>4.73</v>
      </c>
      <c r="F2444" s="3">
        <v>15.31</v>
      </c>
      <c r="G2444" s="3">
        <v>171.08</v>
      </c>
      <c r="H2444" s="3">
        <v>204.88</v>
      </c>
      <c r="I2444" s="3">
        <v>173.85</v>
      </c>
      <c r="J2444" s="3">
        <v>0.67</v>
      </c>
      <c r="K2444" s="4">
        <f t="shared" si="1"/>
        <v>29502.7625</v>
      </c>
      <c r="L2444" s="4">
        <f t="shared" si="2"/>
        <v>2.051197748</v>
      </c>
    </row>
    <row r="2445">
      <c r="A2445" s="3" t="s">
        <v>149</v>
      </c>
      <c r="B2445" s="3">
        <v>22.9</v>
      </c>
      <c r="C2445" s="3">
        <v>6.85</v>
      </c>
      <c r="D2445" s="3">
        <v>246.0</v>
      </c>
      <c r="E2445" s="3">
        <v>3.02</v>
      </c>
      <c r="F2445" s="3">
        <v>15.63</v>
      </c>
      <c r="G2445" s="3">
        <v>172.07</v>
      </c>
      <c r="H2445" s="3">
        <v>202.98</v>
      </c>
      <c r="I2445" s="3">
        <v>170.68</v>
      </c>
      <c r="J2445" s="3">
        <v>0.51</v>
      </c>
      <c r="K2445" s="4">
        <f t="shared" si="1"/>
        <v>29852.3818</v>
      </c>
      <c r="L2445" s="4">
        <f t="shared" si="2"/>
        <v>2.02717493</v>
      </c>
    </row>
    <row r="2446">
      <c r="A2446" s="3" t="s">
        <v>149</v>
      </c>
      <c r="B2446" s="3">
        <v>22.9</v>
      </c>
      <c r="C2446" s="3">
        <v>6.97</v>
      </c>
      <c r="D2446" s="3">
        <v>246.0</v>
      </c>
      <c r="E2446" s="3">
        <v>5.81</v>
      </c>
      <c r="F2446" s="3">
        <v>16.04</v>
      </c>
      <c r="G2446" s="3">
        <v>173.03</v>
      </c>
      <c r="H2446" s="3">
        <v>201.26</v>
      </c>
      <c r="I2446" s="3">
        <v>167.96</v>
      </c>
      <c r="J2446" s="3">
        <v>0.39</v>
      </c>
      <c r="K2446" s="4">
        <f t="shared" si="1"/>
        <v>30196.6625</v>
      </c>
      <c r="L2446" s="4">
        <f t="shared" si="2"/>
        <v>2.004062535</v>
      </c>
    </row>
    <row r="2447">
      <c r="A2447" s="3" t="s">
        <v>149</v>
      </c>
      <c r="B2447" s="3">
        <v>22.9</v>
      </c>
      <c r="C2447" s="3">
        <v>7.1</v>
      </c>
      <c r="D2447" s="3">
        <v>246.0</v>
      </c>
      <c r="E2447" s="3">
        <v>6.32</v>
      </c>
      <c r="F2447" s="3">
        <v>16.36</v>
      </c>
      <c r="G2447" s="3">
        <v>174.15</v>
      </c>
      <c r="H2447" s="3">
        <v>199.41</v>
      </c>
      <c r="I2447" s="3">
        <v>164.62</v>
      </c>
      <c r="J2447" s="3">
        <v>0.29</v>
      </c>
      <c r="K2447" s="4">
        <f t="shared" si="1"/>
        <v>30595.8721</v>
      </c>
      <c r="L2447" s="4">
        <f t="shared" si="2"/>
        <v>1.977913877</v>
      </c>
    </row>
    <row r="2448">
      <c r="A2448" s="3" t="s">
        <v>149</v>
      </c>
      <c r="B2448" s="3">
        <v>22.9</v>
      </c>
      <c r="C2448" s="3">
        <v>7.23</v>
      </c>
      <c r="D2448" s="3">
        <v>246.0</v>
      </c>
      <c r="E2448" s="3">
        <v>8.92</v>
      </c>
      <c r="F2448" s="3">
        <v>16.67</v>
      </c>
      <c r="G2448" s="3">
        <v>175.27</v>
      </c>
      <c r="H2448" s="3">
        <v>197.66</v>
      </c>
      <c r="I2448" s="3">
        <v>160.61</v>
      </c>
      <c r="J2448" s="3">
        <v>0.22</v>
      </c>
      <c r="K2448" s="4">
        <f t="shared" si="1"/>
        <v>30997.4618</v>
      </c>
      <c r="L2448" s="4">
        <f t="shared" si="2"/>
        <v>1.952288881</v>
      </c>
    </row>
    <row r="2449">
      <c r="A2449" s="3" t="s">
        <v>149</v>
      </c>
      <c r="B2449" s="3">
        <v>22.9</v>
      </c>
      <c r="C2449" s="3">
        <v>8.32</v>
      </c>
      <c r="D2449" s="3">
        <v>246.0</v>
      </c>
      <c r="E2449" s="3">
        <v>2.13</v>
      </c>
      <c r="F2449" s="3">
        <v>19.69</v>
      </c>
      <c r="G2449" s="3">
        <v>182.58</v>
      </c>
      <c r="H2449" s="3">
        <v>184.24</v>
      </c>
      <c r="I2449" s="3">
        <v>121.4</v>
      </c>
      <c r="J2449" s="3">
        <v>0.02</v>
      </c>
      <c r="K2449" s="4">
        <f t="shared" si="1"/>
        <v>33723.1525</v>
      </c>
      <c r="L2449" s="4">
        <f t="shared" si="2"/>
        <v>1.794494154</v>
      </c>
    </row>
    <row r="2450">
      <c r="A2450" s="3" t="s">
        <v>149</v>
      </c>
      <c r="B2450" s="3">
        <v>22.9</v>
      </c>
      <c r="C2450" s="3">
        <v>10.0</v>
      </c>
      <c r="D2450" s="3">
        <v>245.0</v>
      </c>
      <c r="E2450" s="3">
        <v>2.18</v>
      </c>
      <c r="F2450" s="3">
        <v>23.65</v>
      </c>
      <c r="G2450" s="3">
        <v>183.56</v>
      </c>
      <c r="H2450" s="3">
        <v>168.07</v>
      </c>
      <c r="I2450" s="3">
        <v>79.12</v>
      </c>
      <c r="J2450" s="3">
        <v>0.0</v>
      </c>
      <c r="K2450" s="4">
        <f t="shared" si="1"/>
        <v>34253.5961</v>
      </c>
      <c r="L2450" s="4">
        <f t="shared" si="2"/>
        <v>1.752370753</v>
      </c>
    </row>
    <row r="2451">
      <c r="A2451" s="3" t="s">
        <v>149</v>
      </c>
      <c r="B2451" s="3">
        <v>22.9</v>
      </c>
      <c r="C2451" s="3">
        <v>11.61</v>
      </c>
      <c r="D2451" s="3">
        <v>245.0</v>
      </c>
      <c r="E2451" s="3">
        <v>0.94</v>
      </c>
      <c r="F2451" s="3">
        <v>26.98</v>
      </c>
      <c r="G2451" s="3">
        <v>182.9</v>
      </c>
      <c r="H2451" s="3">
        <v>155.97</v>
      </c>
      <c r="I2451" s="3">
        <v>46.64</v>
      </c>
      <c r="J2451" s="3">
        <v>0.0</v>
      </c>
      <c r="K2451" s="4">
        <f t="shared" si="1"/>
        <v>34180.3304</v>
      </c>
      <c r="L2451" s="4">
        <f t="shared" si="2"/>
        <v>1.756126968</v>
      </c>
    </row>
    <row r="2452">
      <c r="A2452" s="3" t="s">
        <v>149</v>
      </c>
      <c r="B2452" s="3">
        <v>22.9</v>
      </c>
      <c r="C2452" s="3">
        <v>13.35</v>
      </c>
      <c r="D2452" s="3">
        <v>246.0</v>
      </c>
      <c r="E2452" s="3">
        <v>2.02</v>
      </c>
      <c r="F2452" s="3">
        <v>29.27</v>
      </c>
      <c r="G2452" s="3">
        <v>173.27</v>
      </c>
      <c r="H2452" s="3">
        <v>145.45</v>
      </c>
      <c r="I2452" s="3">
        <v>28.47</v>
      </c>
      <c r="J2452" s="3">
        <v>0.0</v>
      </c>
      <c r="K2452" s="4">
        <f t="shared" si="1"/>
        <v>30879.2258</v>
      </c>
      <c r="L2452" s="4">
        <f t="shared" si="2"/>
        <v>1.95976416</v>
      </c>
    </row>
    <row r="2453">
      <c r="A2453" s="3" t="s">
        <v>149</v>
      </c>
      <c r="B2453" s="3">
        <v>22.9</v>
      </c>
      <c r="C2453" s="3">
        <v>14.98</v>
      </c>
      <c r="D2453" s="3">
        <v>245.0</v>
      </c>
      <c r="E2453" s="3">
        <v>1.33</v>
      </c>
      <c r="F2453" s="3">
        <v>30.52</v>
      </c>
      <c r="G2453" s="3">
        <v>164.53</v>
      </c>
      <c r="H2453" s="3">
        <v>137.31</v>
      </c>
      <c r="I2453" s="3">
        <v>21.41</v>
      </c>
      <c r="J2453" s="3">
        <v>0.0</v>
      </c>
      <c r="K2453" s="4">
        <f t="shared" si="1"/>
        <v>28001.5913</v>
      </c>
      <c r="L2453" s="4">
        <f t="shared" si="2"/>
        <v>2.143628173</v>
      </c>
    </row>
    <row r="2454">
      <c r="A2454" s="3" t="s">
        <v>149</v>
      </c>
      <c r="B2454" s="3">
        <v>22.9</v>
      </c>
      <c r="C2454" s="3">
        <v>16.61</v>
      </c>
      <c r="D2454" s="3">
        <v>245.0</v>
      </c>
      <c r="E2454" s="3">
        <v>1.36</v>
      </c>
      <c r="F2454" s="3">
        <v>32.19</v>
      </c>
      <c r="G2454" s="3">
        <v>157.52</v>
      </c>
      <c r="H2454" s="3">
        <v>130.4</v>
      </c>
      <c r="I2454" s="3">
        <v>17.84</v>
      </c>
      <c r="J2454" s="3">
        <v>0.0</v>
      </c>
      <c r="K2454" s="4">
        <f t="shared" si="1"/>
        <v>25848.7465</v>
      </c>
      <c r="L2454" s="4">
        <f t="shared" si="2"/>
        <v>2.322162895</v>
      </c>
    </row>
    <row r="2455">
      <c r="A2455" s="3" t="s">
        <v>149</v>
      </c>
      <c r="B2455" s="3">
        <v>22.9</v>
      </c>
      <c r="C2455" s="3">
        <v>18.34</v>
      </c>
      <c r="D2455" s="3">
        <v>245.0</v>
      </c>
      <c r="E2455" s="3">
        <v>1.59</v>
      </c>
      <c r="F2455" s="3">
        <v>34.17</v>
      </c>
      <c r="G2455" s="3">
        <v>152.73</v>
      </c>
      <c r="H2455" s="3">
        <v>124.1</v>
      </c>
      <c r="I2455" s="3">
        <v>16.28</v>
      </c>
      <c r="J2455" s="3">
        <v>0.0</v>
      </c>
      <c r="K2455" s="4">
        <f t="shared" si="1"/>
        <v>24494.0418</v>
      </c>
      <c r="L2455" s="4">
        <f t="shared" si="2"/>
        <v>2.450595965</v>
      </c>
    </row>
    <row r="2456">
      <c r="A2456" s="3" t="s">
        <v>149</v>
      </c>
      <c r="B2456" s="3">
        <v>22.9</v>
      </c>
      <c r="C2456" s="3">
        <v>19.97</v>
      </c>
      <c r="D2456" s="3">
        <v>245.0</v>
      </c>
      <c r="E2456" s="3">
        <v>2.03</v>
      </c>
      <c r="F2456" s="3">
        <v>36.46</v>
      </c>
      <c r="G2456" s="3">
        <v>150.07</v>
      </c>
      <c r="H2456" s="3">
        <v>118.93</v>
      </c>
      <c r="I2456" s="3">
        <v>12.88</v>
      </c>
      <c r="J2456" s="3">
        <v>0.0</v>
      </c>
      <c r="K2456" s="4">
        <f t="shared" si="1"/>
        <v>23850.3365</v>
      </c>
      <c r="L2456" s="4">
        <f t="shared" si="2"/>
        <v>2.51673598</v>
      </c>
    </row>
    <row r="2457">
      <c r="A2457" s="3" t="s">
        <v>149</v>
      </c>
      <c r="B2457" s="3">
        <v>22.9</v>
      </c>
      <c r="C2457" s="3">
        <v>21.6</v>
      </c>
      <c r="D2457" s="3">
        <v>245.0</v>
      </c>
      <c r="E2457" s="3">
        <v>2.36</v>
      </c>
      <c r="F2457" s="3">
        <v>38.96</v>
      </c>
      <c r="G2457" s="3">
        <v>146.26</v>
      </c>
      <c r="H2457" s="3">
        <v>114.35</v>
      </c>
      <c r="I2457" s="3">
        <v>10.52</v>
      </c>
      <c r="J2457" s="3">
        <v>0.0</v>
      </c>
      <c r="K2457" s="4">
        <f t="shared" si="1"/>
        <v>22909.8692</v>
      </c>
      <c r="L2457" s="4">
        <f t="shared" si="2"/>
        <v>2.620049878</v>
      </c>
    </row>
    <row r="2458">
      <c r="A2458" s="3" t="s">
        <v>149</v>
      </c>
      <c r="B2458" s="3">
        <v>22.9</v>
      </c>
      <c r="C2458" s="3">
        <v>23.33</v>
      </c>
      <c r="D2458" s="3">
        <v>244.0</v>
      </c>
      <c r="E2458" s="3">
        <v>4.61</v>
      </c>
      <c r="F2458" s="3">
        <v>41.25</v>
      </c>
      <c r="G2458" s="3">
        <v>143.04</v>
      </c>
      <c r="H2458" s="3">
        <v>110.03</v>
      </c>
      <c r="I2458" s="3">
        <v>8.66</v>
      </c>
      <c r="J2458" s="3">
        <v>0.0</v>
      </c>
      <c r="K2458" s="4">
        <f t="shared" si="1"/>
        <v>22162.0041</v>
      </c>
      <c r="L2458" s="4">
        <f t="shared" si="2"/>
        <v>2.686399647</v>
      </c>
    </row>
    <row r="2459">
      <c r="A2459" s="3" t="s">
        <v>149</v>
      </c>
      <c r="B2459" s="3">
        <v>22.9</v>
      </c>
      <c r="C2459" s="3">
        <v>26.7</v>
      </c>
      <c r="D2459" s="3">
        <v>243.0</v>
      </c>
      <c r="E2459" s="3">
        <v>10.6</v>
      </c>
      <c r="F2459" s="3">
        <v>44.17</v>
      </c>
      <c r="G2459" s="3">
        <v>136.92</v>
      </c>
      <c r="H2459" s="3">
        <v>102.85</v>
      </c>
      <c r="I2459" s="3">
        <v>5.39</v>
      </c>
      <c r="J2459" s="3">
        <v>0.0</v>
      </c>
      <c r="K2459" s="4">
        <f t="shared" si="1"/>
        <v>20698.0753</v>
      </c>
      <c r="L2459" s="4">
        <f t="shared" si="2"/>
        <v>2.852873958</v>
      </c>
    </row>
    <row r="2460">
      <c r="A2460" s="3" t="s">
        <v>149</v>
      </c>
      <c r="B2460" s="3">
        <v>22.9</v>
      </c>
      <c r="C2460" s="3">
        <v>29.95</v>
      </c>
      <c r="D2460" s="3">
        <v>239.0</v>
      </c>
      <c r="E2460" s="3">
        <v>17.0</v>
      </c>
      <c r="F2460" s="3">
        <v>44.8</v>
      </c>
      <c r="G2460" s="3">
        <v>130.32</v>
      </c>
      <c r="H2460" s="3">
        <v>97.11</v>
      </c>
      <c r="I2460" s="3">
        <v>3.23</v>
      </c>
      <c r="J2460" s="3">
        <v>0.0</v>
      </c>
      <c r="K2460" s="4">
        <f t="shared" si="1"/>
        <v>18990.3424</v>
      </c>
      <c r="L2460" s="4">
        <f t="shared" si="2"/>
        <v>3.007897319</v>
      </c>
    </row>
    <row r="2461">
      <c r="A2461" s="3" t="s">
        <v>149</v>
      </c>
      <c r="B2461" s="3">
        <v>22.9</v>
      </c>
      <c r="C2461" s="3">
        <v>33.32</v>
      </c>
      <c r="D2461" s="3">
        <v>231.0</v>
      </c>
      <c r="E2461" s="3">
        <v>18.3</v>
      </c>
      <c r="F2461" s="3">
        <v>44.07</v>
      </c>
      <c r="G2461" s="3">
        <v>123.68</v>
      </c>
      <c r="H2461" s="3">
        <v>92.07</v>
      </c>
      <c r="I2461" s="3">
        <v>2.03</v>
      </c>
      <c r="J2461" s="3">
        <v>0.0</v>
      </c>
      <c r="K2461" s="4">
        <f t="shared" si="1"/>
        <v>17238.9073</v>
      </c>
      <c r="L2461" s="4">
        <f t="shared" si="2"/>
        <v>3.095381805</v>
      </c>
    </row>
    <row r="2462">
      <c r="A2462" s="3" t="s">
        <v>149</v>
      </c>
      <c r="B2462" s="3">
        <v>22.9</v>
      </c>
      <c r="C2462" s="3">
        <v>36.68</v>
      </c>
      <c r="D2462" s="3">
        <v>219.0</v>
      </c>
      <c r="E2462" s="3">
        <v>12.1</v>
      </c>
      <c r="F2462" s="3">
        <v>44.17</v>
      </c>
      <c r="G2462" s="3">
        <v>117.57</v>
      </c>
      <c r="H2462" s="3">
        <v>87.75</v>
      </c>
      <c r="I2462" s="3">
        <v>1.23</v>
      </c>
      <c r="J2462" s="3">
        <v>0.0</v>
      </c>
      <c r="K2462" s="4">
        <f t="shared" si="1"/>
        <v>15773.6938</v>
      </c>
      <c r="L2462" s="4">
        <f t="shared" si="2"/>
        <v>3.040568722</v>
      </c>
    </row>
    <row r="2463">
      <c r="A2463" s="3" t="s">
        <v>149</v>
      </c>
      <c r="B2463" s="3">
        <v>22.9</v>
      </c>
      <c r="C2463" s="3">
        <v>39.94</v>
      </c>
      <c r="D2463" s="3">
        <v>210.0</v>
      </c>
      <c r="E2463" s="3">
        <v>7.5</v>
      </c>
      <c r="F2463" s="3">
        <v>43.75</v>
      </c>
      <c r="G2463" s="3">
        <v>111.91</v>
      </c>
      <c r="H2463" s="3">
        <v>84.09</v>
      </c>
      <c r="I2463" s="3">
        <v>0.83</v>
      </c>
      <c r="J2463" s="3">
        <v>0.0</v>
      </c>
      <c r="K2463" s="4">
        <f t="shared" si="1"/>
        <v>14437.9106</v>
      </c>
      <c r="L2463" s="4">
        <f t="shared" si="2"/>
        <v>3.054458586</v>
      </c>
    </row>
    <row r="2464">
      <c r="A2464" s="3" t="s">
        <v>149</v>
      </c>
      <c r="B2464" s="3">
        <v>22.9</v>
      </c>
      <c r="C2464" s="3">
        <v>43.3</v>
      </c>
      <c r="D2464" s="3">
        <v>210.0</v>
      </c>
      <c r="E2464" s="3">
        <v>3.56</v>
      </c>
      <c r="F2464" s="3">
        <v>43.34</v>
      </c>
      <c r="G2464" s="3">
        <v>107.39</v>
      </c>
      <c r="H2464" s="3">
        <v>80.76</v>
      </c>
      <c r="I2464" s="3">
        <v>0.78</v>
      </c>
      <c r="J2464" s="3">
        <v>0.0</v>
      </c>
      <c r="K2464" s="4">
        <f t="shared" si="1"/>
        <v>13410.9677</v>
      </c>
      <c r="L2464" s="4">
        <f t="shared" si="2"/>
        <v>3.288353308</v>
      </c>
    </row>
    <row r="2465">
      <c r="A2465" s="3" t="s">
        <v>149</v>
      </c>
      <c r="B2465" s="3">
        <v>22.9</v>
      </c>
      <c r="C2465" s="3">
        <v>46.67</v>
      </c>
      <c r="D2465" s="3">
        <v>212.0</v>
      </c>
      <c r="E2465" s="3">
        <v>2.64</v>
      </c>
      <c r="F2465" s="3">
        <v>44.9</v>
      </c>
      <c r="G2465" s="3">
        <v>104.0</v>
      </c>
      <c r="H2465" s="3">
        <v>77.79</v>
      </c>
      <c r="I2465" s="3">
        <v>0.53</v>
      </c>
      <c r="J2465" s="3">
        <v>0.0</v>
      </c>
      <c r="K2465" s="4">
        <f t="shared" si="1"/>
        <v>12832.01</v>
      </c>
      <c r="L2465" s="4">
        <f t="shared" si="2"/>
        <v>3.502491036</v>
      </c>
    </row>
    <row r="2466">
      <c r="A2466" s="3" t="s">
        <v>149</v>
      </c>
      <c r="B2466" s="3">
        <v>22.9</v>
      </c>
      <c r="C2466" s="3">
        <v>49.92</v>
      </c>
      <c r="D2466" s="3">
        <v>213.0</v>
      </c>
      <c r="E2466" s="3">
        <v>6.5</v>
      </c>
      <c r="F2466" s="3">
        <v>46.88</v>
      </c>
      <c r="G2466" s="3">
        <v>101.06</v>
      </c>
      <c r="H2466" s="3">
        <v>75.22</v>
      </c>
      <c r="I2466" s="3">
        <v>0.32</v>
      </c>
      <c r="J2466" s="3">
        <v>0.0</v>
      </c>
      <c r="K2466" s="4">
        <f t="shared" si="1"/>
        <v>12410.858</v>
      </c>
      <c r="L2466" s="4">
        <f t="shared" si="2"/>
        <v>3.655589323</v>
      </c>
    </row>
    <row r="2467">
      <c r="A2467" s="3" t="s">
        <v>149</v>
      </c>
      <c r="B2467" s="3">
        <v>22.9</v>
      </c>
      <c r="C2467" s="3">
        <v>53.29</v>
      </c>
      <c r="D2467" s="3">
        <v>218.0</v>
      </c>
      <c r="E2467" s="3">
        <v>6.53</v>
      </c>
      <c r="F2467" s="3">
        <v>47.82</v>
      </c>
      <c r="G2467" s="3">
        <v>96.26</v>
      </c>
      <c r="H2467" s="3">
        <v>72.8</v>
      </c>
      <c r="I2467" s="3">
        <v>0.0</v>
      </c>
      <c r="J2467" s="3">
        <v>0.0</v>
      </c>
      <c r="K2467" s="4">
        <f t="shared" si="1"/>
        <v>11552.74</v>
      </c>
      <c r="L2467" s="4">
        <f t="shared" si="2"/>
        <v>4.113656154</v>
      </c>
    </row>
    <row r="2468">
      <c r="A2468" s="3" t="s">
        <v>150</v>
      </c>
      <c r="B2468" s="3">
        <v>9.4</v>
      </c>
      <c r="C2468" s="3">
        <v>0.68</v>
      </c>
      <c r="D2468" s="3">
        <v>20.5</v>
      </c>
      <c r="E2468" s="3">
        <v>2.47</v>
      </c>
      <c r="F2468" s="3">
        <v>1.03</v>
      </c>
      <c r="G2468" s="3">
        <v>19.12</v>
      </c>
      <c r="H2468" s="3">
        <v>0.0</v>
      </c>
      <c r="I2468" s="3">
        <v>63.16</v>
      </c>
      <c r="J2468" s="3">
        <v>0.0</v>
      </c>
      <c r="K2468" s="4">
        <f t="shared" si="1"/>
        <v>366.6353</v>
      </c>
      <c r="L2468" s="4">
        <f t="shared" si="2"/>
        <v>1.146234419</v>
      </c>
    </row>
    <row r="2469">
      <c r="A2469" s="3" t="s">
        <v>150</v>
      </c>
      <c r="B2469" s="3">
        <v>9.4</v>
      </c>
      <c r="C2469" s="3">
        <v>1.37</v>
      </c>
      <c r="D2469" s="3">
        <v>34.6</v>
      </c>
      <c r="E2469" s="3">
        <v>2.45</v>
      </c>
      <c r="F2469" s="3">
        <v>11.15</v>
      </c>
      <c r="G2469" s="3">
        <v>29.14</v>
      </c>
      <c r="H2469" s="3">
        <v>0.0</v>
      </c>
      <c r="I2469" s="3">
        <v>33.43</v>
      </c>
      <c r="J2469" s="3">
        <v>0.0</v>
      </c>
      <c r="K2469" s="4">
        <f t="shared" si="1"/>
        <v>973.4621</v>
      </c>
      <c r="L2469" s="4">
        <f t="shared" si="2"/>
        <v>1.229796209</v>
      </c>
    </row>
    <row r="2470">
      <c r="A2470" s="3" t="s">
        <v>150</v>
      </c>
      <c r="B2470" s="3">
        <v>9.4</v>
      </c>
      <c r="C2470" s="3">
        <v>2.05</v>
      </c>
      <c r="D2470" s="3">
        <v>46.0</v>
      </c>
      <c r="E2470" s="3">
        <v>2.45</v>
      </c>
      <c r="F2470" s="3">
        <v>16.87</v>
      </c>
      <c r="G2470" s="3">
        <v>32.19</v>
      </c>
      <c r="H2470" s="3">
        <v>0.0</v>
      </c>
      <c r="I2470" s="3">
        <v>19.96</v>
      </c>
      <c r="J2470" s="3">
        <v>0.0</v>
      </c>
      <c r="K2470" s="4">
        <f t="shared" si="1"/>
        <v>1320.793</v>
      </c>
      <c r="L2470" s="4">
        <f t="shared" si="2"/>
        <v>1.602067849</v>
      </c>
    </row>
    <row r="2471">
      <c r="A2471" s="3" t="s">
        <v>150</v>
      </c>
      <c r="B2471" s="3">
        <v>9.4</v>
      </c>
      <c r="C2471" s="3">
        <v>2.74</v>
      </c>
      <c r="D2471" s="3">
        <v>51.8</v>
      </c>
      <c r="E2471" s="3">
        <v>2.46</v>
      </c>
      <c r="F2471" s="3">
        <v>20.26</v>
      </c>
      <c r="G2471" s="3">
        <v>33.36</v>
      </c>
      <c r="H2471" s="3">
        <v>0.0</v>
      </c>
      <c r="I2471" s="3">
        <v>12.1</v>
      </c>
      <c r="J2471" s="3">
        <v>0.0</v>
      </c>
      <c r="K2471" s="4">
        <f t="shared" si="1"/>
        <v>1523.3572</v>
      </c>
      <c r="L2471" s="4">
        <f t="shared" si="2"/>
        <v>1.761399099</v>
      </c>
    </row>
    <row r="2472">
      <c r="A2472" s="3" t="s">
        <v>150</v>
      </c>
      <c r="B2472" s="3">
        <v>9.4</v>
      </c>
      <c r="C2472" s="3">
        <v>3.42</v>
      </c>
      <c r="D2472" s="3">
        <v>56.8</v>
      </c>
      <c r="E2472" s="3">
        <v>2.44</v>
      </c>
      <c r="F2472" s="3">
        <v>21.81</v>
      </c>
      <c r="G2472" s="3">
        <v>33.94</v>
      </c>
      <c r="H2472" s="3">
        <v>0.0</v>
      </c>
      <c r="I2472" s="3">
        <v>8.99</v>
      </c>
      <c r="J2472" s="3">
        <v>0.0</v>
      </c>
      <c r="K2472" s="4">
        <f t="shared" si="1"/>
        <v>1627.5997</v>
      </c>
      <c r="L2472" s="4">
        <f t="shared" si="2"/>
        <v>1.982207296</v>
      </c>
    </row>
    <row r="2473">
      <c r="A2473" s="3" t="s">
        <v>150</v>
      </c>
      <c r="B2473" s="3">
        <v>9.4</v>
      </c>
      <c r="C2473" s="3">
        <v>4.11</v>
      </c>
      <c r="D2473" s="3">
        <v>61.4</v>
      </c>
      <c r="E2473" s="3">
        <v>2.44</v>
      </c>
      <c r="F2473" s="3">
        <v>23.37</v>
      </c>
      <c r="G2473" s="3">
        <v>34.3</v>
      </c>
      <c r="H2473" s="3">
        <v>0.0</v>
      </c>
      <c r="I2473" s="3">
        <v>5.91</v>
      </c>
      <c r="J2473" s="3">
        <v>0.0</v>
      </c>
      <c r="K2473" s="4">
        <f t="shared" si="1"/>
        <v>1722.6469</v>
      </c>
      <c r="L2473" s="4">
        <f t="shared" si="2"/>
        <v>2.188469384</v>
      </c>
    </row>
    <row r="2474">
      <c r="A2474" s="3" t="s">
        <v>27</v>
      </c>
      <c r="B2474" s="3">
        <v>21.3</v>
      </c>
      <c r="C2474" s="3">
        <v>1.03</v>
      </c>
      <c r="D2474" s="3">
        <v>39.15</v>
      </c>
      <c r="E2474" s="3">
        <v>4.06</v>
      </c>
      <c r="F2474" s="3">
        <v>3.65</v>
      </c>
      <c r="G2474" s="3">
        <v>21.66</v>
      </c>
      <c r="H2474" s="3">
        <v>0.0</v>
      </c>
      <c r="I2474" s="3">
        <v>30.68</v>
      </c>
      <c r="J2474" s="3">
        <v>0.0</v>
      </c>
      <c r="K2474" s="4">
        <f t="shared" si="1"/>
        <v>482.4781</v>
      </c>
      <c r="L2474" s="4">
        <f t="shared" si="2"/>
        <v>3.176771132</v>
      </c>
    </row>
    <row r="2475">
      <c r="A2475" s="3" t="s">
        <v>27</v>
      </c>
      <c r="B2475" s="3">
        <v>21.3</v>
      </c>
      <c r="C2475" s="3">
        <v>2.07</v>
      </c>
      <c r="D2475" s="3">
        <v>49.15</v>
      </c>
      <c r="E2475" s="3">
        <v>1.65</v>
      </c>
      <c r="F2475" s="3">
        <v>7.45</v>
      </c>
      <c r="G2475" s="3">
        <v>27.59</v>
      </c>
      <c r="H2475" s="3">
        <v>0.0</v>
      </c>
      <c r="I2475" s="3">
        <v>10.3</v>
      </c>
      <c r="J2475" s="3">
        <v>0.0</v>
      </c>
      <c r="K2475" s="4">
        <f t="shared" si="1"/>
        <v>816.7106</v>
      </c>
      <c r="L2475" s="4">
        <f t="shared" si="2"/>
        <v>2.95786843</v>
      </c>
    </row>
    <row r="2476">
      <c r="A2476" s="3" t="s">
        <v>27</v>
      </c>
      <c r="B2476" s="3">
        <v>21.3</v>
      </c>
      <c r="C2476" s="3">
        <v>3.09</v>
      </c>
      <c r="D2476" s="3">
        <v>55.05</v>
      </c>
      <c r="E2476" s="3">
        <v>0.6</v>
      </c>
      <c r="F2476" s="3">
        <v>11.19</v>
      </c>
      <c r="G2476" s="3">
        <v>26.88</v>
      </c>
      <c r="H2476" s="3">
        <v>0.0</v>
      </c>
      <c r="I2476" s="3">
        <v>4.2</v>
      </c>
      <c r="J2476" s="3">
        <v>0.0</v>
      </c>
      <c r="K2476" s="4">
        <f t="shared" si="1"/>
        <v>847.7505</v>
      </c>
      <c r="L2476" s="4">
        <f t="shared" si="2"/>
        <v>3.57475755</v>
      </c>
    </row>
    <row r="2477">
      <c r="A2477" s="3" t="s">
        <v>27</v>
      </c>
      <c r="B2477" s="3">
        <v>21.3</v>
      </c>
      <c r="C2477" s="3">
        <v>4.13</v>
      </c>
      <c r="D2477" s="3">
        <v>59.35</v>
      </c>
      <c r="E2477" s="3">
        <v>0.41</v>
      </c>
      <c r="F2477" s="3">
        <v>14.76</v>
      </c>
      <c r="G2477" s="3">
        <v>25.3</v>
      </c>
      <c r="H2477" s="3">
        <v>0.0</v>
      </c>
      <c r="I2477" s="3">
        <v>2.03</v>
      </c>
      <c r="J2477" s="3">
        <v>0.0</v>
      </c>
      <c r="K2477" s="4">
        <f t="shared" si="1"/>
        <v>857.9476</v>
      </c>
      <c r="L2477" s="4">
        <f t="shared" si="2"/>
        <v>4.10563827</v>
      </c>
    </row>
    <row r="2478">
      <c r="A2478" s="3" t="s">
        <v>27</v>
      </c>
      <c r="B2478" s="3">
        <v>21.3</v>
      </c>
      <c r="C2478" s="3">
        <v>5.16</v>
      </c>
      <c r="D2478" s="3">
        <v>63.85</v>
      </c>
      <c r="E2478" s="3">
        <v>0.46</v>
      </c>
      <c r="F2478" s="3">
        <v>18.24</v>
      </c>
      <c r="G2478" s="3">
        <v>24.0</v>
      </c>
      <c r="H2478" s="3">
        <v>0.0</v>
      </c>
      <c r="I2478" s="3">
        <v>0.95</v>
      </c>
      <c r="J2478" s="3">
        <v>0.0</v>
      </c>
      <c r="K2478" s="4">
        <f t="shared" si="1"/>
        <v>908.6976</v>
      </c>
      <c r="L2478" s="4">
        <f t="shared" si="2"/>
        <v>4.486445766</v>
      </c>
    </row>
    <row r="2479">
      <c r="A2479" s="3" t="s">
        <v>27</v>
      </c>
      <c r="B2479" s="3">
        <v>21.3</v>
      </c>
      <c r="C2479" s="3">
        <v>6.2</v>
      </c>
      <c r="D2479" s="3">
        <v>68.2</v>
      </c>
      <c r="E2479" s="3">
        <v>0.86</v>
      </c>
      <c r="F2479" s="3">
        <v>21.81</v>
      </c>
      <c r="G2479" s="3">
        <v>21.76</v>
      </c>
      <c r="H2479" s="3">
        <v>0.0</v>
      </c>
      <c r="I2479" s="3">
        <v>0.28</v>
      </c>
      <c r="J2479" s="3">
        <v>0.0</v>
      </c>
      <c r="K2479" s="4">
        <f t="shared" si="1"/>
        <v>949.1737</v>
      </c>
      <c r="L2479" s="4">
        <f t="shared" si="2"/>
        <v>4.900304338</v>
      </c>
    </row>
    <row r="2480">
      <c r="A2480" s="3" t="s">
        <v>27</v>
      </c>
      <c r="B2480" s="3">
        <v>21.3</v>
      </c>
      <c r="C2480" s="3">
        <v>7.23</v>
      </c>
      <c r="D2480" s="3">
        <v>71.7</v>
      </c>
      <c r="E2480" s="3">
        <v>1.07</v>
      </c>
      <c r="F2480" s="3">
        <v>25.2</v>
      </c>
      <c r="G2480" s="3">
        <v>19.92</v>
      </c>
      <c r="H2480" s="3">
        <v>0.0</v>
      </c>
      <c r="I2480" s="3">
        <v>0.12</v>
      </c>
      <c r="J2480" s="3">
        <v>0.0</v>
      </c>
      <c r="K2480" s="4">
        <f t="shared" si="1"/>
        <v>1031.8464</v>
      </c>
      <c r="L2480" s="4">
        <f t="shared" si="2"/>
        <v>4.982224098</v>
      </c>
    </row>
    <row r="2481">
      <c r="A2481" s="3" t="s">
        <v>27</v>
      </c>
      <c r="B2481" s="3">
        <v>21.3</v>
      </c>
      <c r="C2481" s="3">
        <v>8.26</v>
      </c>
      <c r="D2481" s="3">
        <v>73.5</v>
      </c>
      <c r="E2481" s="3">
        <v>1.07</v>
      </c>
      <c r="F2481" s="3">
        <v>27.64</v>
      </c>
      <c r="G2481" s="3">
        <v>18.42</v>
      </c>
      <c r="H2481" s="3">
        <v>0.0</v>
      </c>
      <c r="I2481" s="3">
        <v>0.05</v>
      </c>
      <c r="J2481" s="3">
        <v>0.0</v>
      </c>
      <c r="K2481" s="4">
        <f t="shared" si="1"/>
        <v>1103.266</v>
      </c>
      <c r="L2481" s="4">
        <f t="shared" si="2"/>
        <v>4.896597919</v>
      </c>
    </row>
    <row r="2482">
      <c r="A2482" s="3" t="s">
        <v>27</v>
      </c>
      <c r="B2482" s="3">
        <v>21.3</v>
      </c>
      <c r="C2482" s="3">
        <v>9.28</v>
      </c>
      <c r="D2482" s="3">
        <v>73.15</v>
      </c>
      <c r="E2482" s="3">
        <v>1.0</v>
      </c>
      <c r="F2482" s="3">
        <v>28.96</v>
      </c>
      <c r="G2482" s="3">
        <v>17.21</v>
      </c>
      <c r="H2482" s="3">
        <v>0.0</v>
      </c>
      <c r="I2482" s="3">
        <v>0.02</v>
      </c>
      <c r="J2482" s="3">
        <v>0.0</v>
      </c>
      <c r="K2482" s="4">
        <f t="shared" si="1"/>
        <v>1134.8657</v>
      </c>
      <c r="L2482" s="4">
        <f t="shared" si="2"/>
        <v>4.715027073</v>
      </c>
    </row>
    <row r="2483">
      <c r="A2483" s="3" t="s">
        <v>27</v>
      </c>
      <c r="B2483" s="3">
        <v>21.3</v>
      </c>
      <c r="C2483" s="3">
        <v>10.34</v>
      </c>
      <c r="D2483" s="3">
        <v>72.5</v>
      </c>
      <c r="E2483" s="3">
        <v>0.74</v>
      </c>
      <c r="F2483" s="3">
        <v>29.43</v>
      </c>
      <c r="G2483" s="3">
        <v>16.16</v>
      </c>
      <c r="H2483" s="3">
        <v>0.0</v>
      </c>
      <c r="I2483" s="3">
        <v>0.01</v>
      </c>
      <c r="J2483" s="3">
        <v>0.0</v>
      </c>
      <c r="K2483" s="4">
        <f t="shared" si="1"/>
        <v>1127.2705</v>
      </c>
      <c r="L2483" s="4">
        <f t="shared" si="2"/>
        <v>4.662811632</v>
      </c>
    </row>
    <row r="2484">
      <c r="A2484" s="3" t="s">
        <v>27</v>
      </c>
      <c r="B2484" s="3">
        <v>21.3</v>
      </c>
      <c r="C2484" s="3">
        <v>11.4</v>
      </c>
      <c r="D2484" s="3">
        <v>73.0</v>
      </c>
      <c r="E2484" s="3">
        <v>1.07</v>
      </c>
      <c r="F2484" s="3">
        <v>28.96</v>
      </c>
      <c r="G2484" s="3">
        <v>15.29</v>
      </c>
      <c r="H2484" s="3">
        <v>0.0</v>
      </c>
      <c r="I2484" s="3">
        <v>0.0</v>
      </c>
      <c r="J2484" s="3">
        <v>0.0</v>
      </c>
      <c r="K2484" s="4">
        <f t="shared" si="1"/>
        <v>1072.4657</v>
      </c>
      <c r="L2484" s="4">
        <f t="shared" si="2"/>
        <v>4.968923482</v>
      </c>
    </row>
    <row r="2485">
      <c r="A2485" s="3" t="s">
        <v>27</v>
      </c>
      <c r="B2485" s="3">
        <v>21.3</v>
      </c>
      <c r="C2485" s="3">
        <v>12.37</v>
      </c>
      <c r="D2485" s="3">
        <v>74.7</v>
      </c>
      <c r="E2485" s="3">
        <v>2.09</v>
      </c>
      <c r="F2485" s="3">
        <v>27.83</v>
      </c>
      <c r="G2485" s="3">
        <v>14.6</v>
      </c>
      <c r="H2485" s="3">
        <v>0.0</v>
      </c>
      <c r="I2485" s="3">
        <v>0.0</v>
      </c>
      <c r="J2485" s="3">
        <v>0.0</v>
      </c>
      <c r="K2485" s="4">
        <f t="shared" si="1"/>
        <v>987.6689</v>
      </c>
      <c r="L2485" s="4">
        <f t="shared" si="2"/>
        <v>5.649757728</v>
      </c>
    </row>
    <row r="2486">
      <c r="A2486" s="3" t="s">
        <v>28</v>
      </c>
      <c r="B2486" s="3">
        <v>6.18</v>
      </c>
      <c r="C2486" s="3">
        <v>0.09</v>
      </c>
      <c r="D2486" s="3">
        <v>16.5</v>
      </c>
      <c r="E2486" s="3">
        <v>4.57</v>
      </c>
      <c r="F2486" s="3">
        <v>1.23</v>
      </c>
      <c r="G2486" s="3">
        <v>16.63</v>
      </c>
      <c r="H2486" s="3">
        <v>0.0</v>
      </c>
      <c r="I2486" s="3">
        <v>657.92</v>
      </c>
      <c r="J2486" s="3">
        <v>0.0</v>
      </c>
      <c r="K2486" s="4">
        <f t="shared" si="1"/>
        <v>278.0698</v>
      </c>
      <c r="L2486" s="4">
        <f t="shared" si="2"/>
        <v>0.9790707225</v>
      </c>
    </row>
    <row r="2487">
      <c r="A2487" s="3" t="s">
        <v>28</v>
      </c>
      <c r="B2487" s="3">
        <v>6.18</v>
      </c>
      <c r="C2487" s="3">
        <v>0.27</v>
      </c>
      <c r="D2487" s="3">
        <v>38.5</v>
      </c>
      <c r="E2487" s="3">
        <v>6.88</v>
      </c>
      <c r="F2487" s="3">
        <v>3.67</v>
      </c>
      <c r="G2487" s="3">
        <v>32.22</v>
      </c>
      <c r="H2487" s="3">
        <v>0.0</v>
      </c>
      <c r="I2487" s="3">
        <v>309.01</v>
      </c>
      <c r="J2487" s="3">
        <v>0.0</v>
      </c>
      <c r="K2487" s="4">
        <f t="shared" si="1"/>
        <v>1051.5973</v>
      </c>
      <c r="L2487" s="4">
        <f t="shared" si="2"/>
        <v>1.409522447</v>
      </c>
    </row>
    <row r="2488">
      <c r="A2488" s="3" t="s">
        <v>28</v>
      </c>
      <c r="B2488" s="3">
        <v>6.18</v>
      </c>
      <c r="C2488" s="3">
        <v>0.45</v>
      </c>
      <c r="D2488" s="3">
        <v>47.4</v>
      </c>
      <c r="E2488" s="3">
        <v>4.57</v>
      </c>
      <c r="F2488" s="3">
        <v>5.99</v>
      </c>
      <c r="G2488" s="3">
        <v>40.27</v>
      </c>
      <c r="H2488" s="3">
        <v>0.0</v>
      </c>
      <c r="I2488" s="3">
        <v>181.32</v>
      </c>
      <c r="J2488" s="3">
        <v>0.0</v>
      </c>
      <c r="K2488" s="4">
        <f t="shared" si="1"/>
        <v>1657.553</v>
      </c>
      <c r="L2488" s="4">
        <f t="shared" si="2"/>
        <v>1.35546797</v>
      </c>
    </row>
    <row r="2489">
      <c r="A2489" s="3" t="s">
        <v>28</v>
      </c>
      <c r="B2489" s="3">
        <v>6.18</v>
      </c>
      <c r="C2489" s="3">
        <v>0.63</v>
      </c>
      <c r="D2489" s="3">
        <v>55.5</v>
      </c>
      <c r="E2489" s="3">
        <v>4.57</v>
      </c>
      <c r="F2489" s="3">
        <v>8.14</v>
      </c>
      <c r="G2489" s="3">
        <v>43.48</v>
      </c>
      <c r="H2489" s="3">
        <v>0.0</v>
      </c>
      <c r="I2489" s="3">
        <v>105.94</v>
      </c>
      <c r="J2489" s="3">
        <v>0.0</v>
      </c>
      <c r="K2489" s="4">
        <f t="shared" si="1"/>
        <v>1956.77</v>
      </c>
      <c r="L2489" s="4">
        <f t="shared" si="2"/>
        <v>1.574150258</v>
      </c>
    </row>
    <row r="2490">
      <c r="A2490" s="3" t="s">
        <v>28</v>
      </c>
      <c r="B2490" s="3">
        <v>6.18</v>
      </c>
      <c r="C2490" s="3">
        <v>0.81</v>
      </c>
      <c r="D2490" s="3">
        <v>56.4</v>
      </c>
      <c r="E2490" s="3">
        <v>5.45</v>
      </c>
      <c r="F2490" s="3">
        <v>10.08</v>
      </c>
      <c r="G2490" s="3">
        <v>44.07</v>
      </c>
      <c r="H2490" s="3">
        <v>0.0</v>
      </c>
      <c r="I2490" s="3">
        <v>62.77</v>
      </c>
      <c r="J2490" s="3">
        <v>0.0</v>
      </c>
      <c r="K2490" s="4">
        <f t="shared" si="1"/>
        <v>2043.7713</v>
      </c>
      <c r="L2490" s="4">
        <f t="shared" si="2"/>
        <v>1.556416807</v>
      </c>
    </row>
    <row r="2491">
      <c r="A2491" s="3" t="s">
        <v>28</v>
      </c>
      <c r="B2491" s="3">
        <v>6.18</v>
      </c>
      <c r="C2491" s="3">
        <v>0.99</v>
      </c>
      <c r="D2491" s="3">
        <v>59.8</v>
      </c>
      <c r="E2491" s="3">
        <v>4.57</v>
      </c>
      <c r="F2491" s="3">
        <v>11.72</v>
      </c>
      <c r="G2491" s="3">
        <v>43.71</v>
      </c>
      <c r="H2491" s="3">
        <v>0.0</v>
      </c>
      <c r="I2491" s="3">
        <v>45.1</v>
      </c>
      <c r="J2491" s="3">
        <v>0.0</v>
      </c>
      <c r="K2491" s="4">
        <f t="shared" si="1"/>
        <v>2047.9225</v>
      </c>
      <c r="L2491" s="4">
        <f t="shared" si="2"/>
        <v>1.74617936</v>
      </c>
    </row>
    <row r="2492">
      <c r="A2492" s="3" t="s">
        <v>28</v>
      </c>
      <c r="B2492" s="3">
        <v>6.18</v>
      </c>
      <c r="C2492" s="3">
        <v>1.17</v>
      </c>
      <c r="D2492" s="3">
        <v>67.8</v>
      </c>
      <c r="E2492" s="3">
        <v>4.57</v>
      </c>
      <c r="F2492" s="3">
        <v>13.25</v>
      </c>
      <c r="G2492" s="3">
        <v>44.14</v>
      </c>
      <c r="H2492" s="3">
        <v>0.0</v>
      </c>
      <c r="I2492" s="3">
        <v>29.74</v>
      </c>
      <c r="J2492" s="3">
        <v>0.0</v>
      </c>
      <c r="K2492" s="4">
        <f t="shared" si="1"/>
        <v>2123.9021</v>
      </c>
      <c r="L2492" s="4">
        <f t="shared" si="2"/>
        <v>2.164337047</v>
      </c>
    </row>
    <row r="2493">
      <c r="A2493" s="3" t="s">
        <v>28</v>
      </c>
      <c r="B2493" s="3">
        <v>6.18</v>
      </c>
      <c r="C2493" s="3">
        <v>1.35</v>
      </c>
      <c r="D2493" s="3">
        <v>76.4</v>
      </c>
      <c r="E2493" s="3">
        <v>4.57</v>
      </c>
      <c r="F2493" s="3">
        <v>15.37</v>
      </c>
      <c r="G2493" s="3">
        <v>42.83</v>
      </c>
      <c r="H2493" s="3">
        <v>0.0</v>
      </c>
      <c r="I2493" s="3">
        <v>15.24</v>
      </c>
      <c r="J2493" s="3">
        <v>0.0</v>
      </c>
      <c r="K2493" s="4">
        <f t="shared" si="1"/>
        <v>2070.6458</v>
      </c>
      <c r="L2493" s="4">
        <f t="shared" si="2"/>
        <v>2.818907995</v>
      </c>
    </row>
    <row r="2494">
      <c r="A2494" s="3" t="s">
        <v>28</v>
      </c>
      <c r="B2494" s="3">
        <v>6.18</v>
      </c>
      <c r="C2494" s="3">
        <v>1.53</v>
      </c>
      <c r="D2494" s="3">
        <v>81.2</v>
      </c>
      <c r="E2494" s="3">
        <v>4.57</v>
      </c>
      <c r="F2494" s="3">
        <v>18.44</v>
      </c>
      <c r="G2494" s="3">
        <v>40.98</v>
      </c>
      <c r="H2494" s="3">
        <v>0.0</v>
      </c>
      <c r="I2494" s="3">
        <v>9.18</v>
      </c>
      <c r="J2494" s="3">
        <v>0.0</v>
      </c>
      <c r="K2494" s="4">
        <f t="shared" si="1"/>
        <v>2019.394</v>
      </c>
      <c r="L2494" s="4">
        <f t="shared" si="2"/>
        <v>3.265058726</v>
      </c>
    </row>
    <row r="2495">
      <c r="A2495" s="3" t="s">
        <v>28</v>
      </c>
      <c r="B2495" s="3">
        <v>6.18</v>
      </c>
      <c r="C2495" s="3">
        <v>1.71</v>
      </c>
      <c r="D2495" s="3">
        <v>82.2</v>
      </c>
      <c r="E2495" s="3">
        <v>19.2</v>
      </c>
      <c r="F2495" s="3">
        <v>21.32</v>
      </c>
      <c r="G2495" s="3">
        <v>38.82</v>
      </c>
      <c r="H2495" s="3">
        <v>0.0</v>
      </c>
      <c r="I2495" s="3">
        <v>5.33</v>
      </c>
      <c r="J2495" s="3">
        <v>0.0</v>
      </c>
      <c r="K2495" s="4">
        <f t="shared" si="1"/>
        <v>1961.5348</v>
      </c>
      <c r="L2495" s="4">
        <f t="shared" si="2"/>
        <v>3.444669959</v>
      </c>
    </row>
    <row r="2496">
      <c r="A2496" s="3" t="s">
        <v>28</v>
      </c>
      <c r="B2496" s="3">
        <v>6.18</v>
      </c>
      <c r="C2496" s="3">
        <v>1.89</v>
      </c>
      <c r="D2496" s="3">
        <v>82.6</v>
      </c>
      <c r="E2496" s="3">
        <v>4.57</v>
      </c>
      <c r="F2496" s="3">
        <v>22.09</v>
      </c>
      <c r="G2496" s="3">
        <v>36.95</v>
      </c>
      <c r="H2496" s="3">
        <v>0.0</v>
      </c>
      <c r="I2496" s="3">
        <v>3.32</v>
      </c>
      <c r="J2496" s="3">
        <v>0.0</v>
      </c>
      <c r="K2496" s="4">
        <f t="shared" si="1"/>
        <v>1853.2706</v>
      </c>
      <c r="L2496" s="4">
        <f t="shared" si="2"/>
        <v>3.681469938</v>
      </c>
    </row>
    <row r="2497">
      <c r="A2497" s="3" t="s">
        <v>28</v>
      </c>
      <c r="B2497" s="3">
        <v>6.18</v>
      </c>
      <c r="C2497" s="3">
        <v>2.07</v>
      </c>
      <c r="D2497" s="3">
        <v>82.3</v>
      </c>
      <c r="E2497" s="3">
        <v>4.57</v>
      </c>
      <c r="F2497" s="3">
        <v>20.36</v>
      </c>
      <c r="G2497" s="3">
        <v>35.17</v>
      </c>
      <c r="H2497" s="3">
        <v>0.0</v>
      </c>
      <c r="I2497" s="3">
        <v>2.34</v>
      </c>
      <c r="J2497" s="3">
        <v>0.0</v>
      </c>
      <c r="K2497" s="4">
        <f t="shared" si="1"/>
        <v>1651.4585</v>
      </c>
      <c r="L2497" s="4">
        <f t="shared" si="2"/>
        <v>4.101398854</v>
      </c>
    </row>
    <row r="2498">
      <c r="A2498" s="3" t="s">
        <v>28</v>
      </c>
      <c r="B2498" s="3">
        <v>6.18</v>
      </c>
      <c r="C2498" s="3">
        <v>2.25</v>
      </c>
      <c r="D2498" s="3">
        <v>82.1</v>
      </c>
      <c r="E2498" s="3">
        <v>4.57</v>
      </c>
      <c r="F2498" s="3">
        <v>17.96</v>
      </c>
      <c r="G2498" s="3">
        <v>33.75</v>
      </c>
      <c r="H2498" s="3">
        <v>0.0</v>
      </c>
      <c r="I2498" s="3">
        <v>1.51</v>
      </c>
      <c r="J2498" s="3">
        <v>0.0</v>
      </c>
      <c r="K2498" s="4">
        <f t="shared" si="1"/>
        <v>1461.6241</v>
      </c>
      <c r="L2498" s="4">
        <f t="shared" si="2"/>
        <v>4.611589259</v>
      </c>
    </row>
    <row r="2499">
      <c r="A2499" s="3" t="s">
        <v>28</v>
      </c>
      <c r="B2499" s="3">
        <v>6.18</v>
      </c>
      <c r="C2499" s="3">
        <v>2.67</v>
      </c>
      <c r="D2499" s="3">
        <v>81.4</v>
      </c>
      <c r="E2499" s="3">
        <v>4.57</v>
      </c>
      <c r="F2499" s="3">
        <v>18.44</v>
      </c>
      <c r="G2499" s="3">
        <v>30.81</v>
      </c>
      <c r="H2499" s="3">
        <v>0.0</v>
      </c>
      <c r="I2499" s="3">
        <v>0.67</v>
      </c>
      <c r="J2499" s="3">
        <v>0.0</v>
      </c>
      <c r="K2499" s="4">
        <f t="shared" si="1"/>
        <v>1289.2897</v>
      </c>
      <c r="L2499" s="4">
        <f t="shared" si="2"/>
        <v>5.139232866</v>
      </c>
    </row>
    <row r="2500">
      <c r="A2500" s="3" t="s">
        <v>28</v>
      </c>
      <c r="B2500" s="3">
        <v>6.18</v>
      </c>
      <c r="C2500" s="3">
        <v>3.15</v>
      </c>
      <c r="D2500" s="3">
        <v>79.3</v>
      </c>
      <c r="E2500" s="3">
        <v>4.57</v>
      </c>
      <c r="F2500" s="3">
        <v>20.36</v>
      </c>
      <c r="G2500" s="3">
        <v>27.99</v>
      </c>
      <c r="H2500" s="3">
        <v>0.0</v>
      </c>
      <c r="I2500" s="3">
        <v>0.13</v>
      </c>
      <c r="J2500" s="3">
        <v>0.0</v>
      </c>
      <c r="K2500" s="4">
        <f t="shared" si="1"/>
        <v>1197.9697</v>
      </c>
      <c r="L2500" s="4">
        <f t="shared" si="2"/>
        <v>5.249289694</v>
      </c>
    </row>
    <row r="2501">
      <c r="A2501" s="3" t="s">
        <v>28</v>
      </c>
      <c r="B2501" s="3">
        <v>6.18</v>
      </c>
      <c r="C2501" s="3">
        <v>3.61</v>
      </c>
      <c r="D2501" s="3">
        <v>78.5</v>
      </c>
      <c r="E2501" s="3">
        <v>4.57</v>
      </c>
      <c r="F2501" s="3">
        <v>20.55</v>
      </c>
      <c r="G2501" s="3">
        <v>25.88</v>
      </c>
      <c r="H2501" s="3">
        <v>0.0</v>
      </c>
      <c r="I2501" s="3">
        <v>0.04</v>
      </c>
      <c r="J2501" s="3">
        <v>0.0</v>
      </c>
      <c r="K2501" s="4">
        <f t="shared" si="1"/>
        <v>1092.0769</v>
      </c>
      <c r="L2501" s="4">
        <f t="shared" si="2"/>
        <v>5.642688715</v>
      </c>
    </row>
    <row r="2502">
      <c r="A2502" s="3" t="s">
        <v>28</v>
      </c>
      <c r="B2502" s="3">
        <v>6.18</v>
      </c>
      <c r="C2502" s="3">
        <v>4.04</v>
      </c>
      <c r="D2502" s="3">
        <v>78.2</v>
      </c>
      <c r="E2502" s="3">
        <v>4.57</v>
      </c>
      <c r="F2502" s="3">
        <v>20.74</v>
      </c>
      <c r="G2502" s="3">
        <v>24.31</v>
      </c>
      <c r="H2502" s="3">
        <v>0.0</v>
      </c>
      <c r="I2502" s="3">
        <v>0.01</v>
      </c>
      <c r="J2502" s="3">
        <v>0.0</v>
      </c>
      <c r="K2502" s="4">
        <f t="shared" si="1"/>
        <v>1021.1237</v>
      </c>
      <c r="L2502" s="4">
        <f t="shared" si="2"/>
        <v>5.988735743</v>
      </c>
    </row>
    <row r="2503">
      <c r="A2503" s="3" t="s">
        <v>28</v>
      </c>
      <c r="B2503" s="3">
        <v>6.18</v>
      </c>
      <c r="C2503" s="3">
        <v>4.49</v>
      </c>
      <c r="D2503" s="3">
        <v>78.1</v>
      </c>
      <c r="E2503" s="3">
        <v>4.57</v>
      </c>
      <c r="F2503" s="3">
        <v>21.71</v>
      </c>
      <c r="G2503" s="3">
        <v>22.96</v>
      </c>
      <c r="H2503" s="3">
        <v>0.0</v>
      </c>
      <c r="I2503" s="3">
        <v>0.0</v>
      </c>
      <c r="J2503" s="3">
        <v>0.0</v>
      </c>
      <c r="K2503" s="4">
        <f t="shared" si="1"/>
        <v>998.4857</v>
      </c>
      <c r="L2503" s="4">
        <f t="shared" si="2"/>
        <v>6.108860648</v>
      </c>
    </row>
    <row r="2504">
      <c r="A2504" s="3" t="s">
        <v>28</v>
      </c>
      <c r="B2504" s="3">
        <v>6.18</v>
      </c>
      <c r="C2504" s="3">
        <v>4.93</v>
      </c>
      <c r="D2504" s="3">
        <v>78.2</v>
      </c>
      <c r="E2504" s="3">
        <v>4.57</v>
      </c>
      <c r="F2504" s="3">
        <v>23.34</v>
      </c>
      <c r="G2504" s="3">
        <v>21.83</v>
      </c>
      <c r="H2504" s="3">
        <v>0.0</v>
      </c>
      <c r="I2504" s="3">
        <v>0.0</v>
      </c>
      <c r="J2504" s="3">
        <v>0.0</v>
      </c>
      <c r="K2504" s="4">
        <f t="shared" si="1"/>
        <v>1021.3045</v>
      </c>
      <c r="L2504" s="4">
        <f t="shared" si="2"/>
        <v>5.987675566</v>
      </c>
    </row>
    <row r="2505">
      <c r="A2505" s="3" t="s">
        <v>28</v>
      </c>
      <c r="B2505" s="3">
        <v>6.18</v>
      </c>
      <c r="C2505" s="3">
        <v>5.38</v>
      </c>
      <c r="D2505" s="3">
        <v>78.3</v>
      </c>
      <c r="E2505" s="3">
        <v>4.57</v>
      </c>
      <c r="F2505" s="3">
        <v>24.59</v>
      </c>
      <c r="G2505" s="3">
        <v>20.85</v>
      </c>
      <c r="H2505" s="3">
        <v>0.0</v>
      </c>
      <c r="I2505" s="3">
        <v>0.0</v>
      </c>
      <c r="J2505" s="3">
        <v>0.0</v>
      </c>
      <c r="K2505" s="4">
        <f t="shared" si="1"/>
        <v>1039.3906</v>
      </c>
      <c r="L2505" s="4">
        <f t="shared" si="2"/>
        <v>5.898542858</v>
      </c>
    </row>
    <row r="2506">
      <c r="A2506" s="3" t="s">
        <v>28</v>
      </c>
      <c r="B2506" s="3">
        <v>6.18</v>
      </c>
      <c r="C2506" s="3">
        <v>5.86</v>
      </c>
      <c r="D2506" s="3">
        <v>78.6</v>
      </c>
      <c r="E2506" s="3">
        <v>4.57</v>
      </c>
      <c r="F2506" s="3">
        <v>24.78</v>
      </c>
      <c r="G2506" s="3">
        <v>19.94</v>
      </c>
      <c r="H2506" s="3">
        <v>0.0</v>
      </c>
      <c r="I2506" s="3">
        <v>0.0</v>
      </c>
      <c r="J2506" s="3">
        <v>0.0</v>
      </c>
      <c r="K2506" s="4">
        <f t="shared" si="1"/>
        <v>1011.652</v>
      </c>
      <c r="L2506" s="4">
        <f t="shared" si="2"/>
        <v>6.106803525</v>
      </c>
    </row>
    <row r="2507">
      <c r="A2507" s="3" t="s">
        <v>28</v>
      </c>
      <c r="B2507" s="3">
        <v>6.18</v>
      </c>
      <c r="C2507" s="3">
        <v>6.28</v>
      </c>
      <c r="D2507" s="3">
        <v>78.9</v>
      </c>
      <c r="E2507" s="3">
        <v>4.57</v>
      </c>
      <c r="F2507" s="3">
        <v>24.59</v>
      </c>
      <c r="G2507" s="3">
        <v>19.24</v>
      </c>
      <c r="H2507" s="3">
        <v>0.0</v>
      </c>
      <c r="I2507" s="3">
        <v>0.0</v>
      </c>
      <c r="J2507" s="3">
        <v>0.0</v>
      </c>
      <c r="K2507" s="4">
        <f t="shared" si="1"/>
        <v>974.8457</v>
      </c>
      <c r="L2507" s="4">
        <f t="shared" si="2"/>
        <v>6.38584137</v>
      </c>
    </row>
    <row r="2508">
      <c r="A2508" s="3" t="s">
        <v>28</v>
      </c>
      <c r="B2508" s="3">
        <v>6.18</v>
      </c>
      <c r="C2508" s="3">
        <v>6.74</v>
      </c>
      <c r="D2508" s="3">
        <v>79.5</v>
      </c>
      <c r="E2508" s="3">
        <v>4.57</v>
      </c>
      <c r="F2508" s="3">
        <v>24.59</v>
      </c>
      <c r="G2508" s="3">
        <v>18.55</v>
      </c>
      <c r="H2508" s="3">
        <v>0.0</v>
      </c>
      <c r="I2508" s="3">
        <v>0.0</v>
      </c>
      <c r="J2508" s="3">
        <v>0.0</v>
      </c>
      <c r="K2508" s="4">
        <f t="shared" si="1"/>
        <v>948.7706</v>
      </c>
      <c r="L2508" s="4">
        <f t="shared" si="2"/>
        <v>6.661515439</v>
      </c>
    </row>
    <row r="2509">
      <c r="A2509" s="3" t="s">
        <v>151</v>
      </c>
      <c r="B2509" s="3">
        <v>58.7</v>
      </c>
      <c r="C2509" s="3">
        <v>0.31</v>
      </c>
      <c r="D2509" s="3">
        <v>3.1</v>
      </c>
      <c r="E2509" s="3">
        <v>4.5</v>
      </c>
      <c r="F2509" s="3">
        <v>1.0</v>
      </c>
      <c r="G2509" s="3">
        <v>4.05</v>
      </c>
      <c r="H2509" s="3">
        <v>0.0</v>
      </c>
      <c r="I2509" s="3">
        <v>29.26</v>
      </c>
      <c r="J2509" s="3">
        <v>0.0</v>
      </c>
      <c r="K2509" s="4">
        <f t="shared" si="1"/>
        <v>17.4025</v>
      </c>
      <c r="L2509" s="4">
        <f t="shared" si="2"/>
        <v>0.5522195087</v>
      </c>
    </row>
    <row r="2510">
      <c r="A2510" s="3" t="s">
        <v>151</v>
      </c>
      <c r="B2510" s="3">
        <v>58.7</v>
      </c>
      <c r="C2510" s="3">
        <v>1.47</v>
      </c>
      <c r="D2510" s="3">
        <v>15.7</v>
      </c>
      <c r="E2510" s="3">
        <v>8.5</v>
      </c>
      <c r="F2510" s="3">
        <v>4.69</v>
      </c>
      <c r="G2510" s="3">
        <v>16.67</v>
      </c>
      <c r="H2510" s="3">
        <v>0.0</v>
      </c>
      <c r="I2510" s="3">
        <v>21.05</v>
      </c>
      <c r="J2510" s="3">
        <v>0.0</v>
      </c>
      <c r="K2510" s="4">
        <f t="shared" si="1"/>
        <v>299.885</v>
      </c>
      <c r="L2510" s="4">
        <f t="shared" si="2"/>
        <v>0.8219484136</v>
      </c>
    </row>
    <row r="2511">
      <c r="A2511" s="3" t="s">
        <v>151</v>
      </c>
      <c r="B2511" s="3">
        <v>58.7</v>
      </c>
      <c r="C2511" s="3">
        <v>2.52</v>
      </c>
      <c r="D2511" s="3">
        <v>28.0</v>
      </c>
      <c r="E2511" s="3">
        <v>10.0</v>
      </c>
      <c r="F2511" s="3">
        <v>7.69</v>
      </c>
      <c r="G2511" s="3">
        <v>21.39</v>
      </c>
      <c r="H2511" s="3">
        <v>0.0</v>
      </c>
      <c r="I2511" s="3">
        <v>16.18</v>
      </c>
      <c r="J2511" s="3">
        <v>0.0</v>
      </c>
      <c r="K2511" s="4">
        <f t="shared" si="1"/>
        <v>516.6682</v>
      </c>
      <c r="L2511" s="4">
        <f t="shared" si="2"/>
        <v>1.517414852</v>
      </c>
    </row>
    <row r="2512">
      <c r="A2512" s="3" t="s">
        <v>151</v>
      </c>
      <c r="B2512" s="3">
        <v>58.7</v>
      </c>
      <c r="C2512" s="3">
        <v>3.35</v>
      </c>
      <c r="D2512" s="3">
        <v>36.0</v>
      </c>
      <c r="E2512" s="3">
        <v>11.0</v>
      </c>
      <c r="F2512" s="3">
        <v>9.58</v>
      </c>
      <c r="G2512" s="3">
        <v>24.52</v>
      </c>
      <c r="H2512" s="3">
        <v>0.0</v>
      </c>
      <c r="I2512" s="3">
        <v>12.24</v>
      </c>
      <c r="J2512" s="3">
        <v>0.0</v>
      </c>
      <c r="K2512" s="4">
        <f t="shared" si="1"/>
        <v>693.0068</v>
      </c>
      <c r="L2512" s="4">
        <f t="shared" si="2"/>
        <v>1.87011152</v>
      </c>
    </row>
    <row r="2513">
      <c r="A2513" s="3" t="s">
        <v>151</v>
      </c>
      <c r="B2513" s="3">
        <v>58.7</v>
      </c>
      <c r="C2513" s="3">
        <v>4.09</v>
      </c>
      <c r="D2513" s="3">
        <v>43.6</v>
      </c>
      <c r="E2513" s="3">
        <v>4.5</v>
      </c>
      <c r="F2513" s="3">
        <v>11.47</v>
      </c>
      <c r="G2513" s="3">
        <v>24.68</v>
      </c>
      <c r="H2513" s="3">
        <v>0.0</v>
      </c>
      <c r="I2513" s="3">
        <v>10.94</v>
      </c>
      <c r="J2513" s="3">
        <v>0.0</v>
      </c>
      <c r="K2513" s="4">
        <f t="shared" si="1"/>
        <v>740.6633</v>
      </c>
      <c r="L2513" s="4">
        <f t="shared" si="2"/>
        <v>2.566564321</v>
      </c>
    </row>
    <row r="2514">
      <c r="A2514" s="3" t="s">
        <v>151</v>
      </c>
      <c r="B2514" s="3">
        <v>58.7</v>
      </c>
      <c r="C2514" s="3">
        <v>4.82</v>
      </c>
      <c r="D2514" s="3">
        <v>49.8</v>
      </c>
      <c r="E2514" s="3">
        <v>4.5</v>
      </c>
      <c r="F2514" s="3">
        <v>13.0</v>
      </c>
      <c r="G2514" s="3">
        <v>26.85</v>
      </c>
      <c r="H2514" s="3">
        <v>0.0</v>
      </c>
      <c r="I2514" s="3">
        <v>11.55</v>
      </c>
      <c r="J2514" s="3">
        <v>0.0</v>
      </c>
      <c r="K2514" s="4">
        <f t="shared" si="1"/>
        <v>889.9225</v>
      </c>
      <c r="L2514" s="4">
        <f t="shared" si="2"/>
        <v>2.786804469</v>
      </c>
    </row>
    <row r="2515">
      <c r="A2515" s="3" t="s">
        <v>151</v>
      </c>
      <c r="B2515" s="3">
        <v>58.7</v>
      </c>
      <c r="C2515" s="3">
        <v>6.6</v>
      </c>
      <c r="D2515" s="3">
        <v>61.5</v>
      </c>
      <c r="E2515" s="3">
        <v>4.5</v>
      </c>
      <c r="F2515" s="3">
        <v>16.38</v>
      </c>
      <c r="G2515" s="3">
        <v>35.05</v>
      </c>
      <c r="H2515" s="3">
        <v>0.0</v>
      </c>
      <c r="I2515" s="3">
        <v>8.67</v>
      </c>
      <c r="J2515" s="3">
        <v>0.0</v>
      </c>
      <c r="K2515" s="4">
        <f t="shared" si="1"/>
        <v>1496.8069</v>
      </c>
      <c r="L2515" s="4">
        <f t="shared" si="2"/>
        <v>2.526879052</v>
      </c>
    </row>
    <row r="2516">
      <c r="A2516" s="3" t="s">
        <v>151</v>
      </c>
      <c r="B2516" s="3">
        <v>58.7</v>
      </c>
      <c r="C2516" s="3">
        <v>7.86</v>
      </c>
      <c r="D2516" s="3">
        <v>68.1</v>
      </c>
      <c r="E2516" s="3">
        <v>12.2</v>
      </c>
      <c r="F2516" s="3">
        <v>18.53</v>
      </c>
      <c r="G2516" s="3">
        <v>38.67</v>
      </c>
      <c r="H2516" s="3">
        <v>0.0</v>
      </c>
      <c r="I2516" s="3">
        <v>7.08</v>
      </c>
      <c r="J2516" s="3">
        <v>0.0</v>
      </c>
      <c r="K2516" s="4">
        <f t="shared" si="1"/>
        <v>1838.7298</v>
      </c>
      <c r="L2516" s="4">
        <f t="shared" si="2"/>
        <v>2.522181345</v>
      </c>
    </row>
    <row r="2517">
      <c r="A2517" s="3" t="s">
        <v>151</v>
      </c>
      <c r="B2517" s="3">
        <v>58.7</v>
      </c>
      <c r="C2517" s="3">
        <v>9.43</v>
      </c>
      <c r="D2517" s="3">
        <v>73.4</v>
      </c>
      <c r="E2517" s="3">
        <v>12.2</v>
      </c>
      <c r="F2517" s="3">
        <v>20.89</v>
      </c>
      <c r="G2517" s="3">
        <v>42.63</v>
      </c>
      <c r="H2517" s="3">
        <v>0.0</v>
      </c>
      <c r="I2517" s="3">
        <v>4.37</v>
      </c>
      <c r="J2517" s="3">
        <v>0.0</v>
      </c>
      <c r="K2517" s="4">
        <f t="shared" si="1"/>
        <v>2253.709</v>
      </c>
      <c r="L2517" s="4">
        <f t="shared" si="2"/>
        <v>2.390530454</v>
      </c>
    </row>
    <row r="2518">
      <c r="A2518" s="3" t="s">
        <v>151</v>
      </c>
      <c r="B2518" s="3">
        <v>58.7</v>
      </c>
      <c r="C2518" s="3">
        <v>11.43</v>
      </c>
      <c r="D2518" s="3">
        <v>77.6</v>
      </c>
      <c r="E2518" s="3">
        <v>11.0</v>
      </c>
      <c r="F2518" s="3">
        <v>23.34</v>
      </c>
      <c r="G2518" s="3">
        <v>39.29</v>
      </c>
      <c r="H2518" s="3">
        <v>0.0</v>
      </c>
      <c r="I2518" s="3">
        <v>0.82</v>
      </c>
      <c r="J2518" s="3">
        <v>0.0</v>
      </c>
      <c r="K2518" s="4">
        <f t="shared" si="1"/>
        <v>2088.4597</v>
      </c>
      <c r="L2518" s="4">
        <f t="shared" si="2"/>
        <v>2.883349868</v>
      </c>
    </row>
    <row r="2519">
      <c r="A2519" s="3" t="s">
        <v>151</v>
      </c>
      <c r="B2519" s="3">
        <v>58.7</v>
      </c>
      <c r="C2519" s="3">
        <v>22.85</v>
      </c>
      <c r="D2519" s="3">
        <v>78.9</v>
      </c>
      <c r="E2519" s="3">
        <v>11.0</v>
      </c>
      <c r="F2519" s="3">
        <v>36.96</v>
      </c>
      <c r="G2519" s="3">
        <v>26.56</v>
      </c>
      <c r="H2519" s="3">
        <v>0.0</v>
      </c>
      <c r="I2519" s="3">
        <v>0.0</v>
      </c>
      <c r="J2519" s="3">
        <v>0.0</v>
      </c>
      <c r="K2519" s="4">
        <f t="shared" si="1"/>
        <v>2071.4752</v>
      </c>
      <c r="L2519" s="4">
        <f t="shared" si="2"/>
        <v>3.005206145</v>
      </c>
    </row>
    <row r="2520">
      <c r="A2520" s="3" t="s">
        <v>29</v>
      </c>
      <c r="B2520" s="3">
        <v>7.47</v>
      </c>
      <c r="C2520" s="3">
        <v>0.36</v>
      </c>
      <c r="D2520" s="3">
        <v>21.45</v>
      </c>
      <c r="E2520" s="3">
        <v>1.99</v>
      </c>
      <c r="F2520" s="3">
        <v>2.75</v>
      </c>
      <c r="G2520" s="3">
        <v>5.37</v>
      </c>
      <c r="H2520" s="3">
        <v>0.0</v>
      </c>
      <c r="I2520" s="3">
        <v>14.8</v>
      </c>
      <c r="J2520" s="3">
        <v>0.0</v>
      </c>
      <c r="K2520" s="4">
        <f t="shared" si="1"/>
        <v>36.3994</v>
      </c>
      <c r="L2520" s="4">
        <f t="shared" si="2"/>
        <v>12.64038693</v>
      </c>
    </row>
    <row r="2521">
      <c r="A2521" s="3" t="s">
        <v>29</v>
      </c>
      <c r="B2521" s="3">
        <v>7.47</v>
      </c>
      <c r="C2521" s="3">
        <v>0.73</v>
      </c>
      <c r="D2521" s="3">
        <v>31.3</v>
      </c>
      <c r="E2521" s="3">
        <v>1.58</v>
      </c>
      <c r="F2521" s="3">
        <v>6.05</v>
      </c>
      <c r="G2521" s="3">
        <v>10.22</v>
      </c>
      <c r="H2521" s="3">
        <v>0.0</v>
      </c>
      <c r="I2521" s="3">
        <v>11.43</v>
      </c>
      <c r="J2521" s="3">
        <v>0.0</v>
      </c>
      <c r="K2521" s="4">
        <f t="shared" si="1"/>
        <v>141.0509</v>
      </c>
      <c r="L2521" s="4">
        <f t="shared" si="2"/>
        <v>6.945648698</v>
      </c>
    </row>
    <row r="2522">
      <c r="A2522" s="3" t="s">
        <v>29</v>
      </c>
      <c r="B2522" s="3">
        <v>7.47</v>
      </c>
      <c r="C2522" s="3">
        <v>1.09</v>
      </c>
      <c r="D2522" s="3">
        <v>41.7</v>
      </c>
      <c r="E2522" s="3">
        <v>1.16</v>
      </c>
      <c r="F2522" s="3">
        <v>9.4</v>
      </c>
      <c r="G2522" s="3">
        <v>11.44</v>
      </c>
      <c r="H2522" s="3">
        <v>0.0</v>
      </c>
      <c r="I2522" s="3">
        <v>3.66</v>
      </c>
      <c r="J2522" s="3">
        <v>0.0</v>
      </c>
      <c r="K2522" s="4">
        <f t="shared" si="1"/>
        <v>219.2336</v>
      </c>
      <c r="L2522" s="4">
        <f t="shared" si="2"/>
        <v>7.931676531</v>
      </c>
    </row>
    <row r="2523">
      <c r="A2523" s="3" t="s">
        <v>29</v>
      </c>
      <c r="B2523" s="3">
        <v>7.47</v>
      </c>
      <c r="C2523" s="3">
        <v>1.45</v>
      </c>
      <c r="D2523" s="3">
        <v>48.35</v>
      </c>
      <c r="E2523" s="3">
        <v>0.44</v>
      </c>
      <c r="F2523" s="3">
        <v>12.81</v>
      </c>
      <c r="G2523" s="3">
        <v>11.24</v>
      </c>
      <c r="H2523" s="3">
        <v>0.0</v>
      </c>
      <c r="I2523" s="3">
        <v>2.65</v>
      </c>
      <c r="J2523" s="3">
        <v>0.0</v>
      </c>
      <c r="K2523" s="4">
        <f t="shared" si="1"/>
        <v>290.4337</v>
      </c>
      <c r="L2523" s="4">
        <f t="shared" si="2"/>
        <v>8.049074539</v>
      </c>
    </row>
    <row r="2524">
      <c r="A2524" s="3" t="s">
        <v>29</v>
      </c>
      <c r="B2524" s="3">
        <v>7.47</v>
      </c>
      <c r="C2524" s="3">
        <v>1.81</v>
      </c>
      <c r="D2524" s="3">
        <v>50.6</v>
      </c>
      <c r="E2524" s="3">
        <v>0.37</v>
      </c>
      <c r="F2524" s="3">
        <v>16.05</v>
      </c>
      <c r="G2524" s="3">
        <v>11.43</v>
      </c>
      <c r="H2524" s="3">
        <v>0.0</v>
      </c>
      <c r="I2524" s="3">
        <v>2.03</v>
      </c>
      <c r="J2524" s="3">
        <v>0.0</v>
      </c>
      <c r="K2524" s="4">
        <f t="shared" si="1"/>
        <v>388.2474</v>
      </c>
      <c r="L2524" s="4">
        <f t="shared" si="2"/>
        <v>6.594661033</v>
      </c>
    </row>
    <row r="2525">
      <c r="A2525" s="3" t="s">
        <v>29</v>
      </c>
      <c r="B2525" s="3">
        <v>7.47</v>
      </c>
      <c r="C2525" s="3">
        <v>2.17</v>
      </c>
      <c r="D2525" s="3">
        <v>54.05</v>
      </c>
      <c r="E2525" s="3">
        <v>0.59</v>
      </c>
      <c r="F2525" s="3">
        <v>18.46</v>
      </c>
      <c r="G2525" s="3">
        <v>11.43</v>
      </c>
      <c r="H2525" s="3">
        <v>0.0</v>
      </c>
      <c r="I2525" s="3">
        <v>1.59</v>
      </c>
      <c r="J2525" s="3">
        <v>0.0</v>
      </c>
      <c r="K2525" s="4">
        <f t="shared" si="1"/>
        <v>471.4165</v>
      </c>
      <c r="L2525" s="4">
        <f t="shared" si="2"/>
        <v>6.197073077</v>
      </c>
    </row>
    <row r="2526">
      <c r="A2526" s="3" t="s">
        <v>29</v>
      </c>
      <c r="B2526" s="3">
        <v>7.47</v>
      </c>
      <c r="C2526" s="3">
        <v>2.54</v>
      </c>
      <c r="D2526" s="3">
        <v>55.8</v>
      </c>
      <c r="E2526" s="3">
        <v>0.76</v>
      </c>
      <c r="F2526" s="3">
        <v>20.04</v>
      </c>
      <c r="G2526" s="3">
        <v>11.39</v>
      </c>
      <c r="H2526" s="3">
        <v>0.0</v>
      </c>
      <c r="I2526" s="3">
        <v>1.06</v>
      </c>
      <c r="J2526" s="3">
        <v>0.0</v>
      </c>
      <c r="K2526" s="4">
        <f t="shared" si="1"/>
        <v>531.3337</v>
      </c>
      <c r="L2526" s="4">
        <f t="shared" si="2"/>
        <v>5.860046144</v>
      </c>
    </row>
    <row r="2527">
      <c r="A2527" s="3" t="s">
        <v>29</v>
      </c>
      <c r="B2527" s="3">
        <v>7.47</v>
      </c>
      <c r="C2527" s="3">
        <v>2.9</v>
      </c>
      <c r="D2527" s="3">
        <v>54.55</v>
      </c>
      <c r="E2527" s="3">
        <v>0.71</v>
      </c>
      <c r="F2527" s="3">
        <v>20.71</v>
      </c>
      <c r="G2527" s="3">
        <v>11.38</v>
      </c>
      <c r="H2527" s="3">
        <v>0.0</v>
      </c>
      <c r="I2527" s="3">
        <v>0.81</v>
      </c>
      <c r="J2527" s="3">
        <v>0.0</v>
      </c>
      <c r="K2527" s="4">
        <f t="shared" si="1"/>
        <v>558.4085</v>
      </c>
      <c r="L2527" s="4">
        <f t="shared" si="2"/>
        <v>5.328899005</v>
      </c>
    </row>
    <row r="2528">
      <c r="A2528" s="3" t="s">
        <v>29</v>
      </c>
      <c r="B2528" s="3">
        <v>7.47</v>
      </c>
      <c r="C2528" s="3">
        <v>3.26</v>
      </c>
      <c r="D2528" s="3">
        <v>50.0</v>
      </c>
      <c r="E2528" s="3">
        <v>2.65</v>
      </c>
      <c r="F2528" s="3">
        <v>20.29</v>
      </c>
      <c r="G2528" s="3">
        <v>11.12</v>
      </c>
      <c r="H2528" s="3">
        <v>0.0</v>
      </c>
      <c r="I2528" s="3">
        <v>0.56</v>
      </c>
      <c r="J2528" s="3">
        <v>0.0</v>
      </c>
      <c r="K2528" s="4">
        <f t="shared" si="1"/>
        <v>535.3385</v>
      </c>
      <c r="L2528" s="4">
        <f t="shared" si="2"/>
        <v>4.669942476</v>
      </c>
    </row>
    <row r="2529">
      <c r="A2529" s="3" t="s">
        <v>29</v>
      </c>
      <c r="B2529" s="3">
        <v>7.47</v>
      </c>
      <c r="C2529" s="3">
        <v>3.62</v>
      </c>
      <c r="D2529" s="3">
        <v>49.9</v>
      </c>
      <c r="E2529" s="3">
        <v>2.77</v>
      </c>
      <c r="F2529" s="3">
        <v>19.63</v>
      </c>
      <c r="G2529" s="3">
        <v>11.17</v>
      </c>
      <c r="H2529" s="3">
        <v>0.0</v>
      </c>
      <c r="I2529" s="3">
        <v>0.44</v>
      </c>
      <c r="J2529" s="3">
        <v>0.0</v>
      </c>
      <c r="K2529" s="4">
        <f t="shared" si="1"/>
        <v>510.1058</v>
      </c>
      <c r="L2529" s="4">
        <f t="shared" si="2"/>
        <v>4.881359906</v>
      </c>
    </row>
    <row r="2530">
      <c r="A2530" s="3" t="s">
        <v>30</v>
      </c>
      <c r="B2530" s="3">
        <v>8.64</v>
      </c>
      <c r="C2530" s="3">
        <v>0.63</v>
      </c>
      <c r="D2530" s="3">
        <v>14.8</v>
      </c>
      <c r="E2530" s="3">
        <v>5.06</v>
      </c>
      <c r="F2530" s="3">
        <v>-2.24</v>
      </c>
      <c r="G2530" s="3">
        <v>7.48</v>
      </c>
      <c r="H2530" s="3">
        <v>0.0</v>
      </c>
      <c r="I2530" s="3">
        <v>16.55</v>
      </c>
      <c r="J2530" s="3">
        <v>0.0</v>
      </c>
      <c r="K2530" s="4">
        <f t="shared" si="1"/>
        <v>60.968</v>
      </c>
      <c r="L2530" s="4">
        <f t="shared" si="2"/>
        <v>3.59270437</v>
      </c>
    </row>
    <row r="2531">
      <c r="A2531" s="3" t="s">
        <v>30</v>
      </c>
      <c r="B2531" s="3">
        <v>8.64</v>
      </c>
      <c r="C2531" s="3">
        <v>1.26</v>
      </c>
      <c r="D2531" s="3">
        <v>27.2</v>
      </c>
      <c r="E2531" s="3">
        <v>5.06</v>
      </c>
      <c r="F2531" s="3">
        <v>-3.7</v>
      </c>
      <c r="G2531" s="3">
        <v>13.07</v>
      </c>
      <c r="H2531" s="3">
        <v>0.0</v>
      </c>
      <c r="I2531" s="3">
        <v>13.49</v>
      </c>
      <c r="J2531" s="3">
        <v>0.0</v>
      </c>
      <c r="K2531" s="4">
        <f t="shared" si="1"/>
        <v>184.5149</v>
      </c>
      <c r="L2531" s="4">
        <f t="shared" si="2"/>
        <v>4.009649085</v>
      </c>
    </row>
    <row r="2532">
      <c r="A2532" s="3" t="s">
        <v>30</v>
      </c>
      <c r="B2532" s="3">
        <v>8.64</v>
      </c>
      <c r="C2532" s="3">
        <v>1.88</v>
      </c>
      <c r="D2532" s="3">
        <v>34.1</v>
      </c>
      <c r="E2532" s="3">
        <v>5.06</v>
      </c>
      <c r="F2532" s="3">
        <v>3.88</v>
      </c>
      <c r="G2532" s="3">
        <v>16.73</v>
      </c>
      <c r="H2532" s="3">
        <v>0.0</v>
      </c>
      <c r="I2532" s="3">
        <v>9.83</v>
      </c>
      <c r="J2532" s="3">
        <v>0.0</v>
      </c>
      <c r="K2532" s="4">
        <f t="shared" si="1"/>
        <v>294.9473</v>
      </c>
      <c r="L2532" s="4">
        <f t="shared" si="2"/>
        <v>3.942433106</v>
      </c>
    </row>
    <row r="2533">
      <c r="A2533" s="3" t="s">
        <v>30</v>
      </c>
      <c r="B2533" s="3">
        <v>8.64</v>
      </c>
      <c r="C2533" s="3">
        <v>2.52</v>
      </c>
      <c r="D2533" s="3">
        <v>38.8</v>
      </c>
      <c r="E2533" s="3">
        <v>5.06</v>
      </c>
      <c r="F2533" s="3">
        <v>-2.84</v>
      </c>
      <c r="G2533" s="3">
        <v>19.07</v>
      </c>
      <c r="H2533" s="3">
        <v>0.0</v>
      </c>
      <c r="I2533" s="3">
        <v>6.78</v>
      </c>
      <c r="J2533" s="3">
        <v>0.0</v>
      </c>
      <c r="K2533" s="4">
        <f t="shared" si="1"/>
        <v>371.7305</v>
      </c>
      <c r="L2533" s="4">
        <f t="shared" si="2"/>
        <v>4.049815659</v>
      </c>
    </row>
    <row r="2534">
      <c r="A2534" s="3" t="s">
        <v>30</v>
      </c>
      <c r="B2534" s="3">
        <v>8.64</v>
      </c>
      <c r="C2534" s="3">
        <v>3.14</v>
      </c>
      <c r="D2534" s="3">
        <v>42.8</v>
      </c>
      <c r="E2534" s="3">
        <v>5.06</v>
      </c>
      <c r="F2534" s="3">
        <v>11.17</v>
      </c>
      <c r="G2534" s="3">
        <v>20.36</v>
      </c>
      <c r="H2534" s="3">
        <v>0.0</v>
      </c>
      <c r="I2534" s="3">
        <v>4.99</v>
      </c>
      <c r="J2534" s="3">
        <v>0.0</v>
      </c>
      <c r="K2534" s="4">
        <f t="shared" si="1"/>
        <v>539.2985</v>
      </c>
      <c r="L2534" s="4">
        <f t="shared" si="2"/>
        <v>3.396708873</v>
      </c>
    </row>
    <row r="2535">
      <c r="A2535" s="3" t="s">
        <v>30</v>
      </c>
      <c r="B2535" s="3">
        <v>8.64</v>
      </c>
      <c r="C2535" s="3">
        <v>3.77</v>
      </c>
      <c r="D2535" s="3">
        <v>47.9</v>
      </c>
      <c r="E2535" s="3">
        <v>5.06</v>
      </c>
      <c r="F2535" s="3">
        <v>17.24</v>
      </c>
      <c r="G2535" s="3">
        <v>21.25</v>
      </c>
      <c r="H2535" s="3">
        <v>0.0</v>
      </c>
      <c r="I2535" s="3">
        <v>3.62</v>
      </c>
      <c r="J2535" s="3">
        <v>0.0</v>
      </c>
      <c r="K2535" s="4">
        <f t="shared" si="1"/>
        <v>748.7801</v>
      </c>
      <c r="L2535" s="4">
        <f t="shared" si="2"/>
        <v>3.064197352</v>
      </c>
    </row>
    <row r="2536">
      <c r="A2536" s="3" t="s">
        <v>30</v>
      </c>
      <c r="B2536" s="3">
        <v>8.64</v>
      </c>
      <c r="C2536" s="3">
        <v>4.4</v>
      </c>
      <c r="D2536" s="3">
        <v>51.9</v>
      </c>
      <c r="E2536" s="3">
        <v>5.06</v>
      </c>
      <c r="F2536" s="3">
        <v>20.77</v>
      </c>
      <c r="G2536" s="3">
        <v>21.39</v>
      </c>
      <c r="H2536" s="3">
        <v>0.0</v>
      </c>
      <c r="I2536" s="3">
        <v>2.6</v>
      </c>
      <c r="J2536" s="3">
        <v>0.0</v>
      </c>
      <c r="K2536" s="4">
        <f t="shared" si="1"/>
        <v>888.925</v>
      </c>
      <c r="L2536" s="4">
        <f t="shared" si="2"/>
        <v>3.030188149</v>
      </c>
    </row>
    <row r="2537">
      <c r="A2537" s="3" t="s">
        <v>30</v>
      </c>
      <c r="B2537" s="3">
        <v>8.64</v>
      </c>
      <c r="C2537" s="3">
        <v>5.03</v>
      </c>
      <c r="D2537" s="3">
        <v>57.6</v>
      </c>
      <c r="E2537" s="3">
        <v>5.06</v>
      </c>
      <c r="F2537" s="3">
        <v>26.16</v>
      </c>
      <c r="G2537" s="3">
        <v>21.32</v>
      </c>
      <c r="H2537" s="3">
        <v>0.0</v>
      </c>
      <c r="I2537" s="3">
        <v>1.84</v>
      </c>
      <c r="J2537" s="3">
        <v>0.0</v>
      </c>
      <c r="K2537" s="4">
        <f t="shared" si="1"/>
        <v>1138.888</v>
      </c>
      <c r="L2537" s="4">
        <f t="shared" si="2"/>
        <v>2.913157396</v>
      </c>
    </row>
    <row r="2538">
      <c r="A2538" s="3" t="s">
        <v>30</v>
      </c>
      <c r="B2538" s="3">
        <v>8.64</v>
      </c>
      <c r="C2538" s="3">
        <v>5.65</v>
      </c>
      <c r="D2538" s="3">
        <v>60.7</v>
      </c>
      <c r="E2538" s="3">
        <v>5.06</v>
      </c>
      <c r="F2538" s="3">
        <v>31.16</v>
      </c>
      <c r="G2538" s="3">
        <v>20.9</v>
      </c>
      <c r="H2538" s="3">
        <v>0.0</v>
      </c>
      <c r="I2538" s="3">
        <v>1.34</v>
      </c>
      <c r="J2538" s="3">
        <v>0.0</v>
      </c>
      <c r="K2538" s="4">
        <f t="shared" si="1"/>
        <v>1407.7556</v>
      </c>
      <c r="L2538" s="4">
        <f t="shared" si="2"/>
        <v>2.61727959</v>
      </c>
    </row>
    <row r="2539">
      <c r="A2539" s="3" t="s">
        <v>30</v>
      </c>
      <c r="B2539" s="3">
        <v>8.64</v>
      </c>
      <c r="C2539" s="3">
        <v>6.29</v>
      </c>
      <c r="D2539" s="3">
        <v>65.6</v>
      </c>
      <c r="E2539" s="3">
        <v>5.06</v>
      </c>
      <c r="F2539" s="3">
        <v>33.7</v>
      </c>
      <c r="G2539" s="3">
        <v>20.41</v>
      </c>
      <c r="H2539" s="3">
        <v>0.0</v>
      </c>
      <c r="I2539" s="3">
        <v>1.04</v>
      </c>
      <c r="J2539" s="3">
        <v>0.0</v>
      </c>
      <c r="K2539" s="4">
        <f t="shared" si="1"/>
        <v>1552.2581</v>
      </c>
      <c r="L2539" s="4">
        <f t="shared" si="2"/>
        <v>2.772322464</v>
      </c>
    </row>
    <row r="2540">
      <c r="A2540" s="3" t="s">
        <v>30</v>
      </c>
      <c r="B2540" s="3">
        <v>8.64</v>
      </c>
      <c r="C2540" s="3">
        <v>6.91</v>
      </c>
      <c r="D2540" s="3">
        <v>68.6</v>
      </c>
      <c r="E2540" s="3">
        <v>5.06</v>
      </c>
      <c r="F2540" s="3">
        <v>34.59</v>
      </c>
      <c r="G2540" s="3">
        <v>20.24</v>
      </c>
      <c r="H2540" s="3">
        <v>0.0</v>
      </c>
      <c r="I2540" s="3">
        <v>0.91</v>
      </c>
      <c r="J2540" s="3">
        <v>0.0</v>
      </c>
      <c r="K2540" s="4">
        <f t="shared" si="1"/>
        <v>1606.1257</v>
      </c>
      <c r="L2540" s="4">
        <f t="shared" si="2"/>
        <v>2.930007284</v>
      </c>
    </row>
    <row r="2541">
      <c r="A2541" s="3" t="s">
        <v>31</v>
      </c>
      <c r="B2541" s="3">
        <v>7.66</v>
      </c>
      <c r="C2541" s="3">
        <v>0.56</v>
      </c>
      <c r="D2541" s="3">
        <v>16.9</v>
      </c>
      <c r="E2541" s="3">
        <v>3.93</v>
      </c>
      <c r="F2541" s="3">
        <v>3.56</v>
      </c>
      <c r="G2541" s="3">
        <v>6.92</v>
      </c>
      <c r="H2541" s="3">
        <v>0.0</v>
      </c>
      <c r="I2541" s="3">
        <v>13.38</v>
      </c>
      <c r="J2541" s="3">
        <v>0.0</v>
      </c>
      <c r="K2541" s="4">
        <f t="shared" si="1"/>
        <v>60.56</v>
      </c>
      <c r="L2541" s="4">
        <f t="shared" si="2"/>
        <v>4.716149273</v>
      </c>
    </row>
    <row r="2542">
      <c r="A2542" s="3" t="s">
        <v>31</v>
      </c>
      <c r="B2542" s="3">
        <v>7.66</v>
      </c>
      <c r="C2542" s="3">
        <v>1.11</v>
      </c>
      <c r="D2542" s="3">
        <v>27.4</v>
      </c>
      <c r="E2542" s="3">
        <v>3.93</v>
      </c>
      <c r="F2542" s="3">
        <v>3.93</v>
      </c>
      <c r="G2542" s="3">
        <v>11.04</v>
      </c>
      <c r="H2542" s="3">
        <v>0.0</v>
      </c>
      <c r="I2542" s="3">
        <v>9.28</v>
      </c>
      <c r="J2542" s="3">
        <v>0.0</v>
      </c>
      <c r="K2542" s="4">
        <f t="shared" si="1"/>
        <v>137.3265</v>
      </c>
      <c r="L2542" s="4">
        <f t="shared" si="2"/>
        <v>5.466971051</v>
      </c>
    </row>
    <row r="2543">
      <c r="A2543" s="3" t="s">
        <v>31</v>
      </c>
      <c r="B2543" s="3">
        <v>7.66</v>
      </c>
      <c r="C2543" s="3">
        <v>1.67</v>
      </c>
      <c r="D2543" s="3">
        <v>33.5</v>
      </c>
      <c r="E2543" s="3">
        <v>3.93</v>
      </c>
      <c r="F2543" s="3">
        <v>3.56</v>
      </c>
      <c r="G2543" s="3">
        <v>13.76</v>
      </c>
      <c r="H2543" s="3">
        <v>0.0</v>
      </c>
      <c r="I2543" s="3">
        <v>6.42</v>
      </c>
      <c r="J2543" s="3">
        <v>0.0</v>
      </c>
      <c r="K2543" s="4">
        <f t="shared" si="1"/>
        <v>202.0112</v>
      </c>
      <c r="L2543" s="4">
        <f t="shared" si="2"/>
        <v>5.555385048</v>
      </c>
    </row>
    <row r="2544">
      <c r="A2544" s="3" t="s">
        <v>31</v>
      </c>
      <c r="B2544" s="3">
        <v>7.66</v>
      </c>
      <c r="C2544" s="3">
        <v>2.23</v>
      </c>
      <c r="D2544" s="3">
        <v>36.4</v>
      </c>
      <c r="E2544" s="3">
        <v>3.93</v>
      </c>
      <c r="F2544" s="3">
        <v>8.55</v>
      </c>
      <c r="G2544" s="3">
        <v>16.36</v>
      </c>
      <c r="H2544" s="3">
        <v>0.0</v>
      </c>
      <c r="I2544" s="3">
        <v>4.67</v>
      </c>
      <c r="J2544" s="3">
        <v>0.0</v>
      </c>
      <c r="K2544" s="4">
        <f t="shared" si="1"/>
        <v>340.7521</v>
      </c>
      <c r="L2544" s="4">
        <f t="shared" si="2"/>
        <v>3.88833994</v>
      </c>
    </row>
    <row r="2545">
      <c r="A2545" s="3" t="s">
        <v>31</v>
      </c>
      <c r="B2545" s="3">
        <v>7.66</v>
      </c>
      <c r="C2545" s="3">
        <v>2.79</v>
      </c>
      <c r="D2545" s="3">
        <v>39.8</v>
      </c>
      <c r="E2545" s="3">
        <v>3.93</v>
      </c>
      <c r="F2545" s="3">
        <v>12.27</v>
      </c>
      <c r="G2545" s="3">
        <v>16.13</v>
      </c>
      <c r="H2545" s="3">
        <v>0.0</v>
      </c>
      <c r="I2545" s="3">
        <v>2.61</v>
      </c>
      <c r="J2545" s="3">
        <v>0.0</v>
      </c>
      <c r="K2545" s="4">
        <f t="shared" si="1"/>
        <v>410.7298</v>
      </c>
      <c r="L2545" s="4">
        <f t="shared" si="2"/>
        <v>3.856647363</v>
      </c>
    </row>
    <row r="2546">
      <c r="A2546" s="3" t="s">
        <v>31</v>
      </c>
      <c r="B2546" s="3">
        <v>7.66</v>
      </c>
      <c r="C2546" s="3">
        <v>3.34</v>
      </c>
      <c r="D2546" s="3">
        <v>41.2</v>
      </c>
      <c r="E2546" s="3">
        <v>3.93</v>
      </c>
      <c r="F2546" s="3">
        <v>12.47</v>
      </c>
      <c r="G2546" s="3">
        <v>16.4</v>
      </c>
      <c r="H2546" s="3">
        <v>0.0</v>
      </c>
      <c r="I2546" s="3">
        <v>2.22</v>
      </c>
      <c r="J2546" s="3">
        <v>0.0</v>
      </c>
      <c r="K2546" s="4">
        <f t="shared" si="1"/>
        <v>424.4609</v>
      </c>
      <c r="L2546" s="4">
        <f t="shared" si="2"/>
        <v>3.999049147</v>
      </c>
    </row>
    <row r="2547">
      <c r="A2547" s="3" t="s">
        <v>31</v>
      </c>
      <c r="B2547" s="3">
        <v>7.66</v>
      </c>
      <c r="C2547" s="3">
        <v>3.9</v>
      </c>
      <c r="D2547" s="3">
        <v>42.6</v>
      </c>
      <c r="E2547" s="3">
        <v>3.93</v>
      </c>
      <c r="F2547" s="3">
        <v>13.27</v>
      </c>
      <c r="G2547" s="3">
        <v>17.86</v>
      </c>
      <c r="H2547" s="3">
        <v>0.0</v>
      </c>
      <c r="I2547" s="3">
        <v>2.07</v>
      </c>
      <c r="J2547" s="3">
        <v>0.0</v>
      </c>
      <c r="K2547" s="4">
        <f t="shared" si="1"/>
        <v>495.0725</v>
      </c>
      <c r="L2547" s="4">
        <f t="shared" si="2"/>
        <v>3.665644931</v>
      </c>
    </row>
    <row r="2548">
      <c r="A2548" s="3" t="s">
        <v>31</v>
      </c>
      <c r="B2548" s="3">
        <v>7.66</v>
      </c>
      <c r="C2548" s="3">
        <v>4.46</v>
      </c>
      <c r="D2548" s="3">
        <v>44.5</v>
      </c>
      <c r="E2548" s="3">
        <v>3.93</v>
      </c>
      <c r="F2548" s="3">
        <v>15.66</v>
      </c>
      <c r="G2548" s="3">
        <v>16.94</v>
      </c>
      <c r="H2548" s="3">
        <v>0.0</v>
      </c>
      <c r="I2548" s="3">
        <v>0.0</v>
      </c>
      <c r="J2548" s="3">
        <v>0.0</v>
      </c>
      <c r="K2548" s="4">
        <f t="shared" si="1"/>
        <v>532.1992</v>
      </c>
      <c r="L2548" s="4">
        <f t="shared" si="2"/>
        <v>3.720881204</v>
      </c>
    </row>
    <row r="2549">
      <c r="A2549" s="3" t="s">
        <v>152</v>
      </c>
      <c r="B2549" s="3">
        <v>8.63</v>
      </c>
      <c r="C2549" s="3">
        <v>0.63</v>
      </c>
      <c r="D2549" s="3">
        <v>29.5</v>
      </c>
      <c r="E2549" s="3">
        <v>2.53</v>
      </c>
      <c r="F2549" s="3">
        <v>-2.22</v>
      </c>
      <c r="G2549" s="3">
        <v>32.45</v>
      </c>
      <c r="H2549" s="3">
        <v>0.0</v>
      </c>
      <c r="I2549" s="3">
        <v>190.91</v>
      </c>
      <c r="J2549" s="3">
        <v>0.0</v>
      </c>
      <c r="K2549" s="4">
        <f t="shared" si="1"/>
        <v>1057.9309</v>
      </c>
      <c r="L2549" s="4">
        <f t="shared" si="2"/>
        <v>0.8225962584</v>
      </c>
    </row>
    <row r="2550">
      <c r="A2550" s="3" t="s">
        <v>152</v>
      </c>
      <c r="B2550" s="3">
        <v>8.63</v>
      </c>
      <c r="C2550" s="3">
        <v>1.26</v>
      </c>
      <c r="D2550" s="3">
        <v>50.8</v>
      </c>
      <c r="E2550" s="3">
        <v>3.76</v>
      </c>
      <c r="F2550" s="3">
        <v>-8.54</v>
      </c>
      <c r="G2550" s="3">
        <v>43.44</v>
      </c>
      <c r="H2550" s="3">
        <v>0.0</v>
      </c>
      <c r="I2550" s="3">
        <v>121.97</v>
      </c>
      <c r="J2550" s="3">
        <v>0.0</v>
      </c>
      <c r="K2550" s="4">
        <f t="shared" si="1"/>
        <v>1959.9652</v>
      </c>
      <c r="L2550" s="4">
        <f t="shared" si="2"/>
        <v>1.316676439</v>
      </c>
    </row>
    <row r="2551">
      <c r="A2551" s="3" t="s">
        <v>152</v>
      </c>
      <c r="B2551" s="3">
        <v>8.63</v>
      </c>
      <c r="C2551" s="3">
        <v>1.88</v>
      </c>
      <c r="D2551" s="3">
        <v>68.2</v>
      </c>
      <c r="E2551" s="3">
        <v>2.58</v>
      </c>
      <c r="F2551" s="3">
        <v>-2.13</v>
      </c>
      <c r="G2551" s="3">
        <v>53.72</v>
      </c>
      <c r="H2551" s="3">
        <v>0.0</v>
      </c>
      <c r="I2551" s="3">
        <v>104.98</v>
      </c>
      <c r="J2551" s="3">
        <v>0.0</v>
      </c>
      <c r="K2551" s="4">
        <f t="shared" si="1"/>
        <v>2890.3753</v>
      </c>
      <c r="L2551" s="4">
        <f t="shared" si="2"/>
        <v>1.60921663</v>
      </c>
    </row>
    <row r="2552">
      <c r="A2552" s="3" t="s">
        <v>152</v>
      </c>
      <c r="B2552" s="3">
        <v>8.63</v>
      </c>
      <c r="C2552" s="3">
        <v>2.51</v>
      </c>
      <c r="D2552" s="3">
        <v>84.3</v>
      </c>
      <c r="E2552" s="3">
        <v>2.28</v>
      </c>
      <c r="F2552" s="3">
        <v>8.88</v>
      </c>
      <c r="G2552" s="3">
        <v>65.57</v>
      </c>
      <c r="H2552" s="3">
        <v>0.0</v>
      </c>
      <c r="I2552" s="3">
        <v>78.13</v>
      </c>
      <c r="J2552" s="3">
        <v>0.0</v>
      </c>
      <c r="K2552" s="4">
        <f t="shared" si="1"/>
        <v>4378.2793</v>
      </c>
      <c r="L2552" s="4">
        <f t="shared" si="2"/>
        <v>1.623123952</v>
      </c>
    </row>
    <row r="2553">
      <c r="A2553" s="3" t="s">
        <v>152</v>
      </c>
      <c r="B2553" s="3">
        <v>8.63</v>
      </c>
      <c r="C2553" s="3">
        <v>3.13</v>
      </c>
      <c r="D2553" s="3">
        <v>95.3</v>
      </c>
      <c r="E2553" s="3">
        <v>2.01</v>
      </c>
      <c r="F2553" s="3">
        <v>11.55</v>
      </c>
      <c r="G2553" s="3">
        <v>69.99</v>
      </c>
      <c r="H2553" s="3">
        <v>0.0</v>
      </c>
      <c r="I2553" s="3">
        <v>48.41</v>
      </c>
      <c r="J2553" s="3">
        <v>0.0</v>
      </c>
      <c r="K2553" s="4">
        <f t="shared" si="1"/>
        <v>5032.0026</v>
      </c>
      <c r="L2553" s="4">
        <f t="shared" si="2"/>
        <v>1.80486592</v>
      </c>
    </row>
    <row r="2554">
      <c r="A2554" s="3" t="s">
        <v>152</v>
      </c>
      <c r="B2554" s="3">
        <v>8.63</v>
      </c>
      <c r="C2554" s="3">
        <v>3.77</v>
      </c>
      <c r="D2554" s="3">
        <v>106.0</v>
      </c>
      <c r="E2554" s="3">
        <v>3.58</v>
      </c>
      <c r="F2554" s="3">
        <v>16.04</v>
      </c>
      <c r="G2554" s="3">
        <v>70.54</v>
      </c>
      <c r="H2554" s="3">
        <v>0.0</v>
      </c>
      <c r="I2554" s="3">
        <v>33.32</v>
      </c>
      <c r="J2554" s="3">
        <v>0.0</v>
      </c>
      <c r="K2554" s="4">
        <f t="shared" si="1"/>
        <v>5233.1732</v>
      </c>
      <c r="L2554" s="4">
        <f t="shared" si="2"/>
        <v>2.147072067</v>
      </c>
    </row>
    <row r="2555">
      <c r="A2555" s="3" t="s">
        <v>152</v>
      </c>
      <c r="B2555" s="3">
        <v>8.63</v>
      </c>
      <c r="C2555" s="3">
        <v>4.39</v>
      </c>
      <c r="D2555" s="3">
        <v>112.0</v>
      </c>
      <c r="E2555" s="3">
        <v>4.25</v>
      </c>
      <c r="F2555" s="3">
        <v>20.82</v>
      </c>
      <c r="G2555" s="3">
        <v>71.78</v>
      </c>
      <c r="H2555" s="3">
        <v>0.0</v>
      </c>
      <c r="I2555" s="3">
        <v>24.23</v>
      </c>
      <c r="J2555" s="3">
        <v>0.0</v>
      </c>
      <c r="K2555" s="4">
        <f t="shared" si="1"/>
        <v>5585.8408</v>
      </c>
      <c r="L2555" s="4">
        <f t="shared" si="2"/>
        <v>2.245678037</v>
      </c>
    </row>
    <row r="2556">
      <c r="A2556" s="3" t="s">
        <v>152</v>
      </c>
      <c r="B2556" s="3">
        <v>8.63</v>
      </c>
      <c r="C2556" s="3">
        <v>5.02</v>
      </c>
      <c r="D2556" s="3">
        <v>115.0</v>
      </c>
      <c r="E2556" s="3">
        <v>3.18</v>
      </c>
      <c r="F2556" s="3">
        <v>24.3</v>
      </c>
      <c r="G2556" s="3">
        <v>71.41</v>
      </c>
      <c r="H2556" s="3">
        <v>0.0</v>
      </c>
      <c r="I2556" s="3">
        <v>12.56</v>
      </c>
      <c r="J2556" s="3">
        <v>0.0</v>
      </c>
      <c r="K2556" s="4">
        <f t="shared" si="1"/>
        <v>5689.8781</v>
      </c>
      <c r="L2556" s="4">
        <f t="shared" si="2"/>
        <v>2.32430287</v>
      </c>
    </row>
    <row r="2557">
      <c r="A2557" s="3" t="s">
        <v>152</v>
      </c>
      <c r="B2557" s="3">
        <v>8.63</v>
      </c>
      <c r="C2557" s="3">
        <v>5.65</v>
      </c>
      <c r="D2557" s="3">
        <v>116.0</v>
      </c>
      <c r="E2557" s="3">
        <v>2.32</v>
      </c>
      <c r="F2557" s="3">
        <v>25.4</v>
      </c>
      <c r="G2557" s="3">
        <v>67.79</v>
      </c>
      <c r="H2557" s="3">
        <v>0.0</v>
      </c>
      <c r="I2557" s="3">
        <v>6.6</v>
      </c>
      <c r="J2557" s="3">
        <v>0.0</v>
      </c>
      <c r="K2557" s="4">
        <f t="shared" si="1"/>
        <v>5240.6441</v>
      </c>
      <c r="L2557" s="4">
        <f t="shared" si="2"/>
        <v>2.567623319</v>
      </c>
    </row>
    <row r="2558">
      <c r="A2558" s="3" t="s">
        <v>152</v>
      </c>
      <c r="B2558" s="3">
        <v>8.63</v>
      </c>
      <c r="C2558" s="3">
        <v>6.28</v>
      </c>
      <c r="D2558" s="3">
        <v>116.0</v>
      </c>
      <c r="E2558" s="3">
        <v>2.01</v>
      </c>
      <c r="F2558" s="3">
        <v>24.6</v>
      </c>
      <c r="G2558" s="3">
        <v>64.52</v>
      </c>
      <c r="H2558" s="3">
        <v>0.0</v>
      </c>
      <c r="I2558" s="3">
        <v>2.89</v>
      </c>
      <c r="J2558" s="3">
        <v>0.0</v>
      </c>
      <c r="K2558" s="4">
        <f t="shared" si="1"/>
        <v>4767.9904</v>
      </c>
      <c r="L2558" s="4">
        <f t="shared" si="2"/>
        <v>2.822153333</v>
      </c>
    </row>
    <row r="2559">
      <c r="A2559" s="3" t="s">
        <v>152</v>
      </c>
      <c r="B2559" s="3">
        <v>8.63</v>
      </c>
      <c r="C2559" s="3">
        <v>6.9</v>
      </c>
      <c r="D2559" s="3">
        <v>116.0</v>
      </c>
      <c r="E2559" s="3">
        <v>2.28</v>
      </c>
      <c r="F2559" s="3">
        <v>25.5</v>
      </c>
      <c r="G2559" s="3">
        <v>61.11</v>
      </c>
      <c r="H2559" s="3">
        <v>0.0</v>
      </c>
      <c r="I2559" s="3">
        <v>0.0</v>
      </c>
      <c r="J2559" s="3">
        <v>0.0</v>
      </c>
      <c r="K2559" s="4">
        <f t="shared" si="1"/>
        <v>4384.6821</v>
      </c>
      <c r="L2559" s="4">
        <f t="shared" si="2"/>
        <v>3.068865585</v>
      </c>
    </row>
    <row r="2560">
      <c r="A2560" s="3" t="s">
        <v>152</v>
      </c>
      <c r="B2560" s="3">
        <v>8.63</v>
      </c>
      <c r="C2560" s="3">
        <v>7.54</v>
      </c>
      <c r="D2560" s="3">
        <v>114.0</v>
      </c>
      <c r="E2560" s="3">
        <v>3.05</v>
      </c>
      <c r="F2560" s="3">
        <v>25.7</v>
      </c>
      <c r="G2560" s="3">
        <v>56.38</v>
      </c>
      <c r="H2560" s="3">
        <v>0.0</v>
      </c>
      <c r="I2560" s="3">
        <v>0.0</v>
      </c>
      <c r="J2560" s="3">
        <v>0.0</v>
      </c>
      <c r="K2560" s="4">
        <f t="shared" si="1"/>
        <v>3839.1944</v>
      </c>
      <c r="L2560" s="4">
        <f t="shared" si="2"/>
        <v>3.385085163</v>
      </c>
    </row>
    <row r="2561">
      <c r="A2561" s="3" t="s">
        <v>152</v>
      </c>
      <c r="B2561" s="3">
        <v>8.63</v>
      </c>
      <c r="C2561" s="3">
        <v>8.16</v>
      </c>
      <c r="D2561" s="3">
        <v>112.0</v>
      </c>
      <c r="E2561" s="3">
        <v>3.69</v>
      </c>
      <c r="F2561" s="3">
        <v>24.6</v>
      </c>
      <c r="G2561" s="3">
        <v>53.17</v>
      </c>
      <c r="H2561" s="3">
        <v>0.0</v>
      </c>
      <c r="I2561" s="3">
        <v>0.0</v>
      </c>
      <c r="J2561" s="3">
        <v>0.0</v>
      </c>
      <c r="K2561" s="4">
        <f t="shared" si="1"/>
        <v>3432.2089</v>
      </c>
      <c r="L2561" s="4">
        <f t="shared" si="2"/>
        <v>3.654789194</v>
      </c>
    </row>
    <row r="2562">
      <c r="A2562" s="3" t="s">
        <v>152</v>
      </c>
      <c r="B2562" s="3">
        <v>8.63</v>
      </c>
      <c r="C2562" s="3">
        <v>8.79</v>
      </c>
      <c r="D2562" s="3">
        <v>109.0</v>
      </c>
      <c r="E2562" s="3">
        <v>5.1</v>
      </c>
      <c r="F2562" s="3">
        <v>24.9</v>
      </c>
      <c r="G2562" s="3">
        <v>50.65</v>
      </c>
      <c r="H2562" s="3">
        <v>0.0</v>
      </c>
      <c r="I2562" s="3">
        <v>0.0</v>
      </c>
      <c r="J2562" s="3">
        <v>0.0</v>
      </c>
      <c r="K2562" s="4">
        <f t="shared" si="1"/>
        <v>3185.4325</v>
      </c>
      <c r="L2562" s="4">
        <f t="shared" si="2"/>
        <v>3.729791794</v>
      </c>
    </row>
    <row r="2563">
      <c r="A2563" s="3" t="s">
        <v>152</v>
      </c>
      <c r="B2563" s="3">
        <v>8.63</v>
      </c>
      <c r="C2563" s="3">
        <v>9.41</v>
      </c>
      <c r="D2563" s="3">
        <v>107.0</v>
      </c>
      <c r="E2563" s="3">
        <v>6.39</v>
      </c>
      <c r="F2563" s="3">
        <v>27.79</v>
      </c>
      <c r="G2563" s="3">
        <v>48.55</v>
      </c>
      <c r="H2563" s="3">
        <v>0.0</v>
      </c>
      <c r="I2563" s="3">
        <v>0.0</v>
      </c>
      <c r="J2563" s="3">
        <v>0.0</v>
      </c>
      <c r="K2563" s="4">
        <f t="shared" si="1"/>
        <v>3129.3866</v>
      </c>
      <c r="L2563" s="4">
        <f t="shared" si="2"/>
        <v>3.658544457</v>
      </c>
    </row>
    <row r="2564">
      <c r="A2564" s="3" t="s">
        <v>153</v>
      </c>
      <c r="B2564" s="3">
        <v>47.7</v>
      </c>
      <c r="C2564" s="3">
        <v>3.48</v>
      </c>
      <c r="D2564" s="3">
        <v>46.2</v>
      </c>
      <c r="E2564" s="3">
        <v>5.0</v>
      </c>
      <c r="F2564" s="3">
        <v>13.28</v>
      </c>
      <c r="G2564" s="3">
        <v>38.73</v>
      </c>
      <c r="H2564" s="3">
        <v>0.0</v>
      </c>
      <c r="I2564" s="3">
        <v>18.53</v>
      </c>
      <c r="J2564" s="3">
        <v>0.0</v>
      </c>
      <c r="K2564" s="4">
        <f t="shared" si="1"/>
        <v>1676.3713</v>
      </c>
      <c r="L2564" s="4">
        <f t="shared" si="2"/>
        <v>1.273250145</v>
      </c>
    </row>
    <row r="2565">
      <c r="A2565" s="3" t="s">
        <v>153</v>
      </c>
      <c r="B2565" s="3">
        <v>47.7</v>
      </c>
      <c r="C2565" s="3">
        <v>6.94</v>
      </c>
      <c r="D2565" s="3">
        <v>81.1</v>
      </c>
      <c r="E2565" s="3">
        <v>5.0</v>
      </c>
      <c r="F2565" s="3">
        <v>23.37</v>
      </c>
      <c r="G2565" s="3">
        <v>40.0</v>
      </c>
      <c r="H2565" s="3">
        <v>0.0</v>
      </c>
      <c r="I2565" s="3">
        <v>5.85</v>
      </c>
      <c r="J2565" s="3">
        <v>0.0</v>
      </c>
      <c r="K2565" s="4">
        <f t="shared" si="1"/>
        <v>2146.1569</v>
      </c>
      <c r="L2565" s="4">
        <f t="shared" si="2"/>
        <v>3.06464546</v>
      </c>
    </row>
    <row r="2566">
      <c r="A2566" s="3" t="s">
        <v>153</v>
      </c>
      <c r="B2566" s="3">
        <v>47.7</v>
      </c>
      <c r="C2566" s="3">
        <v>10.42</v>
      </c>
      <c r="D2566" s="3">
        <v>91.2</v>
      </c>
      <c r="E2566" s="3">
        <v>5.0</v>
      </c>
      <c r="F2566" s="3">
        <v>31.3</v>
      </c>
      <c r="G2566" s="3">
        <v>39.75</v>
      </c>
      <c r="H2566" s="3">
        <v>0.0</v>
      </c>
      <c r="I2566" s="3">
        <v>2.23</v>
      </c>
      <c r="J2566" s="3">
        <v>0.0</v>
      </c>
      <c r="K2566" s="4">
        <f t="shared" si="1"/>
        <v>2559.7525</v>
      </c>
      <c r="L2566" s="4">
        <f t="shared" si="2"/>
        <v>3.249314143</v>
      </c>
    </row>
    <row r="2567">
      <c r="A2567" s="3" t="s">
        <v>153</v>
      </c>
      <c r="B2567" s="3">
        <v>47.7</v>
      </c>
      <c r="C2567" s="3">
        <v>13.89</v>
      </c>
      <c r="D2567" s="3">
        <v>97.7</v>
      </c>
      <c r="E2567" s="3">
        <v>5.0</v>
      </c>
      <c r="F2567" s="3">
        <v>35.52</v>
      </c>
      <c r="G2567" s="3">
        <v>35.72</v>
      </c>
      <c r="H2567" s="3">
        <v>0.0</v>
      </c>
      <c r="I2567" s="3">
        <v>0.62</v>
      </c>
      <c r="J2567" s="3">
        <v>0.0</v>
      </c>
      <c r="K2567" s="4">
        <f t="shared" si="1"/>
        <v>2537.5888</v>
      </c>
      <c r="L2567" s="4">
        <f t="shared" si="2"/>
        <v>3.761559004</v>
      </c>
    </row>
    <row r="2568">
      <c r="A2568" s="3" t="s">
        <v>153</v>
      </c>
      <c r="B2568" s="3">
        <v>47.7</v>
      </c>
      <c r="C2568" s="3">
        <v>16.22</v>
      </c>
      <c r="D2568" s="3">
        <v>100.0</v>
      </c>
      <c r="E2568" s="3">
        <v>5.0</v>
      </c>
      <c r="F2568" s="3">
        <v>46.95</v>
      </c>
      <c r="G2568" s="3">
        <v>33.5</v>
      </c>
      <c r="H2568" s="3">
        <v>0.0</v>
      </c>
      <c r="I2568" s="3">
        <v>0.0</v>
      </c>
      <c r="J2568" s="3">
        <v>0.0</v>
      </c>
      <c r="K2568" s="4">
        <f t="shared" si="1"/>
        <v>3326.5525</v>
      </c>
      <c r="L2568" s="4">
        <f t="shared" si="2"/>
        <v>3.00611519</v>
      </c>
    </row>
    <row r="2569">
      <c r="A2569" s="3" t="s">
        <v>154</v>
      </c>
      <c r="B2569" s="3">
        <v>18.0</v>
      </c>
      <c r="C2569" s="3">
        <v>0.87</v>
      </c>
      <c r="D2569" s="3">
        <v>24.8</v>
      </c>
      <c r="E2569" s="3">
        <v>6.5</v>
      </c>
      <c r="F2569" s="3">
        <v>2.79</v>
      </c>
      <c r="G2569" s="3">
        <v>20.37</v>
      </c>
      <c r="H2569" s="3">
        <v>0.0</v>
      </c>
      <c r="I2569" s="3">
        <v>60.4</v>
      </c>
      <c r="J2569" s="3">
        <v>0.0</v>
      </c>
      <c r="K2569" s="4">
        <f t="shared" si="1"/>
        <v>422.721</v>
      </c>
      <c r="L2569" s="4">
        <f t="shared" si="2"/>
        <v>1.454954923</v>
      </c>
    </row>
    <row r="2570">
      <c r="A2570" s="3" t="s">
        <v>154</v>
      </c>
      <c r="B2570" s="3">
        <v>18.0</v>
      </c>
      <c r="C2570" s="3">
        <v>1.74</v>
      </c>
      <c r="D2570" s="3">
        <v>46.2</v>
      </c>
      <c r="E2570" s="3">
        <v>5.6</v>
      </c>
      <c r="F2570" s="3">
        <v>5.75</v>
      </c>
      <c r="G2570" s="3">
        <v>32.61</v>
      </c>
      <c r="H2570" s="3">
        <v>0.0</v>
      </c>
      <c r="I2570" s="3">
        <v>37.93</v>
      </c>
      <c r="J2570" s="3">
        <v>0.0</v>
      </c>
      <c r="K2570" s="4">
        <f t="shared" si="1"/>
        <v>1096.4746</v>
      </c>
      <c r="L2570" s="4">
        <f t="shared" si="2"/>
        <v>1.9466388</v>
      </c>
    </row>
    <row r="2571">
      <c r="A2571" s="3" t="s">
        <v>154</v>
      </c>
      <c r="B2571" s="3">
        <v>18.0</v>
      </c>
      <c r="C2571" s="3">
        <v>2.61</v>
      </c>
      <c r="D2571" s="3">
        <v>60.5</v>
      </c>
      <c r="E2571" s="3">
        <v>5.8</v>
      </c>
      <c r="F2571" s="3">
        <v>9.11</v>
      </c>
      <c r="G2571" s="3">
        <v>37.1</v>
      </c>
      <c r="H2571" s="3">
        <v>0.0</v>
      </c>
      <c r="I2571" s="3">
        <v>26.87</v>
      </c>
      <c r="J2571" s="3">
        <v>0.0</v>
      </c>
      <c r="K2571" s="4">
        <f t="shared" si="1"/>
        <v>1459.4021</v>
      </c>
      <c r="L2571" s="4">
        <f t="shared" si="2"/>
        <v>2.508047645</v>
      </c>
    </row>
    <row r="2572">
      <c r="A2572" s="3" t="s">
        <v>154</v>
      </c>
      <c r="B2572" s="3">
        <v>18.0</v>
      </c>
      <c r="C2572" s="3">
        <v>3.5</v>
      </c>
      <c r="D2572" s="3">
        <v>69.6</v>
      </c>
      <c r="E2572" s="3">
        <v>3.9</v>
      </c>
      <c r="F2572" s="3">
        <v>13.36</v>
      </c>
      <c r="G2572" s="3">
        <v>42.69</v>
      </c>
      <c r="H2572" s="3">
        <v>0.0</v>
      </c>
      <c r="I2572" s="3">
        <v>19.23</v>
      </c>
      <c r="J2572" s="3">
        <v>0.0</v>
      </c>
      <c r="K2572" s="4">
        <f t="shared" si="1"/>
        <v>2000.9257</v>
      </c>
      <c r="L2572" s="4">
        <f t="shared" si="2"/>
        <v>2.420959459</v>
      </c>
    </row>
    <row r="2573">
      <c r="A2573" s="3" t="s">
        <v>154</v>
      </c>
      <c r="B2573" s="3">
        <v>18.0</v>
      </c>
      <c r="C2573" s="3">
        <v>4.37</v>
      </c>
      <c r="D2573" s="3">
        <v>77.5</v>
      </c>
      <c r="E2573" s="3">
        <v>3.7</v>
      </c>
      <c r="F2573" s="3">
        <v>16.6</v>
      </c>
      <c r="G2573" s="3">
        <v>44.26</v>
      </c>
      <c r="H2573" s="3">
        <v>0.0</v>
      </c>
      <c r="I2573" s="3">
        <v>11.73</v>
      </c>
      <c r="J2573" s="3">
        <v>0.0</v>
      </c>
      <c r="K2573" s="4">
        <f t="shared" si="1"/>
        <v>2234.5076</v>
      </c>
      <c r="L2573" s="4">
        <f t="shared" si="2"/>
        <v>2.68795237</v>
      </c>
    </row>
    <row r="2574">
      <c r="A2574" s="3" t="s">
        <v>154</v>
      </c>
      <c r="B2574" s="3">
        <v>18.0</v>
      </c>
      <c r="C2574" s="3">
        <v>5.24</v>
      </c>
      <c r="D2574" s="3">
        <v>82.9</v>
      </c>
      <c r="E2574" s="3">
        <v>4.5</v>
      </c>
      <c r="F2574" s="3">
        <v>20.91</v>
      </c>
      <c r="G2574" s="3">
        <v>44.12</v>
      </c>
      <c r="H2574" s="3">
        <v>0.0</v>
      </c>
      <c r="I2574" s="3">
        <v>7.5</v>
      </c>
      <c r="J2574" s="3">
        <v>0.0</v>
      </c>
      <c r="K2574" s="4">
        <f t="shared" si="1"/>
        <v>2383.8025</v>
      </c>
      <c r="L2574" s="4">
        <f t="shared" si="2"/>
        <v>2.882961151</v>
      </c>
    </row>
    <row r="2575">
      <c r="A2575" s="3" t="s">
        <v>154</v>
      </c>
      <c r="B2575" s="3">
        <v>18.0</v>
      </c>
      <c r="C2575" s="3">
        <v>6.11</v>
      </c>
      <c r="D2575" s="3">
        <v>84.1</v>
      </c>
      <c r="E2575" s="3">
        <v>4.9</v>
      </c>
      <c r="F2575" s="3">
        <v>23.38</v>
      </c>
      <c r="G2575" s="3">
        <v>43.61</v>
      </c>
      <c r="H2575" s="3">
        <v>0.0</v>
      </c>
      <c r="I2575" s="3">
        <v>4.83</v>
      </c>
      <c r="J2575" s="3">
        <v>0.0</v>
      </c>
      <c r="K2575" s="4">
        <f t="shared" si="1"/>
        <v>2448.4565</v>
      </c>
      <c r="L2575" s="4">
        <f t="shared" si="2"/>
        <v>2.888681094</v>
      </c>
    </row>
    <row r="2576">
      <c r="A2576" s="3" t="s">
        <v>154</v>
      </c>
      <c r="B2576" s="3">
        <v>18.0</v>
      </c>
      <c r="C2576" s="3">
        <v>6.98</v>
      </c>
      <c r="D2576" s="3">
        <v>85.6</v>
      </c>
      <c r="E2576" s="3">
        <v>4.9</v>
      </c>
      <c r="F2576" s="3">
        <v>23.92</v>
      </c>
      <c r="G2576" s="3">
        <v>43.31</v>
      </c>
      <c r="H2576" s="3">
        <v>0.0</v>
      </c>
      <c r="I2576" s="3">
        <v>3.4</v>
      </c>
      <c r="J2576" s="3">
        <v>0.0</v>
      </c>
      <c r="K2576" s="4">
        <f t="shared" si="1"/>
        <v>2447.9225</v>
      </c>
      <c r="L2576" s="4">
        <f t="shared" si="2"/>
        <v>2.993297378</v>
      </c>
    </row>
    <row r="2577">
      <c r="A2577" s="3" t="s">
        <v>154</v>
      </c>
      <c r="B2577" s="3">
        <v>18.0</v>
      </c>
      <c r="C2577" s="3">
        <v>7.85</v>
      </c>
      <c r="D2577" s="3">
        <v>87.6</v>
      </c>
      <c r="E2577" s="3">
        <v>4.9</v>
      </c>
      <c r="F2577" s="3">
        <v>25.86</v>
      </c>
      <c r="G2577" s="3">
        <v>40.62</v>
      </c>
      <c r="H2577" s="3">
        <v>0.0</v>
      </c>
      <c r="I2577" s="3">
        <v>0.0</v>
      </c>
      <c r="J2577" s="3">
        <v>0.0</v>
      </c>
      <c r="K2577" s="4">
        <f t="shared" si="1"/>
        <v>2318.724</v>
      </c>
      <c r="L2577" s="4">
        <f t="shared" si="2"/>
        <v>3.309475384</v>
      </c>
    </row>
    <row r="2578">
      <c r="A2578" s="3" t="s">
        <v>32</v>
      </c>
      <c r="B2578" s="3">
        <v>12.0</v>
      </c>
      <c r="C2578" s="3">
        <v>0.58</v>
      </c>
      <c r="D2578" s="3">
        <v>31.3</v>
      </c>
      <c r="E2578" s="3">
        <v>6.3</v>
      </c>
      <c r="F2578" s="3">
        <v>0.0</v>
      </c>
      <c r="G2578" s="3">
        <v>21.35</v>
      </c>
      <c r="H2578" s="3">
        <v>0.0</v>
      </c>
      <c r="I2578" s="3">
        <v>74.79</v>
      </c>
      <c r="J2578" s="3">
        <v>0.0</v>
      </c>
      <c r="K2578" s="4">
        <f t="shared" si="1"/>
        <v>455.8225</v>
      </c>
      <c r="L2578" s="4">
        <f t="shared" si="2"/>
        <v>2.149279599</v>
      </c>
    </row>
    <row r="2579">
      <c r="A2579" s="3" t="s">
        <v>32</v>
      </c>
      <c r="B2579" s="3">
        <v>12.0</v>
      </c>
      <c r="C2579" s="3">
        <v>1.16</v>
      </c>
      <c r="D2579" s="3">
        <v>54.8</v>
      </c>
      <c r="E2579" s="3">
        <v>5.8</v>
      </c>
      <c r="F2579" s="3">
        <v>2.75</v>
      </c>
      <c r="G2579" s="3">
        <v>29.36</v>
      </c>
      <c r="H2579" s="3">
        <v>0.0</v>
      </c>
      <c r="I2579" s="3">
        <v>33.7</v>
      </c>
      <c r="J2579" s="3">
        <v>0.0</v>
      </c>
      <c r="K2579" s="4">
        <f t="shared" si="1"/>
        <v>869.5721</v>
      </c>
      <c r="L2579" s="4">
        <f t="shared" si="2"/>
        <v>3.453468666</v>
      </c>
    </row>
    <row r="2580">
      <c r="A2580" s="3" t="s">
        <v>32</v>
      </c>
      <c r="B2580" s="3">
        <v>12.0</v>
      </c>
      <c r="C2580" s="3">
        <v>1.74</v>
      </c>
      <c r="D2580" s="3">
        <v>61.1</v>
      </c>
      <c r="E2580" s="3">
        <v>4.1</v>
      </c>
      <c r="F2580" s="3">
        <v>6.18</v>
      </c>
      <c r="G2580" s="3">
        <v>30.8</v>
      </c>
      <c r="H2580" s="3">
        <v>0.0</v>
      </c>
      <c r="I2580" s="3">
        <v>20.14</v>
      </c>
      <c r="J2580" s="3">
        <v>0.0</v>
      </c>
      <c r="K2580" s="4">
        <f t="shared" si="1"/>
        <v>986.8324</v>
      </c>
      <c r="L2580" s="4">
        <f t="shared" si="2"/>
        <v>3.783023338</v>
      </c>
    </row>
    <row r="2581">
      <c r="A2581" s="3" t="s">
        <v>32</v>
      </c>
      <c r="B2581" s="3">
        <v>12.0</v>
      </c>
      <c r="C2581" s="3">
        <v>2.33</v>
      </c>
      <c r="D2581" s="3">
        <v>63.9</v>
      </c>
      <c r="E2581" s="3">
        <v>4.1</v>
      </c>
      <c r="F2581" s="3">
        <v>7.45</v>
      </c>
      <c r="G2581" s="3">
        <v>31.81</v>
      </c>
      <c r="H2581" s="3">
        <v>0.0</v>
      </c>
      <c r="I2581" s="3">
        <v>12.32</v>
      </c>
      <c r="J2581" s="3">
        <v>0.0</v>
      </c>
      <c r="K2581" s="4">
        <f t="shared" si="1"/>
        <v>1067.3786</v>
      </c>
      <c r="L2581" s="4">
        <f t="shared" si="2"/>
        <v>3.825456122</v>
      </c>
    </row>
    <row r="2582">
      <c r="A2582" s="3" t="s">
        <v>32</v>
      </c>
      <c r="B2582" s="3">
        <v>12.0</v>
      </c>
      <c r="C2582" s="3">
        <v>2.91</v>
      </c>
      <c r="D2582" s="3">
        <v>67.2</v>
      </c>
      <c r="E2582" s="3">
        <v>4.1</v>
      </c>
      <c r="F2582" s="3">
        <v>14.25</v>
      </c>
      <c r="G2582" s="3">
        <v>31.67</v>
      </c>
      <c r="H2582" s="3">
        <v>0.0</v>
      </c>
      <c r="I2582" s="3">
        <v>9.18</v>
      </c>
      <c r="J2582" s="3">
        <v>0.0</v>
      </c>
      <c r="K2582" s="4">
        <f t="shared" si="1"/>
        <v>1206.0514</v>
      </c>
      <c r="L2582" s="4">
        <f t="shared" si="2"/>
        <v>3.744318028</v>
      </c>
    </row>
    <row r="2583">
      <c r="A2583" s="3" t="s">
        <v>32</v>
      </c>
      <c r="B2583" s="3">
        <v>12.0</v>
      </c>
      <c r="C2583" s="3">
        <v>3.49</v>
      </c>
      <c r="D2583" s="3">
        <v>70.4</v>
      </c>
      <c r="E2583" s="3">
        <v>3.6</v>
      </c>
      <c r="F2583" s="3">
        <v>16.89</v>
      </c>
      <c r="G2583" s="3">
        <v>31.97</v>
      </c>
      <c r="H2583" s="3">
        <v>0.0</v>
      </c>
      <c r="I2583" s="3">
        <v>6.44</v>
      </c>
      <c r="J2583" s="3">
        <v>0.0</v>
      </c>
      <c r="K2583" s="4">
        <f t="shared" si="1"/>
        <v>1307.353</v>
      </c>
      <c r="L2583" s="4">
        <f t="shared" si="2"/>
        <v>3.790988356</v>
      </c>
    </row>
    <row r="2584">
      <c r="A2584" s="3" t="s">
        <v>32</v>
      </c>
      <c r="B2584" s="3">
        <v>12.0</v>
      </c>
      <c r="C2584" s="3">
        <v>4.07</v>
      </c>
      <c r="D2584" s="3">
        <v>73.7</v>
      </c>
      <c r="E2584" s="3">
        <v>3.6</v>
      </c>
      <c r="F2584" s="3">
        <v>15.31</v>
      </c>
      <c r="G2584" s="3">
        <v>32.15</v>
      </c>
      <c r="H2584" s="3">
        <v>0.0</v>
      </c>
      <c r="I2584" s="3">
        <v>4.92</v>
      </c>
      <c r="J2584" s="3">
        <v>0.0</v>
      </c>
      <c r="K2584" s="4">
        <f t="shared" si="1"/>
        <v>1268.0186</v>
      </c>
      <c r="L2584" s="4">
        <f t="shared" si="2"/>
        <v>4.283604357</v>
      </c>
    </row>
    <row r="2585">
      <c r="A2585" s="3" t="s">
        <v>32</v>
      </c>
      <c r="B2585" s="3">
        <v>12.0</v>
      </c>
      <c r="C2585" s="3">
        <v>4.65</v>
      </c>
      <c r="D2585" s="3">
        <v>78.0</v>
      </c>
      <c r="E2585" s="3">
        <v>4.1</v>
      </c>
      <c r="F2585" s="3">
        <v>18.83</v>
      </c>
      <c r="G2585" s="3">
        <v>31.31</v>
      </c>
      <c r="H2585" s="3">
        <v>0.0</v>
      </c>
      <c r="I2585" s="3">
        <v>2.36</v>
      </c>
      <c r="J2585" s="3">
        <v>0.0</v>
      </c>
      <c r="K2585" s="4">
        <f t="shared" si="1"/>
        <v>1334.885</v>
      </c>
      <c r="L2585" s="4">
        <f t="shared" si="2"/>
        <v>4.557695981</v>
      </c>
    </row>
    <row r="2586">
      <c r="A2586" s="3" t="s">
        <v>32</v>
      </c>
      <c r="B2586" s="3">
        <v>12.0</v>
      </c>
      <c r="C2586" s="3">
        <v>5.23</v>
      </c>
      <c r="D2586" s="3">
        <v>80.8</v>
      </c>
      <c r="E2586" s="3">
        <v>4.1</v>
      </c>
      <c r="F2586" s="3">
        <v>23.23</v>
      </c>
      <c r="G2586" s="3">
        <v>29.91</v>
      </c>
      <c r="H2586" s="3">
        <v>0.0</v>
      </c>
      <c r="I2586" s="3">
        <v>1.67</v>
      </c>
      <c r="J2586" s="3">
        <v>0.0</v>
      </c>
      <c r="K2586" s="4">
        <f t="shared" si="1"/>
        <v>1434.241</v>
      </c>
      <c r="L2586" s="4">
        <f t="shared" si="2"/>
        <v>4.551982547</v>
      </c>
    </row>
    <row r="2587">
      <c r="A2587" s="3" t="s">
        <v>32</v>
      </c>
      <c r="B2587" s="3">
        <v>12.0</v>
      </c>
      <c r="C2587" s="3">
        <v>5.81</v>
      </c>
      <c r="D2587" s="3">
        <v>80.5</v>
      </c>
      <c r="E2587" s="3">
        <v>3.6</v>
      </c>
      <c r="F2587" s="3">
        <v>26.13</v>
      </c>
      <c r="G2587" s="3">
        <v>28.44</v>
      </c>
      <c r="H2587" s="3">
        <v>0.0</v>
      </c>
      <c r="I2587" s="3">
        <v>1.22</v>
      </c>
      <c r="J2587" s="3">
        <v>0.0</v>
      </c>
      <c r="K2587" s="4">
        <f t="shared" si="1"/>
        <v>1491.6105</v>
      </c>
      <c r="L2587" s="4">
        <f t="shared" si="2"/>
        <v>4.344465261</v>
      </c>
    </row>
    <row r="2588">
      <c r="A2588" s="3" t="s">
        <v>32</v>
      </c>
      <c r="B2588" s="3">
        <v>12.0</v>
      </c>
      <c r="C2588" s="3">
        <v>6.4</v>
      </c>
      <c r="D2588" s="3">
        <v>81.3</v>
      </c>
      <c r="E2588" s="3">
        <v>3.6</v>
      </c>
      <c r="F2588" s="3">
        <v>28.95</v>
      </c>
      <c r="G2588" s="3">
        <v>27.55</v>
      </c>
      <c r="H2588" s="3">
        <v>0.0</v>
      </c>
      <c r="I2588" s="3">
        <v>0.87</v>
      </c>
      <c r="J2588" s="3">
        <v>0.0</v>
      </c>
      <c r="K2588" s="4">
        <f t="shared" si="1"/>
        <v>1597.105</v>
      </c>
      <c r="L2588" s="4">
        <f t="shared" si="2"/>
        <v>4.138544429</v>
      </c>
    </row>
    <row r="2589">
      <c r="A2589" s="3" t="s">
        <v>32</v>
      </c>
      <c r="B2589" s="3">
        <v>12.0</v>
      </c>
      <c r="C2589" s="3">
        <v>6.98</v>
      </c>
      <c r="D2589" s="3">
        <v>82.1</v>
      </c>
      <c r="E2589" s="3">
        <v>4.6</v>
      </c>
      <c r="F2589" s="3">
        <v>31.41</v>
      </c>
      <c r="G2589" s="3">
        <v>26.52</v>
      </c>
      <c r="H2589" s="3">
        <v>0.0</v>
      </c>
      <c r="I2589" s="3">
        <v>0.59</v>
      </c>
      <c r="J2589" s="3">
        <v>0.0</v>
      </c>
      <c r="K2589" s="4">
        <f t="shared" si="1"/>
        <v>1689.8985</v>
      </c>
      <c r="L2589" s="4">
        <f t="shared" si="2"/>
        <v>3.988647839</v>
      </c>
    </row>
    <row r="2590">
      <c r="A2590" s="3" t="s">
        <v>32</v>
      </c>
      <c r="B2590" s="3">
        <v>12.0</v>
      </c>
      <c r="C2590" s="3">
        <v>7.62</v>
      </c>
      <c r="D2590" s="3">
        <v>82.8</v>
      </c>
      <c r="E2590" s="3">
        <v>4.6</v>
      </c>
      <c r="F2590" s="3">
        <v>34.05</v>
      </c>
      <c r="G2590" s="3">
        <v>25.42</v>
      </c>
      <c r="H2590" s="3">
        <v>0.0</v>
      </c>
      <c r="I2590" s="3">
        <v>0.38</v>
      </c>
      <c r="J2590" s="3">
        <v>0.0</v>
      </c>
      <c r="K2590" s="4">
        <f t="shared" si="1"/>
        <v>1805.5789</v>
      </c>
      <c r="L2590" s="4">
        <f t="shared" si="2"/>
        <v>3.797031523</v>
      </c>
    </row>
    <row r="2591">
      <c r="A2591" s="3" t="s">
        <v>32</v>
      </c>
      <c r="B2591" s="3">
        <v>12.0</v>
      </c>
      <c r="C2591" s="3">
        <v>8.28</v>
      </c>
      <c r="D2591" s="3">
        <v>84.9</v>
      </c>
      <c r="E2591" s="3">
        <v>5.5</v>
      </c>
      <c r="F2591" s="3">
        <v>34.49</v>
      </c>
      <c r="G2591" s="3">
        <v>24.36</v>
      </c>
      <c r="H2591" s="3">
        <v>0.0</v>
      </c>
      <c r="I2591" s="3">
        <v>0.25</v>
      </c>
      <c r="J2591" s="3">
        <v>0.0</v>
      </c>
      <c r="K2591" s="4">
        <f t="shared" si="1"/>
        <v>1782.9697</v>
      </c>
      <c r="L2591" s="4">
        <f t="shared" si="2"/>
        <v>4.042699099</v>
      </c>
    </row>
    <row r="2592">
      <c r="A2592" s="3" t="s">
        <v>32</v>
      </c>
      <c r="B2592" s="3">
        <v>12.0</v>
      </c>
      <c r="C2592" s="3">
        <v>8.9</v>
      </c>
      <c r="D2592" s="3">
        <v>84.3</v>
      </c>
      <c r="E2592" s="3">
        <v>5.5</v>
      </c>
      <c r="F2592" s="3">
        <v>32.03</v>
      </c>
      <c r="G2592" s="3">
        <v>23.44</v>
      </c>
      <c r="H2592" s="3">
        <v>0.0</v>
      </c>
      <c r="I2592" s="3">
        <v>0.16</v>
      </c>
      <c r="J2592" s="3">
        <v>0.0</v>
      </c>
      <c r="K2592" s="4">
        <f t="shared" si="1"/>
        <v>1575.3545</v>
      </c>
      <c r="L2592" s="4">
        <f t="shared" si="2"/>
        <v>4.5110418</v>
      </c>
    </row>
    <row r="2593">
      <c r="A2593" s="3" t="s">
        <v>32</v>
      </c>
      <c r="B2593" s="3">
        <v>12.0</v>
      </c>
      <c r="C2593" s="3">
        <v>9.52</v>
      </c>
      <c r="D2593" s="3">
        <v>83.2</v>
      </c>
      <c r="E2593" s="3">
        <v>7.0</v>
      </c>
      <c r="F2593" s="3">
        <v>32.29</v>
      </c>
      <c r="G2593" s="3">
        <v>22.66</v>
      </c>
      <c r="H2593" s="3">
        <v>0.0</v>
      </c>
      <c r="I2593" s="3">
        <v>0.11</v>
      </c>
      <c r="J2593" s="3">
        <v>0.0</v>
      </c>
      <c r="K2593" s="4">
        <f t="shared" si="1"/>
        <v>1556.1197</v>
      </c>
      <c r="L2593" s="4">
        <f t="shared" si="2"/>
        <v>4.448398153</v>
      </c>
    </row>
    <row r="2594">
      <c r="A2594" s="3" t="s">
        <v>32</v>
      </c>
      <c r="B2594" s="3">
        <v>12.0</v>
      </c>
      <c r="C2594" s="3">
        <v>10.22</v>
      </c>
      <c r="D2594" s="3">
        <v>80.1</v>
      </c>
      <c r="E2594" s="3">
        <v>10.8</v>
      </c>
      <c r="F2594" s="3">
        <v>33.08</v>
      </c>
      <c r="G2594" s="3">
        <v>21.62</v>
      </c>
      <c r="H2594" s="3">
        <v>0.0</v>
      </c>
      <c r="I2594" s="3">
        <v>0.0</v>
      </c>
      <c r="J2594" s="3">
        <v>0.0</v>
      </c>
      <c r="K2594" s="4">
        <f t="shared" si="1"/>
        <v>1561.7108</v>
      </c>
      <c r="L2594" s="4">
        <f t="shared" si="2"/>
        <v>4.108321464</v>
      </c>
    </row>
    <row r="2595">
      <c r="A2595" s="3" t="s">
        <v>155</v>
      </c>
      <c r="B2595" s="3">
        <v>88.7</v>
      </c>
      <c r="C2595" s="3">
        <v>3.23</v>
      </c>
      <c r="D2595" s="3">
        <v>194.0</v>
      </c>
      <c r="E2595" s="3">
        <v>16.7</v>
      </c>
      <c r="F2595" s="3">
        <v>-7.97</v>
      </c>
      <c r="G2595" s="3">
        <v>37.15</v>
      </c>
      <c r="H2595" s="3">
        <v>248.5</v>
      </c>
      <c r="I2595" s="3">
        <v>78.56</v>
      </c>
      <c r="J2595" s="3">
        <v>371.12</v>
      </c>
      <c r="K2595" s="4">
        <f t="shared" si="1"/>
        <v>1443.6434</v>
      </c>
      <c r="L2595" s="4">
        <f t="shared" si="2"/>
        <v>26.07015001</v>
      </c>
    </row>
    <row r="2596">
      <c r="A2596" s="3" t="s">
        <v>155</v>
      </c>
      <c r="B2596" s="3">
        <v>88.7</v>
      </c>
      <c r="C2596" s="3">
        <v>9.18</v>
      </c>
      <c r="D2596" s="3">
        <v>172.0</v>
      </c>
      <c r="E2596" s="3">
        <v>8.1</v>
      </c>
      <c r="F2596" s="3">
        <v>-15.63</v>
      </c>
      <c r="G2596" s="3">
        <v>83.53</v>
      </c>
      <c r="H2596" s="3">
        <v>176.71</v>
      </c>
      <c r="I2596" s="3">
        <v>55.52</v>
      </c>
      <c r="J2596" s="3">
        <v>1.14</v>
      </c>
      <c r="K2596" s="4">
        <f t="shared" si="1"/>
        <v>7221.5578</v>
      </c>
      <c r="L2596" s="4">
        <f t="shared" si="2"/>
        <v>4.096623031</v>
      </c>
    </row>
    <row r="2597">
      <c r="A2597" s="3" t="s">
        <v>155</v>
      </c>
      <c r="B2597" s="3">
        <v>88.7</v>
      </c>
      <c r="C2597" s="3">
        <v>10.64</v>
      </c>
      <c r="D2597" s="3">
        <v>170.0</v>
      </c>
      <c r="E2597" s="3">
        <v>10.7</v>
      </c>
      <c r="F2597" s="3">
        <v>-16.24</v>
      </c>
      <c r="G2597" s="3">
        <v>92.09</v>
      </c>
      <c r="H2597" s="3">
        <v>164.32</v>
      </c>
      <c r="I2597" s="3">
        <v>54.39</v>
      </c>
      <c r="J2597" s="3">
        <v>0.17</v>
      </c>
      <c r="K2597" s="4">
        <f t="shared" si="1"/>
        <v>8744.3057</v>
      </c>
      <c r="L2597" s="4">
        <f t="shared" si="2"/>
        <v>3.305007966</v>
      </c>
    </row>
    <row r="2598">
      <c r="A2598" s="3" t="s">
        <v>155</v>
      </c>
      <c r="B2598" s="3">
        <v>88.7</v>
      </c>
      <c r="C2598" s="3">
        <v>11.58</v>
      </c>
      <c r="D2598" s="3">
        <v>170.0</v>
      </c>
      <c r="E2598" s="3">
        <v>6.8</v>
      </c>
      <c r="F2598" s="3">
        <v>-16.14</v>
      </c>
      <c r="G2598" s="3">
        <v>99.29</v>
      </c>
      <c r="H2598" s="3">
        <v>157.52</v>
      </c>
      <c r="I2598" s="3">
        <v>52.22</v>
      </c>
      <c r="J2598" s="3">
        <v>0.05</v>
      </c>
      <c r="K2598" s="4">
        <f t="shared" si="1"/>
        <v>10119.0037</v>
      </c>
      <c r="L2598" s="4">
        <f t="shared" si="2"/>
        <v>2.856012396</v>
      </c>
    </row>
    <row r="2599">
      <c r="A2599" s="3" t="s">
        <v>155</v>
      </c>
      <c r="B2599" s="3">
        <v>88.7</v>
      </c>
      <c r="C2599" s="3">
        <v>12.52</v>
      </c>
      <c r="D2599" s="3">
        <v>171.0</v>
      </c>
      <c r="E2599" s="3">
        <v>6.8</v>
      </c>
      <c r="F2599" s="3">
        <v>-16.04</v>
      </c>
      <c r="G2599" s="3">
        <v>107.74</v>
      </c>
      <c r="H2599" s="3">
        <v>151.54</v>
      </c>
      <c r="I2599" s="3">
        <v>52.54</v>
      </c>
      <c r="J2599" s="3">
        <v>0.01</v>
      </c>
      <c r="K2599" s="4">
        <f t="shared" si="1"/>
        <v>11865.1892</v>
      </c>
      <c r="L2599" s="4">
        <f t="shared" si="2"/>
        <v>2.46443605</v>
      </c>
    </row>
    <row r="2600">
      <c r="A2600" s="3" t="s">
        <v>155</v>
      </c>
      <c r="B2600" s="3">
        <v>88.7</v>
      </c>
      <c r="C2600" s="3">
        <v>13.57</v>
      </c>
      <c r="D2600" s="3">
        <v>172.0</v>
      </c>
      <c r="E2600" s="3">
        <v>12.1</v>
      </c>
      <c r="F2600" s="3">
        <v>-16.04</v>
      </c>
      <c r="G2600" s="3">
        <v>120.8</v>
      </c>
      <c r="H2600" s="3">
        <v>145.51</v>
      </c>
      <c r="I2600" s="3">
        <v>47.48</v>
      </c>
      <c r="J2600" s="3">
        <v>0.0</v>
      </c>
      <c r="K2600" s="4">
        <f t="shared" si="1"/>
        <v>14849.9216</v>
      </c>
      <c r="L2600" s="4">
        <f t="shared" si="2"/>
        <v>1.99219907</v>
      </c>
    </row>
    <row r="2601">
      <c r="A2601" s="3" t="s">
        <v>155</v>
      </c>
      <c r="B2601" s="3">
        <v>88.7</v>
      </c>
      <c r="C2601" s="3">
        <v>15.76</v>
      </c>
      <c r="D2601" s="3">
        <v>174.0</v>
      </c>
      <c r="E2601" s="3">
        <v>19.6</v>
      </c>
      <c r="F2601" s="3">
        <v>-15.53</v>
      </c>
      <c r="G2601" s="3">
        <v>131.65</v>
      </c>
      <c r="H2601" s="3">
        <v>135.02</v>
      </c>
      <c r="I2601" s="3">
        <v>27.3</v>
      </c>
      <c r="J2601" s="3">
        <v>0.0</v>
      </c>
      <c r="K2601" s="4">
        <f t="shared" si="1"/>
        <v>17572.9034</v>
      </c>
      <c r="L2601" s="4">
        <f t="shared" si="2"/>
        <v>1.722879783</v>
      </c>
    </row>
    <row r="2602">
      <c r="A2602" s="3" t="s">
        <v>155</v>
      </c>
      <c r="B2602" s="3">
        <v>88.7</v>
      </c>
      <c r="C2602" s="3">
        <v>24.94</v>
      </c>
      <c r="D2602" s="3">
        <v>193.0</v>
      </c>
      <c r="E2602" s="3">
        <v>23.2</v>
      </c>
      <c r="F2602" s="3">
        <v>18.69</v>
      </c>
      <c r="G2602" s="3">
        <v>111.71</v>
      </c>
      <c r="H2602" s="3">
        <v>107.35</v>
      </c>
      <c r="I2602" s="3">
        <v>3.42</v>
      </c>
      <c r="J2602" s="3">
        <v>0.0</v>
      </c>
      <c r="K2602" s="4">
        <f t="shared" si="1"/>
        <v>12828.4402</v>
      </c>
      <c r="L2602" s="4">
        <f t="shared" si="2"/>
        <v>2.903626584</v>
      </c>
    </row>
    <row r="2603">
      <c r="A2603" s="3" t="s">
        <v>155</v>
      </c>
      <c r="B2603" s="3">
        <v>88.7</v>
      </c>
      <c r="C2603" s="3">
        <v>26.3</v>
      </c>
      <c r="D2603" s="3">
        <v>194.0</v>
      </c>
      <c r="E2603" s="3">
        <v>23.0</v>
      </c>
      <c r="F2603" s="3">
        <v>21.04</v>
      </c>
      <c r="G2603" s="3">
        <v>108.26</v>
      </c>
      <c r="H2603" s="3">
        <v>104.53</v>
      </c>
      <c r="I2603" s="3">
        <v>2.78</v>
      </c>
      <c r="J2603" s="3">
        <v>0.0</v>
      </c>
      <c r="K2603" s="4">
        <f t="shared" si="1"/>
        <v>12162.9092</v>
      </c>
      <c r="L2603" s="4">
        <f t="shared" si="2"/>
        <v>3.094325492</v>
      </c>
    </row>
    <row r="2604">
      <c r="A2604" s="3" t="s">
        <v>155</v>
      </c>
      <c r="B2604" s="3">
        <v>88.7</v>
      </c>
      <c r="C2604" s="3">
        <v>34.96</v>
      </c>
      <c r="D2604" s="3">
        <v>201.0</v>
      </c>
      <c r="E2604" s="3">
        <v>7.2</v>
      </c>
      <c r="F2604" s="3">
        <v>34.22</v>
      </c>
      <c r="G2604" s="3">
        <v>92.64</v>
      </c>
      <c r="H2604" s="3">
        <v>90.67</v>
      </c>
      <c r="I2604" s="3">
        <v>0.0</v>
      </c>
      <c r="J2604" s="3">
        <v>0.0</v>
      </c>
      <c r="K2604" s="4">
        <f t="shared" si="1"/>
        <v>9753.178</v>
      </c>
      <c r="L2604" s="4">
        <f t="shared" si="2"/>
        <v>4.142342117</v>
      </c>
    </row>
    <row r="2605">
      <c r="A2605" s="3" t="s">
        <v>155</v>
      </c>
      <c r="B2605" s="3">
        <v>88.7</v>
      </c>
      <c r="C2605" s="3">
        <v>36.84</v>
      </c>
      <c r="D2605" s="3">
        <v>202.0</v>
      </c>
      <c r="E2605" s="3">
        <v>17.1</v>
      </c>
      <c r="F2605" s="3">
        <v>37.39</v>
      </c>
      <c r="G2605" s="3">
        <v>88.8</v>
      </c>
      <c r="H2605" s="3">
        <v>88.32</v>
      </c>
      <c r="I2605" s="3">
        <v>0.0</v>
      </c>
      <c r="J2605" s="3">
        <v>0.0</v>
      </c>
      <c r="K2605" s="4">
        <f t="shared" si="1"/>
        <v>9283.4521</v>
      </c>
      <c r="L2605" s="4">
        <f t="shared" si="2"/>
        <v>4.395347718</v>
      </c>
    </row>
    <row r="2606">
      <c r="A2606" s="3" t="s">
        <v>155</v>
      </c>
      <c r="B2606" s="3">
        <v>88.7</v>
      </c>
      <c r="C2606" s="3">
        <v>47.38</v>
      </c>
      <c r="D2606" s="3">
        <v>205.0</v>
      </c>
      <c r="E2606" s="3">
        <v>16.0</v>
      </c>
      <c r="F2606" s="3">
        <v>54.35</v>
      </c>
      <c r="G2606" s="3">
        <v>75.25</v>
      </c>
      <c r="H2606" s="3">
        <v>77.88</v>
      </c>
      <c r="I2606" s="3">
        <v>0.0</v>
      </c>
      <c r="J2606" s="3">
        <v>0.0</v>
      </c>
      <c r="K2606" s="4">
        <f t="shared" si="1"/>
        <v>8616.485</v>
      </c>
      <c r="L2606" s="4">
        <f t="shared" si="2"/>
        <v>4.877278844</v>
      </c>
    </row>
    <row r="2607">
      <c r="A2607" s="3" t="s">
        <v>155</v>
      </c>
      <c r="B2607" s="3">
        <v>88.7</v>
      </c>
      <c r="C2607" s="3">
        <v>64.59</v>
      </c>
      <c r="D2607" s="3">
        <v>204.0</v>
      </c>
      <c r="E2607" s="3">
        <v>16.0</v>
      </c>
      <c r="F2607" s="3">
        <v>61.29</v>
      </c>
      <c r="G2607" s="3">
        <v>63.17</v>
      </c>
      <c r="H2607" s="3">
        <v>66.7</v>
      </c>
      <c r="I2607" s="3">
        <v>0.0</v>
      </c>
      <c r="J2607" s="3">
        <v>0.0</v>
      </c>
      <c r="K2607" s="4">
        <f t="shared" si="1"/>
        <v>7746.913</v>
      </c>
      <c r="L2607" s="4">
        <f t="shared" si="2"/>
        <v>5.371946219</v>
      </c>
    </row>
    <row r="2608">
      <c r="A2608" s="3" t="s">
        <v>156</v>
      </c>
      <c r="B2608" s="3">
        <v>15.1</v>
      </c>
      <c r="C2608" s="3">
        <v>1.1</v>
      </c>
      <c r="D2608" s="3">
        <v>26.9</v>
      </c>
      <c r="E2608" s="3">
        <v>8.27</v>
      </c>
      <c r="F2608" s="3">
        <v>3.02</v>
      </c>
      <c r="G2608" s="3">
        <v>29.07</v>
      </c>
      <c r="H2608" s="3">
        <v>0.0</v>
      </c>
      <c r="I2608" s="3">
        <v>62.46</v>
      </c>
      <c r="J2608" s="3">
        <v>0.0</v>
      </c>
      <c r="K2608" s="4">
        <f t="shared" si="1"/>
        <v>854.1853</v>
      </c>
      <c r="L2608" s="4">
        <f t="shared" si="2"/>
        <v>0.8471346908</v>
      </c>
    </row>
    <row r="2609">
      <c r="A2609" s="3" t="s">
        <v>156</v>
      </c>
      <c r="B2609" s="3">
        <v>15.1</v>
      </c>
      <c r="C2609" s="3">
        <v>2.2</v>
      </c>
      <c r="D2609" s="3">
        <v>38.0</v>
      </c>
      <c r="E2609" s="3">
        <v>8.27</v>
      </c>
      <c r="F2609" s="3">
        <v>-3.24</v>
      </c>
      <c r="G2609" s="3">
        <v>37.16</v>
      </c>
      <c r="H2609" s="3">
        <v>0.0</v>
      </c>
      <c r="I2609" s="3">
        <v>33.06</v>
      </c>
      <c r="J2609" s="3">
        <v>0.0</v>
      </c>
      <c r="K2609" s="4">
        <f t="shared" si="1"/>
        <v>1391.3632</v>
      </c>
      <c r="L2609" s="4">
        <f t="shared" si="2"/>
        <v>1.0378311</v>
      </c>
    </row>
    <row r="2610">
      <c r="A2610" s="3" t="s">
        <v>156</v>
      </c>
      <c r="B2610" s="3">
        <v>15.1</v>
      </c>
      <c r="C2610" s="3">
        <v>3.3</v>
      </c>
      <c r="D2610" s="3">
        <v>40.5</v>
      </c>
      <c r="E2610" s="3">
        <v>8.27</v>
      </c>
      <c r="F2610" s="3">
        <v>12.42</v>
      </c>
      <c r="G2610" s="3">
        <v>41.22</v>
      </c>
      <c r="H2610" s="3">
        <v>0.0</v>
      </c>
      <c r="I2610" s="3">
        <v>23.94</v>
      </c>
      <c r="J2610" s="3">
        <v>0.0</v>
      </c>
      <c r="K2610" s="4">
        <f t="shared" si="1"/>
        <v>1853.3448</v>
      </c>
      <c r="L2610" s="4">
        <f t="shared" si="2"/>
        <v>0.8850215027</v>
      </c>
    </row>
    <row r="2611">
      <c r="A2611" s="3" t="s">
        <v>156</v>
      </c>
      <c r="B2611" s="3">
        <v>15.1</v>
      </c>
      <c r="C2611" s="3">
        <v>4.39</v>
      </c>
      <c r="D2611" s="3">
        <v>41.4</v>
      </c>
      <c r="E2611" s="3">
        <v>8.27</v>
      </c>
      <c r="F2611" s="3">
        <v>16.39</v>
      </c>
      <c r="G2611" s="3">
        <v>45.0</v>
      </c>
      <c r="H2611" s="3">
        <v>0.0</v>
      </c>
      <c r="I2611" s="3">
        <v>17.12</v>
      </c>
      <c r="J2611" s="3">
        <v>0.0</v>
      </c>
      <c r="K2611" s="4">
        <f t="shared" si="1"/>
        <v>2293.6321</v>
      </c>
      <c r="L2611" s="4">
        <f t="shared" si="2"/>
        <v>0.7472689277</v>
      </c>
    </row>
    <row r="2612">
      <c r="A2612" s="3" t="s">
        <v>156</v>
      </c>
      <c r="B2612" s="3">
        <v>15.1</v>
      </c>
      <c r="C2612" s="3">
        <v>5.5</v>
      </c>
      <c r="D2612" s="3">
        <v>42.3</v>
      </c>
      <c r="E2612" s="3">
        <v>8.27</v>
      </c>
      <c r="F2612" s="3">
        <v>20.17</v>
      </c>
      <c r="G2612" s="3">
        <v>46.13</v>
      </c>
      <c r="H2612" s="3">
        <v>0.0</v>
      </c>
      <c r="I2612" s="3">
        <v>11.39</v>
      </c>
      <c r="J2612" s="3">
        <v>0.0</v>
      </c>
      <c r="K2612" s="4">
        <f t="shared" si="1"/>
        <v>2534.8058</v>
      </c>
      <c r="L2612" s="4">
        <f t="shared" si="2"/>
        <v>0.7058883959</v>
      </c>
    </row>
    <row r="2613">
      <c r="A2613" s="3" t="s">
        <v>156</v>
      </c>
      <c r="B2613" s="3">
        <v>15.1</v>
      </c>
      <c r="C2613" s="3">
        <v>6.59</v>
      </c>
      <c r="D2613" s="3">
        <v>42.3</v>
      </c>
      <c r="E2613" s="3">
        <v>8.27</v>
      </c>
      <c r="F2613" s="3">
        <v>25.63</v>
      </c>
      <c r="G2613" s="3">
        <v>47.72</v>
      </c>
      <c r="H2613" s="3">
        <v>0.0</v>
      </c>
      <c r="I2613" s="3">
        <v>7.71</v>
      </c>
      <c r="J2613" s="3">
        <v>0.0</v>
      </c>
      <c r="K2613" s="4">
        <f t="shared" si="1"/>
        <v>2934.0953</v>
      </c>
      <c r="L2613" s="4">
        <f t="shared" si="2"/>
        <v>0.6098268178</v>
      </c>
    </row>
    <row r="2614">
      <c r="A2614" s="3" t="s">
        <v>156</v>
      </c>
      <c r="B2614" s="3">
        <v>15.1</v>
      </c>
      <c r="C2614" s="3">
        <v>7.69</v>
      </c>
      <c r="D2614" s="3">
        <v>42.3</v>
      </c>
      <c r="E2614" s="3">
        <v>8.27</v>
      </c>
      <c r="F2614" s="3">
        <v>31.39</v>
      </c>
      <c r="G2614" s="3">
        <v>46.74</v>
      </c>
      <c r="H2614" s="3">
        <v>0.0</v>
      </c>
      <c r="I2614" s="3">
        <v>4.88</v>
      </c>
      <c r="J2614" s="3">
        <v>0.0</v>
      </c>
      <c r="K2614" s="4">
        <f t="shared" si="1"/>
        <v>3169.9597</v>
      </c>
      <c r="L2614" s="4">
        <f t="shared" si="2"/>
        <v>0.5644519708</v>
      </c>
    </row>
    <row r="2615">
      <c r="A2615" s="3" t="s">
        <v>157</v>
      </c>
      <c r="B2615" s="3">
        <v>18.0</v>
      </c>
      <c r="C2615" s="3">
        <v>0.87</v>
      </c>
      <c r="D2615" s="3">
        <v>26.6</v>
      </c>
      <c r="E2615" s="3">
        <v>4.4</v>
      </c>
      <c r="F2615" s="3">
        <v>0.0</v>
      </c>
      <c r="G2615" s="3">
        <v>6.92</v>
      </c>
      <c r="H2615" s="3">
        <v>0.0</v>
      </c>
      <c r="I2615" s="3">
        <v>10.79</v>
      </c>
      <c r="J2615" s="3">
        <v>0.0</v>
      </c>
      <c r="K2615" s="4">
        <f t="shared" si="1"/>
        <v>47.8864</v>
      </c>
      <c r="L2615" s="4">
        <f t="shared" si="2"/>
        <v>14.77580273</v>
      </c>
    </row>
    <row r="2616">
      <c r="A2616" s="3" t="s">
        <v>157</v>
      </c>
      <c r="B2616" s="3">
        <v>18.0</v>
      </c>
      <c r="C2616" s="3">
        <v>1.74</v>
      </c>
      <c r="D2616" s="3">
        <v>45.2</v>
      </c>
      <c r="E2616" s="3">
        <v>2.7</v>
      </c>
      <c r="F2616" s="3">
        <v>0.0</v>
      </c>
      <c r="G2616" s="3">
        <v>10.96</v>
      </c>
      <c r="H2616" s="3">
        <v>0.0</v>
      </c>
      <c r="I2616" s="3">
        <v>8.69</v>
      </c>
      <c r="J2616" s="3">
        <v>0.0</v>
      </c>
      <c r="K2616" s="4">
        <f t="shared" si="1"/>
        <v>120.1216</v>
      </c>
      <c r="L2616" s="4">
        <f t="shared" si="2"/>
        <v>17.00809846</v>
      </c>
    </row>
    <row r="2617">
      <c r="A2617" s="3" t="s">
        <v>157</v>
      </c>
      <c r="B2617" s="3">
        <v>18.0</v>
      </c>
      <c r="C2617" s="3">
        <v>2.61</v>
      </c>
      <c r="D2617" s="3">
        <v>57.0</v>
      </c>
      <c r="E2617" s="3">
        <v>3.9</v>
      </c>
      <c r="F2617" s="3">
        <v>8.65</v>
      </c>
      <c r="G2617" s="3">
        <v>14.33</v>
      </c>
      <c r="H2617" s="3">
        <v>0.0</v>
      </c>
      <c r="I2617" s="3">
        <v>6.97</v>
      </c>
      <c r="J2617" s="3">
        <v>0.0</v>
      </c>
      <c r="K2617" s="4">
        <f t="shared" si="1"/>
        <v>280.1714</v>
      </c>
      <c r="L2617" s="4">
        <f t="shared" si="2"/>
        <v>11.59647273</v>
      </c>
    </row>
    <row r="2618">
      <c r="A2618" s="3" t="s">
        <v>157</v>
      </c>
      <c r="B2618" s="3">
        <v>18.0</v>
      </c>
      <c r="C2618" s="3">
        <v>3.5</v>
      </c>
      <c r="D2618" s="3">
        <v>69.3</v>
      </c>
      <c r="E2618" s="3">
        <v>3.0</v>
      </c>
      <c r="F2618" s="3">
        <v>16.06</v>
      </c>
      <c r="G2618" s="3">
        <v>16.78</v>
      </c>
      <c r="H2618" s="3">
        <v>0.0</v>
      </c>
      <c r="I2618" s="3">
        <v>5.78</v>
      </c>
      <c r="J2618" s="3">
        <v>0.0</v>
      </c>
      <c r="K2618" s="4">
        <f t="shared" si="1"/>
        <v>539.492</v>
      </c>
      <c r="L2618" s="4">
        <f t="shared" si="2"/>
        <v>8.901874356</v>
      </c>
    </row>
    <row r="2619">
      <c r="A2619" s="3" t="s">
        <v>157</v>
      </c>
      <c r="B2619" s="3">
        <v>18.0</v>
      </c>
      <c r="C2619" s="3">
        <v>4.37</v>
      </c>
      <c r="D2619" s="3">
        <v>77.3</v>
      </c>
      <c r="E2619" s="3">
        <v>3.4</v>
      </c>
      <c r="F2619" s="3">
        <v>18.32</v>
      </c>
      <c r="G2619" s="3">
        <v>18.48</v>
      </c>
      <c r="H2619" s="3">
        <v>0.0</v>
      </c>
      <c r="I2619" s="3">
        <v>4.81</v>
      </c>
      <c r="J2619" s="3">
        <v>0.0</v>
      </c>
      <c r="K2619" s="4">
        <f t="shared" si="1"/>
        <v>677.1328</v>
      </c>
      <c r="L2619" s="4">
        <f t="shared" si="2"/>
        <v>8.824398995</v>
      </c>
    </row>
    <row r="2620">
      <c r="A2620" s="3" t="s">
        <v>157</v>
      </c>
      <c r="B2620" s="3">
        <v>18.0</v>
      </c>
      <c r="C2620" s="3">
        <v>5.24</v>
      </c>
      <c r="D2620" s="3">
        <v>80.7</v>
      </c>
      <c r="E2620" s="3">
        <v>3.9</v>
      </c>
      <c r="F2620" s="3">
        <v>22.41</v>
      </c>
      <c r="G2620" s="3">
        <v>20.02</v>
      </c>
      <c r="H2620" s="3">
        <v>0.0</v>
      </c>
      <c r="I2620" s="3">
        <v>4.19</v>
      </c>
      <c r="J2620" s="3">
        <v>0.0</v>
      </c>
      <c r="K2620" s="4">
        <f t="shared" si="1"/>
        <v>903.0085</v>
      </c>
      <c r="L2620" s="4">
        <f t="shared" si="2"/>
        <v>7.211991914</v>
      </c>
    </row>
    <row r="2621">
      <c r="A2621" s="3" t="s">
        <v>157</v>
      </c>
      <c r="B2621" s="3">
        <v>18.0</v>
      </c>
      <c r="C2621" s="3">
        <v>6.11</v>
      </c>
      <c r="D2621" s="3">
        <v>84.0</v>
      </c>
      <c r="E2621" s="3">
        <v>3.0</v>
      </c>
      <c r="F2621" s="3">
        <v>23.49</v>
      </c>
      <c r="G2621" s="3">
        <v>21.36</v>
      </c>
      <c r="H2621" s="3">
        <v>0.0</v>
      </c>
      <c r="I2621" s="3">
        <v>3.64</v>
      </c>
      <c r="J2621" s="3">
        <v>0.0</v>
      </c>
      <c r="K2621" s="4">
        <f t="shared" si="1"/>
        <v>1008.0297</v>
      </c>
      <c r="L2621" s="4">
        <f t="shared" si="2"/>
        <v>6.999793756</v>
      </c>
    </row>
    <row r="2622">
      <c r="A2622" s="3" t="s">
        <v>157</v>
      </c>
      <c r="B2622" s="3">
        <v>18.0</v>
      </c>
      <c r="C2622" s="3">
        <v>6.98</v>
      </c>
      <c r="D2622" s="3">
        <v>85.0</v>
      </c>
      <c r="E2622" s="3">
        <v>3.0</v>
      </c>
      <c r="F2622" s="3">
        <v>25.65</v>
      </c>
      <c r="G2622" s="3">
        <v>22.68</v>
      </c>
      <c r="H2622" s="3">
        <v>0.0</v>
      </c>
      <c r="I2622" s="3">
        <v>3.22</v>
      </c>
      <c r="J2622" s="3">
        <v>0.0</v>
      </c>
      <c r="K2622" s="4">
        <f t="shared" si="1"/>
        <v>1172.3049</v>
      </c>
      <c r="L2622" s="4">
        <f t="shared" si="2"/>
        <v>6.163072423</v>
      </c>
    </row>
    <row r="2623">
      <c r="A2623" s="3" t="s">
        <v>157</v>
      </c>
      <c r="B2623" s="3">
        <v>18.0</v>
      </c>
      <c r="C2623" s="3">
        <v>7.85</v>
      </c>
      <c r="D2623" s="3">
        <v>85.7</v>
      </c>
      <c r="E2623" s="3">
        <v>3.4</v>
      </c>
      <c r="F2623" s="3">
        <v>24.46</v>
      </c>
      <c r="G2623" s="3">
        <v>24.0</v>
      </c>
      <c r="H2623" s="3">
        <v>0.0</v>
      </c>
      <c r="I2623" s="3">
        <v>2.82</v>
      </c>
      <c r="J2623" s="3">
        <v>0.0</v>
      </c>
      <c r="K2623" s="4">
        <f t="shared" si="1"/>
        <v>1174.2916</v>
      </c>
      <c r="L2623" s="4">
        <f t="shared" si="2"/>
        <v>6.254400525</v>
      </c>
    </row>
    <row r="2624">
      <c r="A2624" s="3" t="s">
        <v>0</v>
      </c>
      <c r="B2624" s="3" t="s">
        <v>47</v>
      </c>
      <c r="C2624" s="3" t="s">
        <v>48</v>
      </c>
      <c r="D2624" s="3" t="s">
        <v>49</v>
      </c>
      <c r="E2624" s="3" t="s">
        <v>50</v>
      </c>
      <c r="F2624" s="3" t="s">
        <v>51</v>
      </c>
      <c r="G2624" s="3" t="s">
        <v>52</v>
      </c>
      <c r="H2624" s="3" t="s">
        <v>53</v>
      </c>
      <c r="I2624" s="3" t="s">
        <v>54</v>
      </c>
      <c r="J2624" s="3" t="s">
        <v>55</v>
      </c>
      <c r="K2624" s="4" t="str">
        <f t="shared" si="1"/>
        <v>#VALUE!</v>
      </c>
      <c r="L2624" s="4" t="str">
        <f t="shared" si="2"/>
        <v>#VALUE!</v>
      </c>
    </row>
    <row r="2625">
      <c r="A2625" s="3" t="s">
        <v>158</v>
      </c>
      <c r="B2625" s="3">
        <v>29.3</v>
      </c>
      <c r="C2625" s="3">
        <v>0.16</v>
      </c>
      <c r="D2625" s="3">
        <v>160.0</v>
      </c>
      <c r="E2625" s="3">
        <v>36.0</v>
      </c>
      <c r="F2625" s="3">
        <v>-1.22</v>
      </c>
      <c r="G2625" s="3">
        <v>8.07</v>
      </c>
      <c r="H2625" s="3">
        <v>119.49</v>
      </c>
      <c r="I2625" s="3">
        <v>516.57</v>
      </c>
      <c r="J2625" s="3">
        <v>16013.38</v>
      </c>
      <c r="K2625" s="4">
        <f t="shared" si="1"/>
        <v>66.6133</v>
      </c>
      <c r="L2625" s="4">
        <f t="shared" si="2"/>
        <v>384.3076383</v>
      </c>
    </row>
    <row r="2626">
      <c r="A2626" s="3" t="s">
        <v>158</v>
      </c>
      <c r="B2626" s="3">
        <v>29.3</v>
      </c>
      <c r="C2626" s="3">
        <v>0.32</v>
      </c>
      <c r="D2626" s="3">
        <v>177.0</v>
      </c>
      <c r="E2626" s="3">
        <v>30.9</v>
      </c>
      <c r="F2626" s="3">
        <v>-1.2</v>
      </c>
      <c r="G2626" s="3">
        <v>15.74</v>
      </c>
      <c r="H2626" s="3">
        <v>184.15</v>
      </c>
      <c r="I2626" s="3">
        <v>504.88</v>
      </c>
      <c r="J2626" s="3">
        <v>8275.13</v>
      </c>
      <c r="K2626" s="4">
        <f t="shared" si="1"/>
        <v>249.1876</v>
      </c>
      <c r="L2626" s="4">
        <f t="shared" si="2"/>
        <v>125.7245545</v>
      </c>
    </row>
    <row r="2627">
      <c r="A2627" s="3" t="s">
        <v>158</v>
      </c>
      <c r="B2627" s="3">
        <v>29.3</v>
      </c>
      <c r="C2627" s="3">
        <v>0.49</v>
      </c>
      <c r="D2627" s="3">
        <v>180.0</v>
      </c>
      <c r="E2627" s="3">
        <v>25.3</v>
      </c>
      <c r="F2627" s="3">
        <v>-1.08</v>
      </c>
      <c r="G2627" s="3">
        <v>23.42</v>
      </c>
      <c r="H2627" s="3">
        <v>201.67</v>
      </c>
      <c r="I2627" s="3">
        <v>492.74</v>
      </c>
      <c r="J2627" s="3">
        <v>4561.05</v>
      </c>
      <c r="K2627" s="4">
        <f t="shared" si="1"/>
        <v>549.6628</v>
      </c>
      <c r="L2627" s="4">
        <f t="shared" si="2"/>
        <v>58.94522969</v>
      </c>
    </row>
    <row r="2628">
      <c r="A2628" s="3" t="s">
        <v>158</v>
      </c>
      <c r="B2628" s="3">
        <v>29.3</v>
      </c>
      <c r="C2628" s="3">
        <v>0.65</v>
      </c>
      <c r="D2628" s="3">
        <v>180.0</v>
      </c>
      <c r="E2628" s="3">
        <v>32.0</v>
      </c>
      <c r="F2628" s="3">
        <v>-0.96</v>
      </c>
      <c r="G2628" s="3">
        <v>30.3</v>
      </c>
      <c r="H2628" s="3">
        <v>207.64</v>
      </c>
      <c r="I2628" s="3">
        <v>481.58</v>
      </c>
      <c r="J2628" s="3">
        <v>2982.73</v>
      </c>
      <c r="K2628" s="4">
        <f t="shared" si="1"/>
        <v>919.0116</v>
      </c>
      <c r="L2628" s="4">
        <f t="shared" si="2"/>
        <v>35.25526772</v>
      </c>
    </row>
    <row r="2629">
      <c r="A2629" s="3" t="s">
        <v>158</v>
      </c>
      <c r="B2629" s="3">
        <v>29.3</v>
      </c>
      <c r="C2629" s="3">
        <v>1.3</v>
      </c>
      <c r="D2629" s="3">
        <v>182.0</v>
      </c>
      <c r="E2629" s="3">
        <v>4.72</v>
      </c>
      <c r="F2629" s="3">
        <v>-0.33</v>
      </c>
      <c r="G2629" s="3">
        <v>55.43</v>
      </c>
      <c r="H2629" s="3">
        <v>203.18</v>
      </c>
      <c r="I2629" s="3">
        <v>438.8</v>
      </c>
      <c r="J2629" s="3">
        <v>756.43</v>
      </c>
      <c r="K2629" s="4">
        <f t="shared" si="1"/>
        <v>3072.5938</v>
      </c>
      <c r="L2629" s="4">
        <f t="shared" si="2"/>
        <v>10.78046828</v>
      </c>
    </row>
    <row r="2630">
      <c r="A2630" s="3" t="s">
        <v>158</v>
      </c>
      <c r="B2630" s="3">
        <v>29.3</v>
      </c>
      <c r="C2630" s="3">
        <v>1.46</v>
      </c>
      <c r="D2630" s="3">
        <v>183.0</v>
      </c>
      <c r="E2630" s="3">
        <v>10.8</v>
      </c>
      <c r="F2630" s="3">
        <v>0.44</v>
      </c>
      <c r="G2630" s="3">
        <v>61.06</v>
      </c>
      <c r="H2630" s="3">
        <v>200.04</v>
      </c>
      <c r="I2630" s="3">
        <v>428.86</v>
      </c>
      <c r="J2630" s="3">
        <v>576.9</v>
      </c>
      <c r="K2630" s="4">
        <f t="shared" si="1"/>
        <v>3728.5172</v>
      </c>
      <c r="L2630" s="4">
        <f t="shared" si="2"/>
        <v>8.981854771</v>
      </c>
    </row>
    <row r="2631">
      <c r="A2631" s="3" t="s">
        <v>158</v>
      </c>
      <c r="B2631" s="3">
        <v>29.3</v>
      </c>
      <c r="C2631" s="3">
        <v>1.62</v>
      </c>
      <c r="D2631" s="3">
        <v>184.0</v>
      </c>
      <c r="E2631" s="3">
        <v>7.43</v>
      </c>
      <c r="F2631" s="3">
        <v>0.74</v>
      </c>
      <c r="G2631" s="3">
        <v>66.51</v>
      </c>
      <c r="H2631" s="3">
        <v>196.81</v>
      </c>
      <c r="I2631" s="3">
        <v>419.15</v>
      </c>
      <c r="J2631" s="3">
        <v>433.08</v>
      </c>
      <c r="K2631" s="4">
        <f t="shared" si="1"/>
        <v>4424.1277</v>
      </c>
      <c r="L2631" s="4">
        <f t="shared" si="2"/>
        <v>7.652581999</v>
      </c>
    </row>
    <row r="2632">
      <c r="A2632" s="3" t="s">
        <v>158</v>
      </c>
      <c r="B2632" s="3">
        <v>29.3</v>
      </c>
      <c r="C2632" s="3">
        <v>3.72</v>
      </c>
      <c r="D2632" s="3">
        <v>206.0</v>
      </c>
      <c r="E2632" s="3">
        <v>8.42</v>
      </c>
      <c r="F2632" s="3">
        <v>4.94</v>
      </c>
      <c r="G2632" s="3">
        <v>126.3</v>
      </c>
      <c r="H2632" s="3">
        <v>147.67</v>
      </c>
      <c r="I2632" s="3">
        <v>305.74</v>
      </c>
      <c r="J2632" s="3">
        <v>0.87</v>
      </c>
      <c r="K2632" s="4">
        <f t="shared" si="1"/>
        <v>15976.0936</v>
      </c>
      <c r="L2632" s="4">
        <f t="shared" si="2"/>
        <v>2.656218789</v>
      </c>
    </row>
    <row r="2633">
      <c r="A2633" s="3" t="s">
        <v>158</v>
      </c>
      <c r="B2633" s="3">
        <v>29.3</v>
      </c>
      <c r="C2633" s="3">
        <v>3.89</v>
      </c>
      <c r="D2633" s="3">
        <v>207.0</v>
      </c>
      <c r="E2633" s="3">
        <v>4.54</v>
      </c>
      <c r="F2633" s="3">
        <v>5.38</v>
      </c>
      <c r="G2633" s="3">
        <v>130.52</v>
      </c>
      <c r="H2633" s="3">
        <v>144.55</v>
      </c>
      <c r="I2633" s="3">
        <v>297.38</v>
      </c>
      <c r="J2633" s="3">
        <v>0.48</v>
      </c>
      <c r="K2633" s="4">
        <f t="shared" si="1"/>
        <v>17064.4148</v>
      </c>
      <c r="L2633" s="4">
        <f t="shared" si="2"/>
        <v>2.51101491</v>
      </c>
    </row>
    <row r="2634">
      <c r="A2634" s="3" t="s">
        <v>158</v>
      </c>
      <c r="B2634" s="3">
        <v>29.3</v>
      </c>
      <c r="C2634" s="3">
        <v>4.05</v>
      </c>
      <c r="D2634" s="3">
        <v>209.0</v>
      </c>
      <c r="E2634" s="3">
        <v>5.36</v>
      </c>
      <c r="F2634" s="3">
        <v>5.86</v>
      </c>
      <c r="G2634" s="3">
        <v>134.47</v>
      </c>
      <c r="H2634" s="3">
        <v>141.56</v>
      </c>
      <c r="I2634" s="3">
        <v>291.65</v>
      </c>
      <c r="J2634" s="3">
        <v>0.28</v>
      </c>
      <c r="K2634" s="4">
        <f t="shared" si="1"/>
        <v>18116.5205</v>
      </c>
      <c r="L2634" s="4">
        <f t="shared" si="2"/>
        <v>2.411114209</v>
      </c>
    </row>
    <row r="2635">
      <c r="A2635" s="3" t="s">
        <v>158</v>
      </c>
      <c r="B2635" s="3">
        <v>29.3</v>
      </c>
      <c r="C2635" s="3">
        <v>4.22</v>
      </c>
      <c r="D2635" s="3">
        <v>210.0</v>
      </c>
      <c r="E2635" s="3">
        <v>2.43</v>
      </c>
      <c r="F2635" s="3">
        <v>6.37</v>
      </c>
      <c r="G2635" s="3">
        <v>138.94</v>
      </c>
      <c r="H2635" s="3">
        <v>138.76</v>
      </c>
      <c r="I2635" s="3">
        <v>286.76</v>
      </c>
      <c r="J2635" s="3">
        <v>0.16</v>
      </c>
      <c r="K2635" s="4">
        <f t="shared" si="1"/>
        <v>19344.9005</v>
      </c>
      <c r="L2635" s="4">
        <f t="shared" si="2"/>
        <v>2.279670552</v>
      </c>
    </row>
    <row r="2636">
      <c r="A2636" s="3" t="s">
        <v>158</v>
      </c>
      <c r="B2636" s="3">
        <v>29.3</v>
      </c>
      <c r="C2636" s="3">
        <v>4.26</v>
      </c>
      <c r="D2636" s="3">
        <v>210.0</v>
      </c>
      <c r="E2636" s="3">
        <v>4.6</v>
      </c>
      <c r="F2636" s="3">
        <v>6.53</v>
      </c>
      <c r="G2636" s="3">
        <v>140.05</v>
      </c>
      <c r="H2636" s="3">
        <v>138.12</v>
      </c>
      <c r="I2636" s="3">
        <v>285.57</v>
      </c>
      <c r="J2636" s="3">
        <v>0.13</v>
      </c>
      <c r="K2636" s="4">
        <f t="shared" si="1"/>
        <v>19656.6434</v>
      </c>
      <c r="L2636" s="4">
        <f t="shared" si="2"/>
        <v>2.243516307</v>
      </c>
    </row>
    <row r="2637">
      <c r="A2637" s="3" t="s">
        <v>158</v>
      </c>
      <c r="B2637" s="3">
        <v>29.3</v>
      </c>
      <c r="C2637" s="3">
        <v>4.38</v>
      </c>
      <c r="D2637" s="3">
        <v>211.0</v>
      </c>
      <c r="E2637" s="3">
        <v>2.8</v>
      </c>
      <c r="F2637" s="3">
        <v>6.92</v>
      </c>
      <c r="G2637" s="3">
        <v>143.43</v>
      </c>
      <c r="H2637" s="3">
        <v>136.21</v>
      </c>
      <c r="I2637" s="3">
        <v>282.2</v>
      </c>
      <c r="J2637" s="3">
        <v>0.09</v>
      </c>
      <c r="K2637" s="4">
        <f t="shared" si="1"/>
        <v>20620.0513</v>
      </c>
      <c r="L2637" s="4">
        <f t="shared" si="2"/>
        <v>2.15911199</v>
      </c>
    </row>
    <row r="2638">
      <c r="A2638" s="3" t="s">
        <v>158</v>
      </c>
      <c r="B2638" s="3">
        <v>29.3</v>
      </c>
      <c r="C2638" s="3">
        <v>4.54</v>
      </c>
      <c r="D2638" s="3">
        <v>213.0</v>
      </c>
      <c r="E2638" s="3">
        <v>2.18</v>
      </c>
      <c r="F2638" s="3">
        <v>7.46</v>
      </c>
      <c r="G2638" s="3">
        <v>148.24</v>
      </c>
      <c r="H2638" s="3">
        <v>133.79</v>
      </c>
      <c r="I2638" s="3">
        <v>278.12</v>
      </c>
      <c r="J2638" s="3">
        <v>0.05</v>
      </c>
      <c r="K2638" s="4">
        <f t="shared" si="1"/>
        <v>22030.7492</v>
      </c>
      <c r="L2638" s="4">
        <f t="shared" si="2"/>
        <v>2.059348939</v>
      </c>
    </row>
    <row r="2639">
      <c r="A2639" s="3" t="s">
        <v>158</v>
      </c>
      <c r="B2639" s="3">
        <v>29.3</v>
      </c>
      <c r="C2639" s="3">
        <v>4.71</v>
      </c>
      <c r="D2639" s="3">
        <v>214.0</v>
      </c>
      <c r="E2639" s="3">
        <v>7.61</v>
      </c>
      <c r="F2639" s="3">
        <v>7.98</v>
      </c>
      <c r="G2639" s="3">
        <v>153.86</v>
      </c>
      <c r="H2639" s="3">
        <v>131.35</v>
      </c>
      <c r="I2639" s="3">
        <v>269.69</v>
      </c>
      <c r="J2639" s="3">
        <v>0.03</v>
      </c>
      <c r="K2639" s="4">
        <f t="shared" si="1"/>
        <v>23736.58</v>
      </c>
      <c r="L2639" s="4">
        <f t="shared" si="2"/>
        <v>1.929342812</v>
      </c>
    </row>
    <row r="2640">
      <c r="A2640" s="3" t="s">
        <v>158</v>
      </c>
      <c r="B2640" s="3">
        <v>29.3</v>
      </c>
      <c r="C2640" s="3">
        <v>4.86</v>
      </c>
      <c r="D2640" s="3">
        <v>215.0</v>
      </c>
      <c r="E2640" s="3">
        <v>4.7</v>
      </c>
      <c r="F2640" s="3">
        <v>8.49</v>
      </c>
      <c r="G2640" s="3">
        <v>158.53</v>
      </c>
      <c r="H2640" s="3">
        <v>129.31</v>
      </c>
      <c r="I2640" s="3">
        <v>255.82</v>
      </c>
      <c r="J2640" s="3">
        <v>0.02</v>
      </c>
      <c r="K2640" s="4">
        <f t="shared" si="1"/>
        <v>25203.841</v>
      </c>
      <c r="L2640" s="4">
        <f t="shared" si="2"/>
        <v>1.83404585</v>
      </c>
    </row>
    <row r="2641">
      <c r="A2641" s="3" t="s">
        <v>158</v>
      </c>
      <c r="B2641" s="3">
        <v>29.3</v>
      </c>
      <c r="C2641" s="3">
        <v>5.02</v>
      </c>
      <c r="D2641" s="3">
        <v>215.0</v>
      </c>
      <c r="E2641" s="3">
        <v>2.34</v>
      </c>
      <c r="F2641" s="3">
        <v>9.0</v>
      </c>
      <c r="G2641" s="3">
        <v>162.82</v>
      </c>
      <c r="H2641" s="3">
        <v>127.24</v>
      </c>
      <c r="I2641" s="3">
        <v>236.68</v>
      </c>
      <c r="J2641" s="3">
        <v>0.01</v>
      </c>
      <c r="K2641" s="4">
        <f t="shared" si="1"/>
        <v>26591.3524</v>
      </c>
      <c r="L2641" s="4">
        <f t="shared" si="2"/>
        <v>1.738347088</v>
      </c>
    </row>
    <row r="2642">
      <c r="A2642" s="3" t="s">
        <v>158</v>
      </c>
      <c r="B2642" s="3">
        <v>29.3</v>
      </c>
      <c r="C2642" s="3">
        <v>5.18</v>
      </c>
      <c r="D2642" s="3">
        <v>216.0</v>
      </c>
      <c r="E2642" s="3">
        <v>2.95</v>
      </c>
      <c r="F2642" s="3">
        <v>9.51</v>
      </c>
      <c r="G2642" s="3">
        <v>166.08</v>
      </c>
      <c r="H2642" s="3">
        <v>125.27</v>
      </c>
      <c r="I2642" s="3">
        <v>217.59</v>
      </c>
      <c r="J2642" s="3">
        <v>0.01</v>
      </c>
      <c r="K2642" s="4">
        <f t="shared" si="1"/>
        <v>27673.0065</v>
      </c>
      <c r="L2642" s="4">
        <f t="shared" si="2"/>
        <v>1.685975104</v>
      </c>
    </row>
    <row r="2643">
      <c r="A2643" s="3" t="s">
        <v>158</v>
      </c>
      <c r="B2643" s="3">
        <v>29.3</v>
      </c>
      <c r="C2643" s="3">
        <v>5.35</v>
      </c>
      <c r="D2643" s="3">
        <v>217.0</v>
      </c>
      <c r="E2643" s="3">
        <v>4.48</v>
      </c>
      <c r="F2643" s="3">
        <v>10.02</v>
      </c>
      <c r="G2643" s="3">
        <v>168.84</v>
      </c>
      <c r="H2643" s="3">
        <v>123.26</v>
      </c>
      <c r="I2643" s="3">
        <v>198.81</v>
      </c>
      <c r="J2643" s="3">
        <v>0.0</v>
      </c>
      <c r="K2643" s="4">
        <f t="shared" si="1"/>
        <v>28607.346</v>
      </c>
      <c r="L2643" s="4">
        <f t="shared" si="2"/>
        <v>1.646045739</v>
      </c>
    </row>
    <row r="2644">
      <c r="A2644" s="3" t="s">
        <v>158</v>
      </c>
      <c r="B2644" s="3">
        <v>29.3</v>
      </c>
      <c r="C2644" s="3">
        <v>5.51</v>
      </c>
      <c r="D2644" s="3">
        <v>217.0</v>
      </c>
      <c r="E2644" s="3">
        <v>3.99</v>
      </c>
      <c r="F2644" s="3">
        <v>10.53</v>
      </c>
      <c r="G2644" s="3">
        <v>170.67</v>
      </c>
      <c r="H2644" s="3">
        <v>121.46</v>
      </c>
      <c r="I2644" s="3">
        <v>180.68</v>
      </c>
      <c r="J2644" s="3">
        <v>0.0</v>
      </c>
      <c r="K2644" s="4">
        <f t="shared" si="1"/>
        <v>29239.1298</v>
      </c>
      <c r="L2644" s="4">
        <f t="shared" si="2"/>
        <v>1.610478845</v>
      </c>
    </row>
    <row r="2645">
      <c r="A2645" s="3" t="s">
        <v>158</v>
      </c>
      <c r="B2645" s="3">
        <v>29.3</v>
      </c>
      <c r="C2645" s="3">
        <v>5.68</v>
      </c>
      <c r="D2645" s="3">
        <v>218.0</v>
      </c>
      <c r="E2645" s="3">
        <v>5.14</v>
      </c>
      <c r="F2645" s="3">
        <v>11.06</v>
      </c>
      <c r="G2645" s="3">
        <v>171.8</v>
      </c>
      <c r="H2645" s="3">
        <v>119.61</v>
      </c>
      <c r="I2645" s="3">
        <v>163.83</v>
      </c>
      <c r="J2645" s="3">
        <v>0.0</v>
      </c>
      <c r="K2645" s="4">
        <f t="shared" si="1"/>
        <v>29637.5636</v>
      </c>
      <c r="L2645" s="4">
        <f t="shared" si="2"/>
        <v>1.603505627</v>
      </c>
    </row>
    <row r="2646">
      <c r="A2646" s="3" t="s">
        <v>158</v>
      </c>
      <c r="B2646" s="3">
        <v>29.3</v>
      </c>
      <c r="C2646" s="3">
        <v>5.84</v>
      </c>
      <c r="D2646" s="3">
        <v>218.0</v>
      </c>
      <c r="E2646" s="3">
        <v>2.51</v>
      </c>
      <c r="F2646" s="3">
        <v>11.59</v>
      </c>
      <c r="G2646" s="3">
        <v>172.47</v>
      </c>
      <c r="H2646" s="3">
        <v>117.97</v>
      </c>
      <c r="I2646" s="3">
        <v>151.85</v>
      </c>
      <c r="J2646" s="3">
        <v>0.0</v>
      </c>
      <c r="K2646" s="4">
        <f t="shared" si="1"/>
        <v>29880.229</v>
      </c>
      <c r="L2646" s="4">
        <f t="shared" si="2"/>
        <v>1.590483125</v>
      </c>
    </row>
    <row r="2647">
      <c r="A2647" s="3" t="s">
        <v>158</v>
      </c>
      <c r="B2647" s="3">
        <v>29.3</v>
      </c>
      <c r="C2647" s="3">
        <v>6.0</v>
      </c>
      <c r="D2647" s="3">
        <v>219.0</v>
      </c>
      <c r="E2647" s="3">
        <v>3.95</v>
      </c>
      <c r="F2647" s="3">
        <v>12.13</v>
      </c>
      <c r="G2647" s="3">
        <v>172.94</v>
      </c>
      <c r="H2647" s="3">
        <v>116.4</v>
      </c>
      <c r="I2647" s="3">
        <v>142.07</v>
      </c>
      <c r="J2647" s="3">
        <v>0.0</v>
      </c>
      <c r="K2647" s="4">
        <f t="shared" si="1"/>
        <v>30055.3805</v>
      </c>
      <c r="L2647" s="4">
        <f t="shared" si="2"/>
        <v>1.595754211</v>
      </c>
    </row>
    <row r="2648">
      <c r="A2648" s="3" t="s">
        <v>158</v>
      </c>
      <c r="B2648" s="3">
        <v>29.3</v>
      </c>
      <c r="C2648" s="3">
        <v>6.15</v>
      </c>
      <c r="D2648" s="3">
        <v>219.0</v>
      </c>
      <c r="E2648" s="3">
        <v>7.84</v>
      </c>
      <c r="F2648" s="3">
        <v>12.55</v>
      </c>
      <c r="G2648" s="3">
        <v>173.44</v>
      </c>
      <c r="H2648" s="3">
        <v>114.95</v>
      </c>
      <c r="I2648" s="3">
        <v>134.81</v>
      </c>
      <c r="J2648" s="3">
        <v>0.0</v>
      </c>
      <c r="K2648" s="4">
        <f t="shared" si="1"/>
        <v>30238.9361</v>
      </c>
      <c r="L2648" s="4">
        <f t="shared" si="2"/>
        <v>1.586067706</v>
      </c>
    </row>
    <row r="2649">
      <c r="A2649" s="3" t="s">
        <v>158</v>
      </c>
      <c r="B2649" s="3">
        <v>29.3</v>
      </c>
      <c r="C2649" s="3">
        <v>6.48</v>
      </c>
      <c r="D2649" s="3">
        <v>219.0</v>
      </c>
      <c r="E2649" s="3">
        <v>7.74</v>
      </c>
      <c r="F2649" s="3">
        <v>13.72</v>
      </c>
      <c r="G2649" s="3">
        <v>174.41</v>
      </c>
      <c r="H2649" s="3">
        <v>111.99</v>
      </c>
      <c r="I2649" s="3">
        <v>115.63</v>
      </c>
      <c r="J2649" s="3">
        <v>0.0</v>
      </c>
      <c r="K2649" s="4">
        <f t="shared" si="1"/>
        <v>30607.0865</v>
      </c>
      <c r="L2649" s="4">
        <f t="shared" si="2"/>
        <v>1.56699005</v>
      </c>
    </row>
    <row r="2650">
      <c r="A2650" s="3" t="s">
        <v>158</v>
      </c>
      <c r="B2650" s="3">
        <v>29.3</v>
      </c>
      <c r="C2650" s="3">
        <v>6.64</v>
      </c>
      <c r="D2650" s="3">
        <v>219.0</v>
      </c>
      <c r="E2650" s="3">
        <v>6.69</v>
      </c>
      <c r="F2650" s="3">
        <v>14.25</v>
      </c>
      <c r="G2650" s="3">
        <v>174.58</v>
      </c>
      <c r="H2650" s="3">
        <v>110.63</v>
      </c>
      <c r="I2650" s="3">
        <v>107.0</v>
      </c>
      <c r="J2650" s="3">
        <v>0.0</v>
      </c>
      <c r="K2650" s="4">
        <f t="shared" si="1"/>
        <v>30681.2389</v>
      </c>
      <c r="L2650" s="4">
        <f t="shared" si="2"/>
        <v>1.563202847</v>
      </c>
    </row>
    <row r="2651">
      <c r="A2651" s="3" t="s">
        <v>158</v>
      </c>
      <c r="B2651" s="3">
        <v>29.3</v>
      </c>
      <c r="C2651" s="3">
        <v>6.81</v>
      </c>
      <c r="D2651" s="3">
        <v>220.0</v>
      </c>
      <c r="E2651" s="3">
        <v>6.26</v>
      </c>
      <c r="F2651" s="3">
        <v>14.68</v>
      </c>
      <c r="G2651" s="3">
        <v>174.53</v>
      </c>
      <c r="H2651" s="3">
        <v>109.24</v>
      </c>
      <c r="I2651" s="3">
        <v>98.11</v>
      </c>
      <c r="J2651" s="3">
        <v>0.0</v>
      </c>
      <c r="K2651" s="4">
        <f t="shared" si="1"/>
        <v>30676.2233</v>
      </c>
      <c r="L2651" s="4">
        <f t="shared" si="2"/>
        <v>1.57776919</v>
      </c>
    </row>
    <row r="2652">
      <c r="A2652" s="3" t="s">
        <v>158</v>
      </c>
      <c r="B2652" s="3">
        <v>29.3</v>
      </c>
      <c r="C2652" s="3">
        <v>7.1</v>
      </c>
      <c r="D2652" s="3">
        <v>220.0</v>
      </c>
      <c r="E2652" s="3">
        <v>2.52</v>
      </c>
      <c r="F2652" s="3">
        <v>15.64</v>
      </c>
      <c r="G2652" s="3">
        <v>174.07</v>
      </c>
      <c r="H2652" s="3">
        <v>106.99</v>
      </c>
      <c r="I2652" s="3">
        <v>82.68</v>
      </c>
      <c r="J2652" s="3">
        <v>0.0</v>
      </c>
      <c r="K2652" s="4">
        <f t="shared" si="1"/>
        <v>30544.9745</v>
      </c>
      <c r="L2652" s="4">
        <f t="shared" si="2"/>
        <v>1.584548712</v>
      </c>
    </row>
    <row r="2653">
      <c r="A2653" s="3" t="s">
        <v>158</v>
      </c>
      <c r="B2653" s="3">
        <v>29.3</v>
      </c>
      <c r="C2653" s="3">
        <v>7.13</v>
      </c>
      <c r="D2653" s="3">
        <v>220.0</v>
      </c>
      <c r="E2653" s="3">
        <v>11.4</v>
      </c>
      <c r="F2653" s="3">
        <v>15.74</v>
      </c>
      <c r="G2653" s="3">
        <v>173.95</v>
      </c>
      <c r="H2653" s="3">
        <v>106.76</v>
      </c>
      <c r="I2653" s="3">
        <v>81.11</v>
      </c>
      <c r="J2653" s="3">
        <v>0.0</v>
      </c>
      <c r="K2653" s="4">
        <f t="shared" si="1"/>
        <v>30506.3501</v>
      </c>
      <c r="L2653" s="4">
        <f t="shared" si="2"/>
        <v>1.586554925</v>
      </c>
    </row>
    <row r="2654">
      <c r="A2654" s="3" t="s">
        <v>158</v>
      </c>
      <c r="B2654" s="3">
        <v>29.3</v>
      </c>
      <c r="C2654" s="3">
        <v>8.52</v>
      </c>
      <c r="D2654" s="3">
        <v>220.0</v>
      </c>
      <c r="E2654" s="3">
        <v>2.93</v>
      </c>
      <c r="F2654" s="3">
        <v>20.1</v>
      </c>
      <c r="G2654" s="3">
        <v>162.17</v>
      </c>
      <c r="H2654" s="3">
        <v>97.67</v>
      </c>
      <c r="I2654" s="3">
        <v>42.84</v>
      </c>
      <c r="J2654" s="3">
        <v>0.0</v>
      </c>
      <c r="K2654" s="4">
        <f t="shared" si="1"/>
        <v>26703.1189</v>
      </c>
      <c r="L2654" s="4">
        <f t="shared" si="2"/>
        <v>1.812522357</v>
      </c>
    </row>
    <row r="2655">
      <c r="A2655" s="3" t="s">
        <v>158</v>
      </c>
      <c r="B2655" s="3">
        <v>29.3</v>
      </c>
      <c r="C2655" s="3">
        <v>10.66</v>
      </c>
      <c r="D2655" s="3">
        <v>225.0</v>
      </c>
      <c r="E2655" s="3">
        <v>1.79</v>
      </c>
      <c r="F2655" s="3">
        <v>25.95</v>
      </c>
      <c r="G2655" s="3">
        <v>149.89</v>
      </c>
      <c r="H2655" s="3">
        <v>87.32</v>
      </c>
      <c r="I2655" s="3">
        <v>25.13</v>
      </c>
      <c r="J2655" s="3">
        <v>0.0</v>
      </c>
      <c r="K2655" s="4">
        <f t="shared" si="1"/>
        <v>23140.4146</v>
      </c>
      <c r="L2655" s="4">
        <f t="shared" si="2"/>
        <v>2.187730897</v>
      </c>
    </row>
    <row r="2656">
      <c r="A2656" s="3" t="s">
        <v>158</v>
      </c>
      <c r="B2656" s="3">
        <v>29.3</v>
      </c>
      <c r="C2656" s="3">
        <v>11.99</v>
      </c>
      <c r="D2656" s="3">
        <v>228.0</v>
      </c>
      <c r="E2656" s="3">
        <v>5.71</v>
      </c>
      <c r="F2656" s="3">
        <v>28.72</v>
      </c>
      <c r="G2656" s="3">
        <v>144.35</v>
      </c>
      <c r="H2656" s="3">
        <v>82.33</v>
      </c>
      <c r="I2656" s="3">
        <v>18.64</v>
      </c>
      <c r="J2656" s="3">
        <v>0.0</v>
      </c>
      <c r="K2656" s="4">
        <f t="shared" si="1"/>
        <v>21661.7609</v>
      </c>
      <c r="L2656" s="4">
        <f t="shared" si="2"/>
        <v>2.399804902</v>
      </c>
    </row>
    <row r="2657">
      <c r="A2657" s="3" t="s">
        <v>158</v>
      </c>
      <c r="B2657" s="3">
        <v>29.3</v>
      </c>
      <c r="C2657" s="3">
        <v>12.1</v>
      </c>
      <c r="D2657" s="3">
        <v>228.0</v>
      </c>
      <c r="E2657" s="3">
        <v>9.96</v>
      </c>
      <c r="F2657" s="3">
        <v>29.04</v>
      </c>
      <c r="G2657" s="3">
        <v>143.9</v>
      </c>
      <c r="H2657" s="3">
        <v>81.96</v>
      </c>
      <c r="I2657" s="3">
        <v>18.15</v>
      </c>
      <c r="J2657" s="3">
        <v>0.0</v>
      </c>
      <c r="K2657" s="4">
        <f t="shared" si="1"/>
        <v>21550.5316</v>
      </c>
      <c r="L2657" s="4">
        <f t="shared" si="2"/>
        <v>2.412191076</v>
      </c>
    </row>
    <row r="2658">
      <c r="A2658" s="3" t="s">
        <v>158</v>
      </c>
      <c r="B2658" s="3">
        <v>29.3</v>
      </c>
      <c r="C2658" s="3">
        <v>12.33</v>
      </c>
      <c r="D2658" s="3">
        <v>228.0</v>
      </c>
      <c r="E2658" s="3">
        <v>8.24</v>
      </c>
      <c r="F2658" s="3">
        <v>29.36</v>
      </c>
      <c r="G2658" s="3">
        <v>143.03</v>
      </c>
      <c r="H2658" s="3">
        <v>81.19</v>
      </c>
      <c r="I2658" s="3">
        <v>17.16</v>
      </c>
      <c r="J2658" s="3">
        <v>0.0</v>
      </c>
      <c r="K2658" s="4">
        <f t="shared" si="1"/>
        <v>21319.5905</v>
      </c>
      <c r="L2658" s="4">
        <f t="shared" si="2"/>
        <v>2.438320755</v>
      </c>
    </row>
    <row r="2659">
      <c r="A2659" s="3" t="s">
        <v>158</v>
      </c>
      <c r="B2659" s="3">
        <v>29.3</v>
      </c>
      <c r="C2659" s="3">
        <v>12.78</v>
      </c>
      <c r="D2659" s="3">
        <v>229.0</v>
      </c>
      <c r="E2659" s="3">
        <v>1.74</v>
      </c>
      <c r="F2659" s="3">
        <v>30.21</v>
      </c>
      <c r="G2659" s="3">
        <v>141.37</v>
      </c>
      <c r="H2659" s="3">
        <v>79.75</v>
      </c>
      <c r="I2659" s="3">
        <v>15.35</v>
      </c>
      <c r="J2659" s="3">
        <v>0.0</v>
      </c>
      <c r="K2659" s="4">
        <f t="shared" si="1"/>
        <v>20898.121</v>
      </c>
      <c r="L2659" s="4">
        <f t="shared" si="2"/>
        <v>2.509364359</v>
      </c>
    </row>
    <row r="2660">
      <c r="A2660" s="3" t="s">
        <v>158</v>
      </c>
      <c r="B2660" s="3">
        <v>29.3</v>
      </c>
      <c r="C2660" s="3">
        <v>14.93</v>
      </c>
      <c r="D2660" s="3">
        <v>228.0</v>
      </c>
      <c r="E2660" s="3">
        <v>1.64</v>
      </c>
      <c r="F2660" s="3">
        <v>33.5</v>
      </c>
      <c r="G2660" s="3">
        <v>133.3</v>
      </c>
      <c r="H2660" s="3">
        <v>73.78</v>
      </c>
      <c r="I2660" s="3">
        <v>8.44</v>
      </c>
      <c r="J2660" s="3">
        <v>0.0</v>
      </c>
      <c r="K2660" s="4">
        <f t="shared" si="1"/>
        <v>18891.14</v>
      </c>
      <c r="L2660" s="4">
        <f t="shared" si="2"/>
        <v>2.751766172</v>
      </c>
    </row>
    <row r="2661">
      <c r="A2661" s="3" t="s">
        <v>158</v>
      </c>
      <c r="B2661" s="3">
        <v>29.3</v>
      </c>
      <c r="C2661" s="3">
        <v>17.08</v>
      </c>
      <c r="D2661" s="3">
        <v>226.0</v>
      </c>
      <c r="E2661" s="3">
        <v>1.34</v>
      </c>
      <c r="F2661" s="3">
        <v>35.21</v>
      </c>
      <c r="G2661" s="3">
        <v>125.19</v>
      </c>
      <c r="H2661" s="3">
        <v>68.98</v>
      </c>
      <c r="I2661" s="3">
        <v>4.75</v>
      </c>
      <c r="J2661" s="3">
        <v>0.0</v>
      </c>
      <c r="K2661" s="4">
        <f t="shared" si="1"/>
        <v>16912.2802</v>
      </c>
      <c r="L2661" s="4">
        <f t="shared" si="2"/>
        <v>3.020054032</v>
      </c>
    </row>
    <row r="2662">
      <c r="A2662" s="3" t="s">
        <v>158</v>
      </c>
      <c r="B2662" s="3">
        <v>29.3</v>
      </c>
      <c r="C2662" s="3">
        <v>19.23</v>
      </c>
      <c r="D2662" s="3">
        <v>226.0</v>
      </c>
      <c r="E2662" s="3">
        <v>1.39</v>
      </c>
      <c r="F2662" s="3">
        <v>35.84</v>
      </c>
      <c r="G2662" s="3">
        <v>117.76</v>
      </c>
      <c r="H2662" s="3">
        <v>65.01</v>
      </c>
      <c r="I2662" s="3">
        <v>2.4</v>
      </c>
      <c r="J2662" s="3">
        <v>0.0</v>
      </c>
      <c r="K2662" s="4">
        <f t="shared" si="1"/>
        <v>15151.9232</v>
      </c>
      <c r="L2662" s="4">
        <f t="shared" si="2"/>
        <v>3.370925217</v>
      </c>
    </row>
    <row r="2663">
      <c r="A2663" s="3" t="s">
        <v>158</v>
      </c>
      <c r="B2663" s="3">
        <v>29.3</v>
      </c>
      <c r="C2663" s="3">
        <v>21.27</v>
      </c>
      <c r="D2663" s="3">
        <v>227.0</v>
      </c>
      <c r="E2663" s="3">
        <v>1.11</v>
      </c>
      <c r="F2663" s="3">
        <v>35.52</v>
      </c>
      <c r="G2663" s="3">
        <v>111.0</v>
      </c>
      <c r="H2663" s="3">
        <v>61.81</v>
      </c>
      <c r="I2663" s="3">
        <v>1.83</v>
      </c>
      <c r="J2663" s="3">
        <v>0.0</v>
      </c>
      <c r="K2663" s="4">
        <f t="shared" si="1"/>
        <v>13582.6704</v>
      </c>
      <c r="L2663" s="4">
        <f t="shared" si="2"/>
        <v>3.793731165</v>
      </c>
    </row>
    <row r="2664">
      <c r="A2664" s="3" t="s">
        <v>158</v>
      </c>
      <c r="B2664" s="3">
        <v>29.3</v>
      </c>
      <c r="C2664" s="3">
        <v>23.42</v>
      </c>
      <c r="D2664" s="3">
        <v>227.0</v>
      </c>
      <c r="E2664" s="3">
        <v>1.37</v>
      </c>
      <c r="F2664" s="3">
        <v>34.46</v>
      </c>
      <c r="G2664" s="3">
        <v>106.04</v>
      </c>
      <c r="H2664" s="3">
        <v>58.91</v>
      </c>
      <c r="I2664" s="3">
        <v>1.1</v>
      </c>
      <c r="J2664" s="3">
        <v>0.0</v>
      </c>
      <c r="K2664" s="4">
        <f t="shared" si="1"/>
        <v>12431.9732</v>
      </c>
      <c r="L2664" s="4">
        <f t="shared" si="2"/>
        <v>4.144877018</v>
      </c>
    </row>
    <row r="2665">
      <c r="A2665" s="3" t="s">
        <v>158</v>
      </c>
      <c r="B2665" s="3">
        <v>29.3</v>
      </c>
      <c r="C2665" s="3">
        <v>25.57</v>
      </c>
      <c r="D2665" s="3">
        <v>224.0</v>
      </c>
      <c r="E2665" s="3">
        <v>2.79</v>
      </c>
      <c r="F2665" s="3">
        <v>32.87</v>
      </c>
      <c r="G2665" s="3">
        <v>101.01</v>
      </c>
      <c r="H2665" s="3">
        <v>56.38</v>
      </c>
      <c r="I2665" s="3">
        <v>0.42</v>
      </c>
      <c r="J2665" s="3">
        <v>0.0</v>
      </c>
      <c r="K2665" s="4">
        <f t="shared" si="1"/>
        <v>11283.457</v>
      </c>
      <c r="L2665" s="4">
        <f t="shared" si="2"/>
        <v>4.446864113</v>
      </c>
    </row>
    <row r="2666">
      <c r="A2666" s="3" t="s">
        <v>158</v>
      </c>
      <c r="B2666" s="3">
        <v>29.3</v>
      </c>
      <c r="C2666" s="3">
        <v>27.72</v>
      </c>
      <c r="D2666" s="3">
        <v>218.0</v>
      </c>
      <c r="E2666" s="3">
        <v>9.41</v>
      </c>
      <c r="F2666" s="3">
        <v>31.59</v>
      </c>
      <c r="G2666" s="3">
        <v>96.03</v>
      </c>
      <c r="H2666" s="3">
        <v>54.15</v>
      </c>
      <c r="I2666" s="3">
        <v>0.24</v>
      </c>
      <c r="J2666" s="3">
        <v>0.0</v>
      </c>
      <c r="K2666" s="4">
        <f t="shared" si="1"/>
        <v>10219.689</v>
      </c>
      <c r="L2666" s="4">
        <f t="shared" si="2"/>
        <v>4.650239357</v>
      </c>
    </row>
    <row r="2667">
      <c r="A2667" s="3" t="s">
        <v>158</v>
      </c>
      <c r="B2667" s="3">
        <v>29.3</v>
      </c>
      <c r="C2667" s="3">
        <v>29.87</v>
      </c>
      <c r="D2667" s="3">
        <v>215.0</v>
      </c>
      <c r="E2667" s="3">
        <v>8.18</v>
      </c>
      <c r="F2667" s="3">
        <v>30.53</v>
      </c>
      <c r="G2667" s="3">
        <v>91.96</v>
      </c>
      <c r="H2667" s="3">
        <v>52.16</v>
      </c>
      <c r="I2667" s="3">
        <v>0.13</v>
      </c>
      <c r="J2667" s="3">
        <v>0.0</v>
      </c>
      <c r="K2667" s="4">
        <f t="shared" si="1"/>
        <v>9388.7225</v>
      </c>
      <c r="L2667" s="4">
        <f t="shared" si="2"/>
        <v>4.923460034</v>
      </c>
    </row>
    <row r="2668">
      <c r="A2668" s="3" t="s">
        <v>158</v>
      </c>
      <c r="B2668" s="3">
        <v>29.3</v>
      </c>
      <c r="C2668" s="3">
        <v>32.02</v>
      </c>
      <c r="D2668" s="3">
        <v>219.0</v>
      </c>
      <c r="E2668" s="3">
        <v>5.06</v>
      </c>
      <c r="F2668" s="3">
        <v>29.67</v>
      </c>
      <c r="G2668" s="3">
        <v>88.37</v>
      </c>
      <c r="H2668" s="3">
        <v>50.38</v>
      </c>
      <c r="I2668" s="3">
        <v>0.07</v>
      </c>
      <c r="J2668" s="3">
        <v>0.0</v>
      </c>
      <c r="K2668" s="4">
        <f t="shared" si="1"/>
        <v>8689.5658</v>
      </c>
      <c r="L2668" s="4">
        <f t="shared" si="2"/>
        <v>5.519378195</v>
      </c>
    </row>
    <row r="2669">
      <c r="A2669" s="3" t="s">
        <v>158</v>
      </c>
      <c r="B2669" s="3">
        <v>29.3</v>
      </c>
      <c r="C2669" s="3">
        <v>34.05</v>
      </c>
      <c r="D2669" s="3">
        <v>211.0</v>
      </c>
      <c r="E2669" s="3">
        <v>7.05</v>
      </c>
      <c r="F2669" s="3">
        <v>29.04</v>
      </c>
      <c r="G2669" s="3">
        <v>85.42</v>
      </c>
      <c r="H2669" s="3">
        <v>48.86</v>
      </c>
      <c r="I2669" s="3">
        <v>0.0</v>
      </c>
      <c r="J2669" s="3">
        <v>0.0</v>
      </c>
      <c r="K2669" s="4">
        <f t="shared" si="1"/>
        <v>8139.898</v>
      </c>
      <c r="L2669" s="4">
        <f t="shared" si="2"/>
        <v>5.469478856</v>
      </c>
    </row>
    <row r="2670">
      <c r="A2670" s="3" t="s">
        <v>159</v>
      </c>
      <c r="B2670" s="3">
        <v>21.3</v>
      </c>
      <c r="C2670" s="3">
        <v>0.12</v>
      </c>
      <c r="D2670" s="3">
        <v>134.0</v>
      </c>
      <c r="E2670" s="3">
        <v>41.1</v>
      </c>
      <c r="F2670" s="3">
        <v>-0.73</v>
      </c>
      <c r="G2670" s="3">
        <v>7.68</v>
      </c>
      <c r="H2670" s="3">
        <v>179.06</v>
      </c>
      <c r="I2670" s="3">
        <v>623.48</v>
      </c>
      <c r="J2670" s="3">
        <v>50762.31</v>
      </c>
      <c r="K2670" s="4">
        <f t="shared" si="1"/>
        <v>59.5153</v>
      </c>
      <c r="L2670" s="4">
        <f t="shared" si="2"/>
        <v>301.7039316</v>
      </c>
    </row>
    <row r="2671">
      <c r="A2671" s="3" t="s">
        <v>159</v>
      </c>
      <c r="B2671" s="3">
        <v>21.3</v>
      </c>
      <c r="C2671" s="3">
        <v>0.24</v>
      </c>
      <c r="D2671" s="3">
        <v>208.0</v>
      </c>
      <c r="E2671" s="3">
        <v>35.5</v>
      </c>
      <c r="F2671" s="3">
        <v>-0.84</v>
      </c>
      <c r="G2671" s="3">
        <v>14.95</v>
      </c>
      <c r="H2671" s="3">
        <v>278.38</v>
      </c>
      <c r="I2671" s="3">
        <v>601.67</v>
      </c>
      <c r="J2671" s="3">
        <v>27720.83</v>
      </c>
      <c r="K2671" s="4">
        <f t="shared" si="1"/>
        <v>224.2081</v>
      </c>
      <c r="L2671" s="4">
        <f t="shared" si="2"/>
        <v>192.9635905</v>
      </c>
    </row>
    <row r="2672">
      <c r="A2672" s="3" t="s">
        <v>159</v>
      </c>
      <c r="B2672" s="3">
        <v>21.3</v>
      </c>
      <c r="C2672" s="3">
        <v>0.35</v>
      </c>
      <c r="D2672" s="3">
        <v>252.0</v>
      </c>
      <c r="E2672" s="3">
        <v>27.1</v>
      </c>
      <c r="F2672" s="3">
        <v>-0.93</v>
      </c>
      <c r="G2672" s="3">
        <v>21.23</v>
      </c>
      <c r="H2672" s="3">
        <v>309.46</v>
      </c>
      <c r="I2672" s="3">
        <v>582.34</v>
      </c>
      <c r="J2672" s="3">
        <v>16719.99</v>
      </c>
      <c r="K2672" s="4">
        <f t="shared" si="1"/>
        <v>451.5778</v>
      </c>
      <c r="L2672" s="4">
        <f t="shared" si="2"/>
        <v>140.6269307</v>
      </c>
    </row>
    <row r="2673">
      <c r="A2673" s="3" t="s">
        <v>159</v>
      </c>
      <c r="B2673" s="3">
        <v>21.3</v>
      </c>
      <c r="C2673" s="3">
        <v>0.47</v>
      </c>
      <c r="D2673" s="3">
        <v>272.0</v>
      </c>
      <c r="E2673" s="3">
        <v>11.6</v>
      </c>
      <c r="F2673" s="3">
        <v>-1.09</v>
      </c>
      <c r="G2673" s="3">
        <v>27.71</v>
      </c>
      <c r="H2673" s="3">
        <v>321.2</v>
      </c>
      <c r="I2673" s="3">
        <v>561.97</v>
      </c>
      <c r="J2673" s="3">
        <v>10847.48</v>
      </c>
      <c r="K2673" s="4">
        <f t="shared" si="1"/>
        <v>769.0322</v>
      </c>
      <c r="L2673" s="4">
        <f t="shared" si="2"/>
        <v>96.20403411</v>
      </c>
    </row>
    <row r="2674">
      <c r="A2674" s="3" t="s">
        <v>159</v>
      </c>
      <c r="B2674" s="3">
        <v>21.3</v>
      </c>
      <c r="C2674" s="3">
        <v>0.59</v>
      </c>
      <c r="D2674" s="3">
        <v>276.0</v>
      </c>
      <c r="E2674" s="3">
        <v>12.6</v>
      </c>
      <c r="F2674" s="3">
        <v>-1.27</v>
      </c>
      <c r="G2674" s="3">
        <v>33.83</v>
      </c>
      <c r="H2674" s="3">
        <v>323.58</v>
      </c>
      <c r="I2674" s="3">
        <v>542.31</v>
      </c>
      <c r="J2674" s="3">
        <v>7620.2</v>
      </c>
      <c r="K2674" s="4">
        <f t="shared" si="1"/>
        <v>1146.0818</v>
      </c>
      <c r="L2674" s="4">
        <f t="shared" si="2"/>
        <v>66.4664599</v>
      </c>
    </row>
    <row r="2675">
      <c r="A2675" s="3" t="s">
        <v>159</v>
      </c>
      <c r="B2675" s="3">
        <v>21.3</v>
      </c>
      <c r="C2675" s="3">
        <v>0.71</v>
      </c>
      <c r="D2675" s="3">
        <v>271.0</v>
      </c>
      <c r="E2675" s="3">
        <v>16.3</v>
      </c>
      <c r="F2675" s="3">
        <v>-1.49</v>
      </c>
      <c r="G2675" s="3">
        <v>39.63</v>
      </c>
      <c r="H2675" s="3">
        <v>323.15</v>
      </c>
      <c r="I2675" s="3">
        <v>523.34</v>
      </c>
      <c r="J2675" s="3">
        <v>5650.81</v>
      </c>
      <c r="K2675" s="4">
        <f t="shared" si="1"/>
        <v>1572.757</v>
      </c>
      <c r="L2675" s="4">
        <f t="shared" si="2"/>
        <v>46.69570697</v>
      </c>
    </row>
    <row r="2676">
      <c r="A2676" s="3" t="s">
        <v>159</v>
      </c>
      <c r="B2676" s="3">
        <v>21.3</v>
      </c>
      <c r="C2676" s="3">
        <v>0.83</v>
      </c>
      <c r="D2676" s="3">
        <v>266.0</v>
      </c>
      <c r="E2676" s="3">
        <v>11.9</v>
      </c>
      <c r="F2676" s="3">
        <v>-1.72</v>
      </c>
      <c r="G2676" s="3">
        <v>45.13</v>
      </c>
      <c r="H2676" s="3">
        <v>320.31</v>
      </c>
      <c r="I2676" s="3">
        <v>505.02</v>
      </c>
      <c r="J2676" s="3">
        <v>4439.61</v>
      </c>
      <c r="K2676" s="4">
        <f t="shared" si="1"/>
        <v>2039.6753</v>
      </c>
      <c r="L2676" s="4">
        <f t="shared" si="2"/>
        <v>34.68983519</v>
      </c>
    </row>
    <row r="2677">
      <c r="A2677" s="3" t="s">
        <v>159</v>
      </c>
      <c r="B2677" s="3">
        <v>21.3</v>
      </c>
      <c r="C2677" s="3">
        <v>0.94</v>
      </c>
      <c r="D2677" s="3">
        <v>262.0</v>
      </c>
      <c r="E2677" s="3">
        <v>12.2</v>
      </c>
      <c r="F2677" s="3">
        <v>-1.96</v>
      </c>
      <c r="G2677" s="3">
        <v>49.93</v>
      </c>
      <c r="H2677" s="3">
        <v>316.84</v>
      </c>
      <c r="I2677" s="3">
        <v>488.8</v>
      </c>
      <c r="J2677" s="3">
        <v>3710.23</v>
      </c>
      <c r="K2677" s="4">
        <f t="shared" si="1"/>
        <v>2496.8465</v>
      </c>
      <c r="L2677" s="4">
        <f t="shared" si="2"/>
        <v>27.49227876</v>
      </c>
    </row>
    <row r="2678">
      <c r="A2678" s="3" t="s">
        <v>159</v>
      </c>
      <c r="B2678" s="3">
        <v>21.3</v>
      </c>
      <c r="C2678" s="3">
        <v>1.06</v>
      </c>
      <c r="D2678" s="3">
        <v>260.0</v>
      </c>
      <c r="E2678" s="3">
        <v>12.1</v>
      </c>
      <c r="F2678" s="3">
        <v>-2.21</v>
      </c>
      <c r="G2678" s="3">
        <v>54.94</v>
      </c>
      <c r="H2678" s="3">
        <v>314.79</v>
      </c>
      <c r="I2678" s="3">
        <v>471.7</v>
      </c>
      <c r="J2678" s="3">
        <v>3081.8</v>
      </c>
      <c r="K2678" s="4">
        <f t="shared" si="1"/>
        <v>3023.2877</v>
      </c>
      <c r="L2678" s="4">
        <f t="shared" si="2"/>
        <v>22.35976417</v>
      </c>
    </row>
    <row r="2679">
      <c r="A2679" s="3" t="s">
        <v>159</v>
      </c>
      <c r="B2679" s="3">
        <v>21.3</v>
      </c>
      <c r="C2679" s="3">
        <v>1.18</v>
      </c>
      <c r="D2679" s="3">
        <v>260.0</v>
      </c>
      <c r="E2679" s="3">
        <v>11.9</v>
      </c>
      <c r="F2679" s="3">
        <v>-2.45</v>
      </c>
      <c r="G2679" s="3">
        <v>59.69</v>
      </c>
      <c r="H2679" s="3">
        <v>313.21</v>
      </c>
      <c r="I2679" s="3">
        <v>455.2</v>
      </c>
      <c r="J2679" s="3">
        <v>2524.16</v>
      </c>
      <c r="K2679" s="4">
        <f t="shared" si="1"/>
        <v>3568.8986</v>
      </c>
      <c r="L2679" s="4">
        <f t="shared" si="2"/>
        <v>18.94141795</v>
      </c>
    </row>
    <row r="2680">
      <c r="A2680" s="3" t="s">
        <v>159</v>
      </c>
      <c r="B2680" s="3">
        <v>21.3</v>
      </c>
      <c r="C2680" s="3">
        <v>1.3</v>
      </c>
      <c r="D2680" s="3">
        <v>259.0</v>
      </c>
      <c r="E2680" s="3">
        <v>8.04</v>
      </c>
      <c r="F2680" s="3">
        <v>-2.69</v>
      </c>
      <c r="G2680" s="3">
        <v>64.21</v>
      </c>
      <c r="H2680" s="3">
        <v>311.21</v>
      </c>
      <c r="I2680" s="3">
        <v>439.27</v>
      </c>
      <c r="J2680" s="3">
        <v>2069.24</v>
      </c>
      <c r="K2680" s="4">
        <f t="shared" si="1"/>
        <v>4130.1602</v>
      </c>
      <c r="L2680" s="4">
        <f t="shared" si="2"/>
        <v>16.24174287</v>
      </c>
    </row>
    <row r="2681">
      <c r="A2681" s="3" t="s">
        <v>159</v>
      </c>
      <c r="B2681" s="3">
        <v>21.3</v>
      </c>
      <c r="C2681" s="3">
        <v>1.42</v>
      </c>
      <c r="D2681" s="3">
        <v>257.0</v>
      </c>
      <c r="E2681" s="3">
        <v>10.2</v>
      </c>
      <c r="F2681" s="3">
        <v>-2.93</v>
      </c>
      <c r="G2681" s="3">
        <v>68.53</v>
      </c>
      <c r="H2681" s="3">
        <v>309.11</v>
      </c>
      <c r="I2681" s="3">
        <v>423.91</v>
      </c>
      <c r="J2681" s="3">
        <v>1658.71</v>
      </c>
      <c r="K2681" s="4">
        <f t="shared" si="1"/>
        <v>4704.9458</v>
      </c>
      <c r="L2681" s="4">
        <f t="shared" si="2"/>
        <v>14.03820635</v>
      </c>
    </row>
    <row r="2682">
      <c r="A2682" s="3" t="s">
        <v>159</v>
      </c>
      <c r="B2682" s="3">
        <v>21.3</v>
      </c>
      <c r="C2682" s="3">
        <v>1.53</v>
      </c>
      <c r="D2682" s="3">
        <v>254.0</v>
      </c>
      <c r="E2682" s="3">
        <v>9.68</v>
      </c>
      <c r="F2682" s="3">
        <v>-3.17</v>
      </c>
      <c r="G2682" s="3">
        <v>72.32</v>
      </c>
      <c r="H2682" s="3">
        <v>306.55</v>
      </c>
      <c r="I2682" s="3">
        <v>410.29</v>
      </c>
      <c r="J2682" s="3">
        <v>1386.92</v>
      </c>
      <c r="K2682" s="4">
        <f t="shared" si="1"/>
        <v>5240.2313</v>
      </c>
      <c r="L2682" s="4">
        <f t="shared" si="2"/>
        <v>12.31167029</v>
      </c>
    </row>
    <row r="2683">
      <c r="A2683" s="3" t="s">
        <v>159</v>
      </c>
      <c r="B2683" s="3">
        <v>21.3</v>
      </c>
      <c r="C2683" s="3">
        <v>1.66</v>
      </c>
      <c r="D2683" s="3">
        <v>244.0</v>
      </c>
      <c r="E2683" s="3">
        <v>4.95</v>
      </c>
      <c r="F2683" s="3">
        <v>-3.41</v>
      </c>
      <c r="G2683" s="3">
        <v>76.57</v>
      </c>
      <c r="H2683" s="3">
        <v>303.54</v>
      </c>
      <c r="I2683" s="3">
        <v>394.76</v>
      </c>
      <c r="J2683" s="3">
        <v>1102.98</v>
      </c>
      <c r="K2683" s="4">
        <f t="shared" si="1"/>
        <v>5874.593</v>
      </c>
      <c r="L2683" s="4">
        <f t="shared" si="2"/>
        <v>10.13448932</v>
      </c>
    </row>
    <row r="2684">
      <c r="A2684" s="3" t="s">
        <v>159</v>
      </c>
      <c r="B2684" s="3">
        <v>21.3</v>
      </c>
      <c r="C2684" s="3">
        <v>1.89</v>
      </c>
      <c r="D2684" s="3">
        <v>228.0</v>
      </c>
      <c r="E2684" s="3">
        <v>9.83</v>
      </c>
      <c r="F2684" s="3">
        <v>-3.87</v>
      </c>
      <c r="G2684" s="3">
        <v>83.6</v>
      </c>
      <c r="H2684" s="3">
        <v>297.2</v>
      </c>
      <c r="I2684" s="3">
        <v>368.72</v>
      </c>
      <c r="J2684" s="3">
        <v>719.64</v>
      </c>
      <c r="K2684" s="4">
        <f t="shared" si="1"/>
        <v>7003.9369</v>
      </c>
      <c r="L2684" s="4">
        <f t="shared" si="2"/>
        <v>7.422111413</v>
      </c>
    </row>
    <row r="2685">
      <c r="A2685" s="3" t="s">
        <v>159</v>
      </c>
      <c r="B2685" s="3">
        <v>21.3</v>
      </c>
      <c r="C2685" s="3">
        <v>2.01</v>
      </c>
      <c r="D2685" s="3">
        <v>220.0</v>
      </c>
      <c r="E2685" s="3">
        <v>18.6</v>
      </c>
      <c r="F2685" s="3">
        <v>-4.09</v>
      </c>
      <c r="G2685" s="3">
        <v>87.03</v>
      </c>
      <c r="H2685" s="3">
        <v>293.4</v>
      </c>
      <c r="I2685" s="3">
        <v>355.81</v>
      </c>
      <c r="J2685" s="3">
        <v>572.02</v>
      </c>
      <c r="K2685" s="4">
        <f t="shared" si="1"/>
        <v>7590.949</v>
      </c>
      <c r="L2685" s="4">
        <f t="shared" si="2"/>
        <v>6.376014382</v>
      </c>
    </row>
    <row r="2686">
      <c r="A2686" s="3" t="s">
        <v>159</v>
      </c>
      <c r="B2686" s="3">
        <v>21.3</v>
      </c>
      <c r="C2686" s="3">
        <v>2.13</v>
      </c>
      <c r="D2686" s="3">
        <v>215.0</v>
      </c>
      <c r="E2686" s="3">
        <v>4.11</v>
      </c>
      <c r="F2686" s="3">
        <v>-4.3</v>
      </c>
      <c r="G2686" s="3">
        <v>90.32</v>
      </c>
      <c r="H2686" s="3">
        <v>289.39</v>
      </c>
      <c r="I2686" s="3">
        <v>343.36</v>
      </c>
      <c r="J2686" s="3">
        <v>456.41</v>
      </c>
      <c r="K2686" s="4">
        <f t="shared" si="1"/>
        <v>8176.1924</v>
      </c>
      <c r="L2686" s="4">
        <f t="shared" si="2"/>
        <v>5.653609619</v>
      </c>
    </row>
    <row r="2687">
      <c r="A2687" s="3" t="s">
        <v>159</v>
      </c>
      <c r="B2687" s="3">
        <v>21.3</v>
      </c>
      <c r="C2687" s="3">
        <v>2.24</v>
      </c>
      <c r="D2687" s="3">
        <v>213.0</v>
      </c>
      <c r="E2687" s="3">
        <v>16.1</v>
      </c>
      <c r="F2687" s="3">
        <v>-4.5</v>
      </c>
      <c r="G2687" s="3">
        <v>93.19</v>
      </c>
      <c r="H2687" s="3">
        <v>285.56</v>
      </c>
      <c r="I2687" s="3">
        <v>332.33</v>
      </c>
      <c r="J2687" s="3">
        <v>371.14</v>
      </c>
      <c r="K2687" s="4">
        <f t="shared" si="1"/>
        <v>8704.6261</v>
      </c>
      <c r="L2687" s="4">
        <f t="shared" si="2"/>
        <v>5.21205615</v>
      </c>
    </row>
    <row r="2688">
      <c r="A2688" s="3" t="s">
        <v>159</v>
      </c>
      <c r="B2688" s="3">
        <v>21.3</v>
      </c>
      <c r="C2688" s="3">
        <v>3.1</v>
      </c>
      <c r="D2688" s="3">
        <v>228.0</v>
      </c>
      <c r="E2688" s="3">
        <v>9.59</v>
      </c>
      <c r="F2688" s="3">
        <v>-5.53</v>
      </c>
      <c r="G2688" s="3">
        <v>112.13</v>
      </c>
      <c r="H2688" s="3">
        <v>255.35</v>
      </c>
      <c r="I2688" s="3">
        <v>256.86</v>
      </c>
      <c r="J2688" s="3">
        <v>45.54</v>
      </c>
      <c r="K2688" s="4">
        <f t="shared" si="1"/>
        <v>12603.7178</v>
      </c>
      <c r="L2688" s="4">
        <f t="shared" si="2"/>
        <v>4.124497297</v>
      </c>
    </row>
    <row r="2689">
      <c r="A2689" s="3" t="s">
        <v>159</v>
      </c>
      <c r="B2689" s="3">
        <v>21.3</v>
      </c>
      <c r="C2689" s="3">
        <v>3.79</v>
      </c>
      <c r="D2689" s="3">
        <v>236.0</v>
      </c>
      <c r="E2689" s="3">
        <v>7.22</v>
      </c>
      <c r="F2689" s="3">
        <v>-5.65</v>
      </c>
      <c r="G2689" s="3">
        <v>121.66</v>
      </c>
      <c r="H2689" s="3">
        <v>232.68</v>
      </c>
      <c r="I2689" s="3">
        <v>200.21</v>
      </c>
      <c r="J2689" s="3">
        <v>5.71</v>
      </c>
      <c r="K2689" s="4">
        <f t="shared" si="1"/>
        <v>14833.0781</v>
      </c>
      <c r="L2689" s="4">
        <f t="shared" si="2"/>
        <v>3.754851126</v>
      </c>
    </row>
    <row r="2690">
      <c r="A2690" s="3" t="s">
        <v>159</v>
      </c>
      <c r="B2690" s="3">
        <v>21.3</v>
      </c>
      <c r="C2690" s="3">
        <v>3.9</v>
      </c>
      <c r="D2690" s="3">
        <v>236.0</v>
      </c>
      <c r="E2690" s="3">
        <v>7.24</v>
      </c>
      <c r="F2690" s="3">
        <v>-5.61</v>
      </c>
      <c r="G2690" s="3">
        <v>122.76</v>
      </c>
      <c r="H2690" s="3">
        <v>229.34</v>
      </c>
      <c r="I2690" s="3">
        <v>193.29</v>
      </c>
      <c r="J2690" s="3">
        <v>4.09</v>
      </c>
      <c r="K2690" s="4">
        <f t="shared" si="1"/>
        <v>15101.4897</v>
      </c>
      <c r="L2690" s="4">
        <f t="shared" si="2"/>
        <v>3.688112968</v>
      </c>
    </row>
    <row r="2691">
      <c r="A2691" s="3" t="s">
        <v>159</v>
      </c>
      <c r="B2691" s="3">
        <v>21.3</v>
      </c>
      <c r="C2691" s="3">
        <v>4.14</v>
      </c>
      <c r="D2691" s="3">
        <v>237.0</v>
      </c>
      <c r="E2691" s="3">
        <v>8.26</v>
      </c>
      <c r="F2691" s="3">
        <v>-5.45</v>
      </c>
      <c r="G2691" s="3">
        <v>124.89</v>
      </c>
      <c r="H2691" s="3">
        <v>222.83</v>
      </c>
      <c r="I2691" s="3">
        <v>179.91</v>
      </c>
      <c r="J2691" s="3">
        <v>2.0</v>
      </c>
      <c r="K2691" s="4">
        <f t="shared" si="1"/>
        <v>15627.2146</v>
      </c>
      <c r="L2691" s="4">
        <f t="shared" si="2"/>
        <v>3.594306563</v>
      </c>
    </row>
    <row r="2692">
      <c r="A2692" s="3" t="s">
        <v>159</v>
      </c>
      <c r="B2692" s="3">
        <v>21.3</v>
      </c>
      <c r="C2692" s="3">
        <v>4.25</v>
      </c>
      <c r="D2692" s="3">
        <v>237.0</v>
      </c>
      <c r="E2692" s="3">
        <v>4.07</v>
      </c>
      <c r="F2692" s="3">
        <v>-5.32</v>
      </c>
      <c r="G2692" s="3">
        <v>125.78</v>
      </c>
      <c r="H2692" s="3">
        <v>219.95</v>
      </c>
      <c r="I2692" s="3">
        <v>174.78</v>
      </c>
      <c r="J2692" s="3">
        <v>1.43</v>
      </c>
      <c r="K2692" s="4">
        <f t="shared" si="1"/>
        <v>15848.9108</v>
      </c>
      <c r="L2692" s="4">
        <f t="shared" si="2"/>
        <v>3.544029032</v>
      </c>
    </row>
    <row r="2693">
      <c r="A2693" s="3" t="s">
        <v>159</v>
      </c>
      <c r="B2693" s="3">
        <v>21.3</v>
      </c>
      <c r="C2693" s="3">
        <v>4.37</v>
      </c>
      <c r="D2693" s="3">
        <v>237.0</v>
      </c>
      <c r="E2693" s="3">
        <v>4.04</v>
      </c>
      <c r="F2693" s="3">
        <v>-5.15</v>
      </c>
      <c r="G2693" s="3">
        <v>126.75</v>
      </c>
      <c r="H2693" s="3">
        <v>216.93</v>
      </c>
      <c r="I2693" s="3">
        <v>169.83</v>
      </c>
      <c r="J2693" s="3">
        <v>1.0</v>
      </c>
      <c r="K2693" s="4">
        <f t="shared" si="1"/>
        <v>16092.085</v>
      </c>
      <c r="L2693" s="4">
        <f t="shared" si="2"/>
        <v>3.490473733</v>
      </c>
    </row>
    <row r="2694">
      <c r="A2694" s="3" t="s">
        <v>159</v>
      </c>
      <c r="B2694" s="3">
        <v>21.3</v>
      </c>
      <c r="C2694" s="3">
        <v>4.49</v>
      </c>
      <c r="D2694" s="3">
        <v>237.0</v>
      </c>
      <c r="E2694" s="3">
        <v>1.94</v>
      </c>
      <c r="F2694" s="3">
        <v>-4.93</v>
      </c>
      <c r="G2694" s="3">
        <v>127.73</v>
      </c>
      <c r="H2694" s="3">
        <v>214.04</v>
      </c>
      <c r="I2694" s="3">
        <v>165.47</v>
      </c>
      <c r="J2694" s="3">
        <v>0.7</v>
      </c>
      <c r="K2694" s="4">
        <f t="shared" si="1"/>
        <v>16339.2578</v>
      </c>
      <c r="L2694" s="4">
        <f t="shared" si="2"/>
        <v>3.437671447</v>
      </c>
    </row>
    <row r="2695">
      <c r="A2695" s="3" t="s">
        <v>159</v>
      </c>
      <c r="B2695" s="3">
        <v>21.3</v>
      </c>
      <c r="C2695" s="3">
        <v>4.61</v>
      </c>
      <c r="D2695" s="3">
        <v>237.0</v>
      </c>
      <c r="E2695" s="3">
        <v>1.49</v>
      </c>
      <c r="F2695" s="3">
        <v>-4.62</v>
      </c>
      <c r="G2695" s="3">
        <v>128.73</v>
      </c>
      <c r="H2695" s="3">
        <v>211.23</v>
      </c>
      <c r="I2695" s="3">
        <v>161.16</v>
      </c>
      <c r="J2695" s="3">
        <v>0.48</v>
      </c>
      <c r="K2695" s="4">
        <f t="shared" si="1"/>
        <v>16592.7573</v>
      </c>
      <c r="L2695" s="4">
        <f t="shared" si="2"/>
        <v>3.385151665</v>
      </c>
    </row>
    <row r="2696">
      <c r="A2696" s="3" t="s">
        <v>159</v>
      </c>
      <c r="B2696" s="3">
        <v>21.3</v>
      </c>
      <c r="C2696" s="3">
        <v>4.72</v>
      </c>
      <c r="D2696" s="3">
        <v>236.0</v>
      </c>
      <c r="E2696" s="3">
        <v>2.38</v>
      </c>
      <c r="F2696" s="3">
        <v>-4.24</v>
      </c>
      <c r="G2696" s="3">
        <v>129.65</v>
      </c>
      <c r="H2696" s="3">
        <v>208.76</v>
      </c>
      <c r="I2696" s="3">
        <v>157.54</v>
      </c>
      <c r="J2696" s="3">
        <v>0.35</v>
      </c>
      <c r="K2696" s="4">
        <f t="shared" si="1"/>
        <v>16827.1001</v>
      </c>
      <c r="L2696" s="4">
        <f t="shared" si="2"/>
        <v>3.309898893</v>
      </c>
    </row>
    <row r="2697">
      <c r="A2697" s="3" t="s">
        <v>159</v>
      </c>
      <c r="B2697" s="3">
        <v>21.3</v>
      </c>
      <c r="C2697" s="3">
        <v>5.16</v>
      </c>
      <c r="D2697" s="3">
        <v>235.0</v>
      </c>
      <c r="E2697" s="3">
        <v>2.4</v>
      </c>
      <c r="F2697" s="3">
        <v>-1.43</v>
      </c>
      <c r="G2697" s="3">
        <v>133.7</v>
      </c>
      <c r="H2697" s="3">
        <v>199.77</v>
      </c>
      <c r="I2697" s="3">
        <v>143.97</v>
      </c>
      <c r="J2697" s="3">
        <v>0.09</v>
      </c>
      <c r="K2697" s="4">
        <f t="shared" si="1"/>
        <v>17877.7349</v>
      </c>
      <c r="L2697" s="4">
        <f t="shared" si="2"/>
        <v>3.089037862</v>
      </c>
    </row>
    <row r="2698">
      <c r="A2698" s="3" t="s">
        <v>159</v>
      </c>
      <c r="B2698" s="3">
        <v>21.3</v>
      </c>
      <c r="C2698" s="3">
        <v>5.43</v>
      </c>
      <c r="D2698" s="3">
        <v>234.0</v>
      </c>
      <c r="E2698" s="3">
        <v>4.05</v>
      </c>
      <c r="F2698" s="3">
        <v>3.32</v>
      </c>
      <c r="G2698" s="3">
        <v>136.22</v>
      </c>
      <c r="H2698" s="3">
        <v>194.84</v>
      </c>
      <c r="I2698" s="3">
        <v>135.04</v>
      </c>
      <c r="J2698" s="3">
        <v>0.04</v>
      </c>
      <c r="K2698" s="4">
        <f t="shared" si="1"/>
        <v>18566.9108</v>
      </c>
      <c r="L2698" s="4">
        <f t="shared" si="2"/>
        <v>2.949117416</v>
      </c>
    </row>
    <row r="2699">
      <c r="A2699" s="3" t="s">
        <v>159</v>
      </c>
      <c r="B2699" s="3">
        <v>21.3</v>
      </c>
      <c r="C2699" s="3">
        <v>5.56</v>
      </c>
      <c r="D2699" s="3">
        <v>233.0</v>
      </c>
      <c r="E2699" s="3">
        <v>3.03</v>
      </c>
      <c r="F2699" s="3">
        <v>4.2</v>
      </c>
      <c r="G2699" s="3">
        <v>137.4</v>
      </c>
      <c r="H2699" s="3">
        <v>192.59</v>
      </c>
      <c r="I2699" s="3">
        <v>129.83</v>
      </c>
      <c r="J2699" s="3">
        <v>0.03</v>
      </c>
      <c r="K2699" s="4">
        <f t="shared" si="1"/>
        <v>18896.4</v>
      </c>
      <c r="L2699" s="4">
        <f t="shared" si="2"/>
        <v>2.872981097</v>
      </c>
    </row>
    <row r="2700">
      <c r="A2700" s="3" t="s">
        <v>159</v>
      </c>
      <c r="B2700" s="3">
        <v>21.3</v>
      </c>
      <c r="C2700" s="3">
        <v>5.67</v>
      </c>
      <c r="D2700" s="3">
        <v>233.0</v>
      </c>
      <c r="E2700" s="3">
        <v>2.48</v>
      </c>
      <c r="F2700" s="3">
        <v>4.99</v>
      </c>
      <c r="G2700" s="3">
        <v>138.33</v>
      </c>
      <c r="H2700" s="3">
        <v>190.72</v>
      </c>
      <c r="I2700" s="3">
        <v>125.11</v>
      </c>
      <c r="J2700" s="3">
        <v>0.02</v>
      </c>
      <c r="K2700" s="4">
        <f t="shared" si="1"/>
        <v>19160.089</v>
      </c>
      <c r="L2700" s="4">
        <f t="shared" si="2"/>
        <v>2.833441953</v>
      </c>
    </row>
    <row r="2701">
      <c r="A2701" s="3" t="s">
        <v>159</v>
      </c>
      <c r="B2701" s="3">
        <v>21.3</v>
      </c>
      <c r="C2701" s="3">
        <v>5.79</v>
      </c>
      <c r="D2701" s="3">
        <v>233.0</v>
      </c>
      <c r="E2701" s="3">
        <v>3.03</v>
      </c>
      <c r="F2701" s="3">
        <v>5.73</v>
      </c>
      <c r="G2701" s="3">
        <v>139.24</v>
      </c>
      <c r="H2701" s="3">
        <v>188.73</v>
      </c>
      <c r="I2701" s="3">
        <v>119.65</v>
      </c>
      <c r="J2701" s="3">
        <v>0.01</v>
      </c>
      <c r="K2701" s="4">
        <f t="shared" si="1"/>
        <v>19420.6105</v>
      </c>
      <c r="L2701" s="4">
        <f t="shared" si="2"/>
        <v>2.795432203</v>
      </c>
    </row>
    <row r="2702">
      <c r="A2702" s="3" t="s">
        <v>159</v>
      </c>
      <c r="B2702" s="3">
        <v>21.3</v>
      </c>
      <c r="C2702" s="3">
        <v>5.91</v>
      </c>
      <c r="D2702" s="3">
        <v>232.0</v>
      </c>
      <c r="E2702" s="3">
        <v>6.7</v>
      </c>
      <c r="F2702" s="3">
        <v>6.43</v>
      </c>
      <c r="G2702" s="3">
        <v>139.93</v>
      </c>
      <c r="H2702" s="3">
        <v>186.59</v>
      </c>
      <c r="I2702" s="3">
        <v>113.87</v>
      </c>
      <c r="J2702" s="3">
        <v>0.01</v>
      </c>
      <c r="K2702" s="4">
        <f t="shared" si="1"/>
        <v>19621.7498</v>
      </c>
      <c r="L2702" s="4">
        <f t="shared" si="2"/>
        <v>2.7430785</v>
      </c>
    </row>
    <row r="2703">
      <c r="A2703" s="3" t="s">
        <v>159</v>
      </c>
      <c r="B2703" s="3">
        <v>21.3</v>
      </c>
      <c r="C2703" s="3">
        <v>6.03</v>
      </c>
      <c r="D2703" s="3">
        <v>232.0</v>
      </c>
      <c r="E2703" s="3">
        <v>7.44</v>
      </c>
      <c r="F2703" s="3">
        <v>7.14</v>
      </c>
      <c r="G2703" s="3">
        <v>140.45</v>
      </c>
      <c r="H2703" s="3">
        <v>184.7</v>
      </c>
      <c r="I2703" s="3">
        <v>109.0</v>
      </c>
      <c r="J2703" s="3">
        <v>0.01</v>
      </c>
      <c r="K2703" s="4">
        <f t="shared" si="1"/>
        <v>19777.1821</v>
      </c>
      <c r="L2703" s="4">
        <f t="shared" si="2"/>
        <v>2.72152017</v>
      </c>
    </row>
    <row r="2704">
      <c r="A2704" s="3" t="s">
        <v>159</v>
      </c>
      <c r="B2704" s="3">
        <v>21.3</v>
      </c>
      <c r="C2704" s="3">
        <v>6.2</v>
      </c>
      <c r="D2704" s="3">
        <v>232.0</v>
      </c>
      <c r="E2704" s="3">
        <v>1.64</v>
      </c>
      <c r="F2704" s="3">
        <v>8.18</v>
      </c>
      <c r="G2704" s="3">
        <v>141.04</v>
      </c>
      <c r="H2704" s="3">
        <v>182.21</v>
      </c>
      <c r="I2704" s="3">
        <v>103.32</v>
      </c>
      <c r="J2704" s="3">
        <v>0.0</v>
      </c>
      <c r="K2704" s="4">
        <f t="shared" si="1"/>
        <v>19959.194</v>
      </c>
      <c r="L2704" s="4">
        <f t="shared" si="2"/>
        <v>2.696702081</v>
      </c>
    </row>
    <row r="2705">
      <c r="A2705" s="3" t="s">
        <v>159</v>
      </c>
      <c r="B2705" s="3">
        <v>21.3</v>
      </c>
      <c r="C2705" s="3">
        <v>6.5</v>
      </c>
      <c r="D2705" s="3">
        <v>233.0</v>
      </c>
      <c r="E2705" s="3">
        <v>14.3</v>
      </c>
      <c r="F2705" s="3">
        <v>9.96</v>
      </c>
      <c r="G2705" s="3">
        <v>142.01</v>
      </c>
      <c r="H2705" s="3">
        <v>177.9</v>
      </c>
      <c r="I2705" s="3">
        <v>95.03</v>
      </c>
      <c r="J2705" s="3">
        <v>0.0</v>
      </c>
      <c r="K2705" s="4">
        <f t="shared" si="1"/>
        <v>20266.0417</v>
      </c>
      <c r="L2705" s="4">
        <f t="shared" si="2"/>
        <v>2.67881616</v>
      </c>
    </row>
    <row r="2706">
      <c r="A2706" s="3" t="s">
        <v>159</v>
      </c>
      <c r="B2706" s="3">
        <v>21.3</v>
      </c>
      <c r="C2706" s="3">
        <v>6.85</v>
      </c>
      <c r="D2706" s="3">
        <v>235.0</v>
      </c>
      <c r="E2706" s="3">
        <v>7.57</v>
      </c>
      <c r="F2706" s="3">
        <v>11.78</v>
      </c>
      <c r="G2706" s="3">
        <v>143.12</v>
      </c>
      <c r="H2706" s="3">
        <v>173.33</v>
      </c>
      <c r="I2706" s="3">
        <v>87.04</v>
      </c>
      <c r="J2706" s="3">
        <v>0.0</v>
      </c>
      <c r="K2706" s="4">
        <f t="shared" si="1"/>
        <v>20622.1028</v>
      </c>
      <c r="L2706" s="4">
        <f t="shared" si="2"/>
        <v>2.67795193</v>
      </c>
    </row>
    <row r="2707">
      <c r="A2707" s="3" t="s">
        <v>159</v>
      </c>
      <c r="B2707" s="3">
        <v>21.3</v>
      </c>
      <c r="C2707" s="3">
        <v>6.98</v>
      </c>
      <c r="D2707" s="3">
        <v>236.0</v>
      </c>
      <c r="E2707" s="3">
        <v>3.05</v>
      </c>
      <c r="F2707" s="3">
        <v>12.31</v>
      </c>
      <c r="G2707" s="3">
        <v>143.59</v>
      </c>
      <c r="H2707" s="3">
        <v>171.7</v>
      </c>
      <c r="I2707" s="3">
        <v>84.55</v>
      </c>
      <c r="J2707" s="3">
        <v>0.0</v>
      </c>
      <c r="K2707" s="4">
        <f t="shared" si="1"/>
        <v>20769.6242</v>
      </c>
      <c r="L2707" s="4">
        <f t="shared" si="2"/>
        <v>2.681608462</v>
      </c>
    </row>
    <row r="2708">
      <c r="A2708" s="3" t="s">
        <v>159</v>
      </c>
      <c r="B2708" s="3">
        <v>21.3</v>
      </c>
      <c r="C2708" s="3">
        <v>7.09</v>
      </c>
      <c r="D2708" s="3">
        <v>236.0</v>
      </c>
      <c r="E2708" s="3">
        <v>2.91</v>
      </c>
      <c r="F2708" s="3">
        <v>12.85</v>
      </c>
      <c r="G2708" s="3">
        <v>144.05</v>
      </c>
      <c r="H2708" s="3">
        <v>170.36</v>
      </c>
      <c r="I2708" s="3">
        <v>82.66</v>
      </c>
      <c r="J2708" s="3">
        <v>0.0</v>
      </c>
      <c r="K2708" s="4">
        <f t="shared" si="1"/>
        <v>20915.525</v>
      </c>
      <c r="L2708" s="4">
        <f t="shared" si="2"/>
        <v>2.662902318</v>
      </c>
    </row>
    <row r="2709">
      <c r="A2709" s="3" t="s">
        <v>159</v>
      </c>
      <c r="B2709" s="3">
        <v>21.3</v>
      </c>
      <c r="C2709" s="3">
        <v>7.21</v>
      </c>
      <c r="D2709" s="3">
        <v>237.0</v>
      </c>
      <c r="E2709" s="3">
        <v>4.07</v>
      </c>
      <c r="F2709" s="3">
        <v>13.38</v>
      </c>
      <c r="G2709" s="3">
        <v>144.62</v>
      </c>
      <c r="H2709" s="3">
        <v>168.93</v>
      </c>
      <c r="I2709" s="3">
        <v>80.65</v>
      </c>
      <c r="J2709" s="3">
        <v>0.0</v>
      </c>
      <c r="K2709" s="4">
        <f t="shared" si="1"/>
        <v>21093.9688</v>
      </c>
      <c r="L2709" s="4">
        <f t="shared" si="2"/>
        <v>2.662799046</v>
      </c>
    </row>
    <row r="2710">
      <c r="A2710" s="3" t="s">
        <v>159</v>
      </c>
      <c r="B2710" s="3">
        <v>21.3</v>
      </c>
      <c r="C2710" s="3">
        <v>7.22</v>
      </c>
      <c r="D2710" s="3">
        <v>238.0</v>
      </c>
      <c r="E2710" s="3">
        <v>2.02</v>
      </c>
      <c r="F2710" s="3">
        <v>13.48</v>
      </c>
      <c r="G2710" s="3">
        <v>144.67</v>
      </c>
      <c r="H2710" s="3">
        <v>168.82</v>
      </c>
      <c r="I2710" s="3">
        <v>80.38</v>
      </c>
      <c r="J2710" s="3">
        <v>0.0</v>
      </c>
      <c r="K2710" s="4">
        <f t="shared" si="1"/>
        <v>21111.1193</v>
      </c>
      <c r="L2710" s="4">
        <f t="shared" si="2"/>
        <v>2.683135801</v>
      </c>
    </row>
    <row r="2711">
      <c r="A2711" s="3" t="s">
        <v>159</v>
      </c>
      <c r="B2711" s="3">
        <v>21.3</v>
      </c>
      <c r="C2711" s="3">
        <v>7.33</v>
      </c>
      <c r="D2711" s="3">
        <v>238.0</v>
      </c>
      <c r="E2711" s="3">
        <v>6.76</v>
      </c>
      <c r="F2711" s="3">
        <v>13.91</v>
      </c>
      <c r="G2711" s="3">
        <v>145.21</v>
      </c>
      <c r="H2711" s="3">
        <v>167.55</v>
      </c>
      <c r="I2711" s="3">
        <v>77.25</v>
      </c>
      <c r="J2711" s="3">
        <v>0.0</v>
      </c>
      <c r="K2711" s="4">
        <f t="shared" si="1"/>
        <v>21279.4322</v>
      </c>
      <c r="L2711" s="4">
        <f t="shared" si="2"/>
        <v>2.661913131</v>
      </c>
    </row>
    <row r="2712">
      <c r="A2712" s="3" t="s">
        <v>159</v>
      </c>
      <c r="B2712" s="3">
        <v>21.3</v>
      </c>
      <c r="C2712" s="3">
        <v>7.45</v>
      </c>
      <c r="D2712" s="3">
        <v>239.0</v>
      </c>
      <c r="E2712" s="3">
        <v>3.49</v>
      </c>
      <c r="F2712" s="3">
        <v>14.44</v>
      </c>
      <c r="G2712" s="3">
        <v>145.73</v>
      </c>
      <c r="H2712" s="3">
        <v>166.2</v>
      </c>
      <c r="I2712" s="3">
        <v>73.54</v>
      </c>
      <c r="J2712" s="3">
        <v>0.0</v>
      </c>
      <c r="K2712" s="4">
        <f t="shared" si="1"/>
        <v>21445.7465</v>
      </c>
      <c r="L2712" s="4">
        <f t="shared" si="2"/>
        <v>2.663511853</v>
      </c>
    </row>
    <row r="2713">
      <c r="A2713" s="3" t="s">
        <v>159</v>
      </c>
      <c r="B2713" s="3">
        <v>21.3</v>
      </c>
      <c r="C2713" s="3">
        <v>7.56</v>
      </c>
      <c r="D2713" s="3">
        <v>240.0</v>
      </c>
      <c r="E2713" s="3">
        <v>10.1</v>
      </c>
      <c r="F2713" s="3">
        <v>14.86</v>
      </c>
      <c r="G2713" s="3">
        <v>146.08</v>
      </c>
      <c r="H2713" s="3">
        <v>164.99</v>
      </c>
      <c r="I2713" s="3">
        <v>69.89</v>
      </c>
      <c r="J2713" s="3">
        <v>0.0</v>
      </c>
      <c r="K2713" s="4">
        <f t="shared" si="1"/>
        <v>21560.186</v>
      </c>
      <c r="L2713" s="4">
        <f t="shared" si="2"/>
        <v>2.671591052</v>
      </c>
    </row>
    <row r="2714">
      <c r="A2714" s="3" t="s">
        <v>159</v>
      </c>
      <c r="B2714" s="3">
        <v>21.3</v>
      </c>
      <c r="C2714" s="3">
        <v>8.26</v>
      </c>
      <c r="D2714" s="3">
        <v>247.0</v>
      </c>
      <c r="E2714" s="3">
        <v>0.85</v>
      </c>
      <c r="F2714" s="3">
        <v>17.52</v>
      </c>
      <c r="G2714" s="3">
        <v>144.87</v>
      </c>
      <c r="H2714" s="3">
        <v>157.97</v>
      </c>
      <c r="I2714" s="3">
        <v>48.37</v>
      </c>
      <c r="J2714" s="3">
        <v>0.0</v>
      </c>
      <c r="K2714" s="4">
        <f t="shared" si="1"/>
        <v>21294.2673</v>
      </c>
      <c r="L2714" s="4">
        <f t="shared" si="2"/>
        <v>2.865043401</v>
      </c>
    </row>
    <row r="2715">
      <c r="A2715" s="3" t="s">
        <v>159</v>
      </c>
      <c r="B2715" s="3">
        <v>21.3</v>
      </c>
      <c r="C2715" s="3">
        <v>8.98</v>
      </c>
      <c r="D2715" s="3">
        <v>252.0</v>
      </c>
      <c r="E2715" s="3">
        <v>8.91</v>
      </c>
      <c r="F2715" s="3">
        <v>19.64</v>
      </c>
      <c r="G2715" s="3">
        <v>141.68</v>
      </c>
      <c r="H2715" s="3">
        <v>151.5</v>
      </c>
      <c r="I2715" s="3">
        <v>37.69</v>
      </c>
      <c r="J2715" s="3">
        <v>0.0</v>
      </c>
      <c r="K2715" s="4">
        <f t="shared" si="1"/>
        <v>20458.952</v>
      </c>
      <c r="L2715" s="4">
        <f t="shared" si="2"/>
        <v>3.103971308</v>
      </c>
    </row>
    <row r="2716">
      <c r="A2716" s="3" t="s">
        <v>159</v>
      </c>
      <c r="B2716" s="3">
        <v>21.3</v>
      </c>
      <c r="C2716" s="3">
        <v>9.09</v>
      </c>
      <c r="D2716" s="3">
        <v>253.0</v>
      </c>
      <c r="E2716" s="3">
        <v>7.13</v>
      </c>
      <c r="F2716" s="3">
        <v>19.85</v>
      </c>
      <c r="G2716" s="3">
        <v>141.18</v>
      </c>
      <c r="H2716" s="3">
        <v>150.58</v>
      </c>
      <c r="I2716" s="3">
        <v>36.21</v>
      </c>
      <c r="J2716" s="3">
        <v>0.0</v>
      </c>
      <c r="K2716" s="4">
        <f t="shared" si="1"/>
        <v>20325.8149</v>
      </c>
      <c r="L2716" s="4">
        <f t="shared" si="2"/>
        <v>3.149148032</v>
      </c>
    </row>
    <row r="2717">
      <c r="A2717" s="3" t="s">
        <v>159</v>
      </c>
      <c r="B2717" s="3">
        <v>21.3</v>
      </c>
      <c r="C2717" s="3">
        <v>9.3</v>
      </c>
      <c r="D2717" s="3">
        <v>254.0</v>
      </c>
      <c r="E2717" s="3">
        <v>0.73</v>
      </c>
      <c r="F2717" s="3">
        <v>20.28</v>
      </c>
      <c r="G2717" s="3">
        <v>140.17</v>
      </c>
      <c r="H2717" s="3">
        <v>148.87</v>
      </c>
      <c r="I2717" s="3">
        <v>33.6</v>
      </c>
      <c r="J2717" s="3">
        <v>0.0</v>
      </c>
      <c r="K2717" s="4">
        <f t="shared" si="1"/>
        <v>20058.9073</v>
      </c>
      <c r="L2717" s="4">
        <f t="shared" si="2"/>
        <v>3.216326744</v>
      </c>
    </row>
    <row r="2718">
      <c r="A2718" s="3" t="s">
        <v>159</v>
      </c>
      <c r="B2718" s="3">
        <v>21.3</v>
      </c>
      <c r="C2718" s="3">
        <v>10.32</v>
      </c>
      <c r="D2718" s="3">
        <v>253.0</v>
      </c>
      <c r="E2718" s="3">
        <v>0.96</v>
      </c>
      <c r="F2718" s="3">
        <v>21.76</v>
      </c>
      <c r="G2718" s="3">
        <v>134.57</v>
      </c>
      <c r="H2718" s="3">
        <v>141.32</v>
      </c>
      <c r="I2718" s="3">
        <v>26.44</v>
      </c>
      <c r="J2718" s="3">
        <v>0.0</v>
      </c>
      <c r="K2718" s="4">
        <f t="shared" si="1"/>
        <v>18582.5825</v>
      </c>
      <c r="L2718" s="4">
        <f t="shared" si="2"/>
        <v>3.444569666</v>
      </c>
    </row>
    <row r="2719">
      <c r="A2719" s="3" t="s">
        <v>159</v>
      </c>
      <c r="B2719" s="3">
        <v>21.3</v>
      </c>
      <c r="C2719" s="3">
        <v>11.38</v>
      </c>
      <c r="D2719" s="3">
        <v>247.0</v>
      </c>
      <c r="E2719" s="3">
        <v>1.99</v>
      </c>
      <c r="F2719" s="3">
        <v>22.29</v>
      </c>
      <c r="G2719" s="3">
        <v>131.1</v>
      </c>
      <c r="H2719" s="3">
        <v>134.58</v>
      </c>
      <c r="I2719" s="3">
        <v>22.01</v>
      </c>
      <c r="J2719" s="3">
        <v>0.0</v>
      </c>
      <c r="K2719" s="4">
        <f t="shared" si="1"/>
        <v>17684.0541</v>
      </c>
      <c r="L2719" s="4">
        <f t="shared" si="2"/>
        <v>3.449944207</v>
      </c>
    </row>
    <row r="2720">
      <c r="A2720" s="3" t="s">
        <v>159</v>
      </c>
      <c r="B2720" s="3">
        <v>21.3</v>
      </c>
      <c r="C2720" s="3">
        <v>12.4</v>
      </c>
      <c r="D2720" s="3">
        <v>238.0</v>
      </c>
      <c r="E2720" s="3">
        <v>3.15</v>
      </c>
      <c r="F2720" s="3">
        <v>22.29</v>
      </c>
      <c r="G2720" s="3">
        <v>127.84</v>
      </c>
      <c r="H2720" s="3">
        <v>128.93</v>
      </c>
      <c r="I2720" s="3">
        <v>18.41</v>
      </c>
      <c r="J2720" s="3">
        <v>0.0</v>
      </c>
      <c r="K2720" s="4">
        <f t="shared" si="1"/>
        <v>16839.9097</v>
      </c>
      <c r="L2720" s="4">
        <f t="shared" si="2"/>
        <v>3.363675994</v>
      </c>
    </row>
    <row r="2721">
      <c r="A2721" s="3" t="s">
        <v>159</v>
      </c>
      <c r="B2721" s="3">
        <v>21.3</v>
      </c>
      <c r="C2721" s="3">
        <v>13.41</v>
      </c>
      <c r="D2721" s="3">
        <v>229.0</v>
      </c>
      <c r="E2721" s="3">
        <v>1.67</v>
      </c>
      <c r="F2721" s="3">
        <v>21.87</v>
      </c>
      <c r="G2721" s="3">
        <v>125.7</v>
      </c>
      <c r="H2721" s="3">
        <v>123.98</v>
      </c>
      <c r="I2721" s="3">
        <v>15.63</v>
      </c>
      <c r="J2721" s="3">
        <v>0.0</v>
      </c>
      <c r="K2721" s="4">
        <f t="shared" si="1"/>
        <v>16278.7869</v>
      </c>
      <c r="L2721" s="4">
        <f t="shared" si="2"/>
        <v>3.22143169</v>
      </c>
    </row>
    <row r="2722">
      <c r="A2722" s="3" t="s">
        <v>159</v>
      </c>
      <c r="B2722" s="3">
        <v>21.3</v>
      </c>
      <c r="C2722" s="3">
        <v>14.43</v>
      </c>
      <c r="D2722" s="3">
        <v>223.0</v>
      </c>
      <c r="E2722" s="3">
        <v>3.52</v>
      </c>
      <c r="F2722" s="3">
        <v>21.55</v>
      </c>
      <c r="G2722" s="3">
        <v>123.24</v>
      </c>
      <c r="H2722" s="3">
        <v>119.52</v>
      </c>
      <c r="I2722" s="3">
        <v>12.46</v>
      </c>
      <c r="J2722" s="3">
        <v>0.0</v>
      </c>
      <c r="K2722" s="4">
        <f t="shared" si="1"/>
        <v>15652.5001</v>
      </c>
      <c r="L2722" s="4">
        <f t="shared" si="2"/>
        <v>3.177064346</v>
      </c>
    </row>
    <row r="2723">
      <c r="A2723" s="3" t="s">
        <v>159</v>
      </c>
      <c r="B2723" s="3">
        <v>21.3</v>
      </c>
      <c r="C2723" s="3">
        <v>15.44</v>
      </c>
      <c r="D2723" s="3">
        <v>220.0</v>
      </c>
      <c r="E2723" s="3">
        <v>1.13</v>
      </c>
      <c r="F2723" s="3">
        <v>21.55</v>
      </c>
      <c r="G2723" s="3">
        <v>120.61</v>
      </c>
      <c r="H2723" s="3">
        <v>115.54</v>
      </c>
      <c r="I2723" s="3">
        <v>10.23</v>
      </c>
      <c r="J2723" s="3">
        <v>0.0</v>
      </c>
      <c r="K2723" s="4">
        <f t="shared" si="1"/>
        <v>15011.1746</v>
      </c>
      <c r="L2723" s="4">
        <f t="shared" si="2"/>
        <v>3.224264675</v>
      </c>
    </row>
    <row r="2724">
      <c r="A2724" s="3" t="s">
        <v>159</v>
      </c>
      <c r="B2724" s="3">
        <v>21.3</v>
      </c>
      <c r="C2724" s="3">
        <v>16.57</v>
      </c>
      <c r="D2724" s="3">
        <v>220.0</v>
      </c>
      <c r="E2724" s="3">
        <v>1.12</v>
      </c>
      <c r="F2724" s="3">
        <v>22.08</v>
      </c>
      <c r="G2724" s="3">
        <v>117.78</v>
      </c>
      <c r="H2724" s="3">
        <v>111.53</v>
      </c>
      <c r="I2724" s="3">
        <v>8.33</v>
      </c>
      <c r="J2724" s="3">
        <v>0.0</v>
      </c>
      <c r="K2724" s="4">
        <f t="shared" si="1"/>
        <v>14359.6548</v>
      </c>
      <c r="L2724" s="4">
        <f t="shared" si="2"/>
        <v>3.370554562</v>
      </c>
    </row>
    <row r="2725">
      <c r="A2725" s="3" t="s">
        <v>159</v>
      </c>
      <c r="B2725" s="3">
        <v>21.3</v>
      </c>
      <c r="C2725" s="3">
        <v>17.58</v>
      </c>
      <c r="D2725" s="3">
        <v>224.0</v>
      </c>
      <c r="E2725" s="3">
        <v>1.93</v>
      </c>
      <c r="F2725" s="3">
        <v>22.61</v>
      </c>
      <c r="G2725" s="3">
        <v>115.53</v>
      </c>
      <c r="H2725" s="3">
        <v>108.28</v>
      </c>
      <c r="I2725" s="3">
        <v>6.91</v>
      </c>
      <c r="J2725" s="3">
        <v>0.0</v>
      </c>
      <c r="K2725" s="4">
        <f t="shared" si="1"/>
        <v>13858.393</v>
      </c>
      <c r="L2725" s="4">
        <f t="shared" si="2"/>
        <v>3.620621814</v>
      </c>
    </row>
    <row r="2726">
      <c r="A2726" s="3" t="s">
        <v>159</v>
      </c>
      <c r="B2726" s="3">
        <v>21.3</v>
      </c>
      <c r="C2726" s="3">
        <v>18.6</v>
      </c>
      <c r="D2726" s="3">
        <v>228.0</v>
      </c>
      <c r="E2726" s="3">
        <v>2.04</v>
      </c>
      <c r="F2726" s="3">
        <v>23.25</v>
      </c>
      <c r="G2726" s="3">
        <v>113.08</v>
      </c>
      <c r="H2726" s="3">
        <v>105.27</v>
      </c>
      <c r="I2726" s="3">
        <v>5.45</v>
      </c>
      <c r="J2726" s="3">
        <v>0.0</v>
      </c>
      <c r="K2726" s="4">
        <f t="shared" si="1"/>
        <v>13327.6489</v>
      </c>
      <c r="L2726" s="4">
        <f t="shared" si="2"/>
        <v>3.900462894</v>
      </c>
    </row>
    <row r="2727">
      <c r="A2727" s="3" t="s">
        <v>159</v>
      </c>
      <c r="B2727" s="3">
        <v>21.3</v>
      </c>
      <c r="C2727" s="3">
        <v>19.61</v>
      </c>
      <c r="D2727" s="3">
        <v>234.0</v>
      </c>
      <c r="E2727" s="3">
        <v>2.55</v>
      </c>
      <c r="F2727" s="3">
        <v>24.2</v>
      </c>
      <c r="G2727" s="3">
        <v>110.31</v>
      </c>
      <c r="H2727" s="3">
        <v>102.52</v>
      </c>
      <c r="I2727" s="3">
        <v>4.48</v>
      </c>
      <c r="J2727" s="3">
        <v>0.0</v>
      </c>
      <c r="K2727" s="4">
        <f t="shared" si="1"/>
        <v>12753.9361</v>
      </c>
      <c r="L2727" s="4">
        <f t="shared" si="2"/>
        <v>4.293262846</v>
      </c>
    </row>
    <row r="2728">
      <c r="A2728" s="3" t="s">
        <v>159</v>
      </c>
      <c r="B2728" s="3">
        <v>21.3</v>
      </c>
      <c r="C2728" s="3">
        <v>20.62</v>
      </c>
      <c r="D2728" s="3">
        <v>239.0</v>
      </c>
      <c r="E2728" s="3">
        <v>2.91</v>
      </c>
      <c r="F2728" s="3">
        <v>26.01</v>
      </c>
      <c r="G2728" s="3">
        <v>107.85</v>
      </c>
      <c r="H2728" s="3">
        <v>99.98</v>
      </c>
      <c r="I2728" s="3">
        <v>3.92</v>
      </c>
      <c r="J2728" s="3">
        <v>0.0</v>
      </c>
      <c r="K2728" s="4">
        <f t="shared" si="1"/>
        <v>12308.1426</v>
      </c>
      <c r="L2728" s="4">
        <f t="shared" si="2"/>
        <v>4.640911456</v>
      </c>
    </row>
    <row r="2729">
      <c r="A2729" s="3" t="s">
        <v>159</v>
      </c>
      <c r="B2729" s="3">
        <v>21.3</v>
      </c>
      <c r="C2729" s="3">
        <v>21.64</v>
      </c>
      <c r="D2729" s="3">
        <v>243.0</v>
      </c>
      <c r="E2729" s="3">
        <v>3.08</v>
      </c>
      <c r="F2729" s="3">
        <v>28.66</v>
      </c>
      <c r="G2729" s="3">
        <v>105.68</v>
      </c>
      <c r="H2729" s="3">
        <v>97.6</v>
      </c>
      <c r="I2729" s="3">
        <v>3.37</v>
      </c>
      <c r="J2729" s="3">
        <v>0.0</v>
      </c>
      <c r="K2729" s="4">
        <f t="shared" si="1"/>
        <v>11989.658</v>
      </c>
      <c r="L2729" s="4">
        <f t="shared" si="2"/>
        <v>4.924994524</v>
      </c>
    </row>
    <row r="2730">
      <c r="A2730" s="3" t="s">
        <v>159</v>
      </c>
      <c r="B2730" s="3">
        <v>21.3</v>
      </c>
      <c r="C2730" s="3">
        <v>22.77</v>
      </c>
      <c r="D2730" s="3">
        <v>245.0</v>
      </c>
      <c r="E2730" s="3">
        <v>3.6</v>
      </c>
      <c r="F2730" s="3">
        <v>31.74</v>
      </c>
      <c r="G2730" s="3">
        <v>103.62</v>
      </c>
      <c r="H2730" s="3">
        <v>95.14</v>
      </c>
      <c r="I2730" s="3">
        <v>2.89</v>
      </c>
      <c r="J2730" s="3">
        <v>0.0</v>
      </c>
      <c r="K2730" s="4">
        <f t="shared" si="1"/>
        <v>11744.532</v>
      </c>
      <c r="L2730" s="4">
        <f t="shared" si="2"/>
        <v>5.11088905</v>
      </c>
    </row>
    <row r="2731">
      <c r="A2731" s="3" t="s">
        <v>159</v>
      </c>
      <c r="B2731" s="3">
        <v>21.3</v>
      </c>
      <c r="C2731" s="3">
        <v>23.78</v>
      </c>
      <c r="D2731" s="3">
        <v>247.0</v>
      </c>
      <c r="E2731" s="3">
        <v>2.67</v>
      </c>
      <c r="F2731" s="3">
        <v>34.4</v>
      </c>
      <c r="G2731" s="3">
        <v>101.87</v>
      </c>
      <c r="H2731" s="3">
        <v>93.1</v>
      </c>
      <c r="I2731" s="3">
        <v>2.36</v>
      </c>
      <c r="J2731" s="3">
        <v>0.0</v>
      </c>
      <c r="K2731" s="4">
        <f t="shared" si="1"/>
        <v>11560.8569</v>
      </c>
      <c r="L2731" s="4">
        <f t="shared" si="2"/>
        <v>5.277203976</v>
      </c>
    </row>
    <row r="2732">
      <c r="A2732" s="3" t="s">
        <v>159</v>
      </c>
      <c r="B2732" s="3">
        <v>21.3</v>
      </c>
      <c r="C2732" s="3">
        <v>24.79</v>
      </c>
      <c r="D2732" s="3">
        <v>249.0</v>
      </c>
      <c r="E2732" s="3">
        <v>3.37</v>
      </c>
      <c r="F2732" s="3">
        <v>36.31</v>
      </c>
      <c r="G2732" s="3">
        <v>99.95</v>
      </c>
      <c r="H2732" s="3">
        <v>91.18</v>
      </c>
      <c r="I2732" s="3">
        <v>1.81</v>
      </c>
      <c r="J2732" s="3">
        <v>0.0</v>
      </c>
      <c r="K2732" s="4">
        <f t="shared" si="1"/>
        <v>11308.4186</v>
      </c>
      <c r="L2732" s="4">
        <f t="shared" si="2"/>
        <v>5.482729477</v>
      </c>
    </row>
    <row r="2733">
      <c r="A2733" s="3" t="s">
        <v>159</v>
      </c>
      <c r="B2733" s="3">
        <v>21.3</v>
      </c>
      <c r="C2733" s="3">
        <v>25.81</v>
      </c>
      <c r="D2733" s="3">
        <v>250.0</v>
      </c>
      <c r="E2733" s="3">
        <v>2.08</v>
      </c>
      <c r="F2733" s="3">
        <v>37.37</v>
      </c>
      <c r="G2733" s="3">
        <v>97.79</v>
      </c>
      <c r="H2733" s="3">
        <v>89.36</v>
      </c>
      <c r="I2733" s="3">
        <v>1.47</v>
      </c>
      <c r="J2733" s="3">
        <v>0.0</v>
      </c>
      <c r="K2733" s="4">
        <f t="shared" si="1"/>
        <v>10959.401</v>
      </c>
      <c r="L2733" s="4">
        <f t="shared" si="2"/>
        <v>5.702866425</v>
      </c>
    </row>
    <row r="2734">
      <c r="A2734" s="3" t="s">
        <v>159</v>
      </c>
      <c r="B2734" s="3">
        <v>21.3</v>
      </c>
      <c r="C2734" s="3">
        <v>26.82</v>
      </c>
      <c r="D2734" s="3">
        <v>251.0</v>
      </c>
      <c r="E2734" s="3">
        <v>1.68</v>
      </c>
      <c r="F2734" s="3">
        <v>37.79</v>
      </c>
      <c r="G2734" s="3">
        <v>95.84</v>
      </c>
      <c r="H2734" s="3">
        <v>87.67</v>
      </c>
      <c r="I2734" s="3">
        <v>1.26</v>
      </c>
      <c r="J2734" s="3">
        <v>0.0</v>
      </c>
      <c r="K2734" s="4">
        <f t="shared" si="1"/>
        <v>10613.3897</v>
      </c>
      <c r="L2734" s="4">
        <f t="shared" si="2"/>
        <v>5.935992344</v>
      </c>
    </row>
    <row r="2735">
      <c r="A2735" s="3" t="s">
        <v>159</v>
      </c>
      <c r="B2735" s="3">
        <v>21.3</v>
      </c>
      <c r="C2735" s="3">
        <v>27.84</v>
      </c>
      <c r="D2735" s="3">
        <v>251.0</v>
      </c>
      <c r="E2735" s="3">
        <v>2.78</v>
      </c>
      <c r="F2735" s="3">
        <v>37.79</v>
      </c>
      <c r="G2735" s="3">
        <v>94.22</v>
      </c>
      <c r="H2735" s="3">
        <v>86.04</v>
      </c>
      <c r="I2735" s="3">
        <v>1.08</v>
      </c>
      <c r="J2735" s="3">
        <v>0.0</v>
      </c>
      <c r="K2735" s="4">
        <f t="shared" si="1"/>
        <v>10305.4925</v>
      </c>
      <c r="L2735" s="4">
        <f t="shared" si="2"/>
        <v>6.113341987</v>
      </c>
    </row>
    <row r="2736">
      <c r="A2736" s="3" t="s">
        <v>159</v>
      </c>
      <c r="B2736" s="3">
        <v>21.3</v>
      </c>
      <c r="C2736" s="3">
        <v>29.41</v>
      </c>
      <c r="D2736" s="3">
        <v>248.0</v>
      </c>
      <c r="E2736" s="3">
        <v>3.4</v>
      </c>
      <c r="F2736" s="3">
        <v>37.26</v>
      </c>
      <c r="G2736" s="3">
        <v>91.66</v>
      </c>
      <c r="H2736" s="3">
        <v>83.72</v>
      </c>
      <c r="I2736" s="3">
        <v>0.68</v>
      </c>
      <c r="J2736" s="3">
        <v>0.0</v>
      </c>
      <c r="K2736" s="4">
        <f t="shared" si="1"/>
        <v>9789.8632</v>
      </c>
      <c r="L2736" s="4">
        <f t="shared" si="2"/>
        <v>6.282416694</v>
      </c>
    </row>
    <row r="2737">
      <c r="A2737" s="3" t="s">
        <v>159</v>
      </c>
      <c r="B2737" s="3">
        <v>21.3</v>
      </c>
      <c r="C2737" s="3">
        <v>30.99</v>
      </c>
      <c r="D2737" s="3">
        <v>246.0</v>
      </c>
      <c r="E2737" s="3">
        <v>2.91</v>
      </c>
      <c r="F2737" s="3">
        <v>36.63</v>
      </c>
      <c r="G2737" s="3">
        <v>88.64</v>
      </c>
      <c r="H2737" s="3">
        <v>81.55</v>
      </c>
      <c r="I2737" s="3">
        <v>0.41</v>
      </c>
      <c r="J2737" s="3">
        <v>0.0</v>
      </c>
      <c r="K2737" s="4">
        <f t="shared" si="1"/>
        <v>9198.8065</v>
      </c>
      <c r="L2737" s="4">
        <f t="shared" si="2"/>
        <v>6.578679528</v>
      </c>
    </row>
    <row r="2738">
      <c r="A2738" s="3" t="s">
        <v>159</v>
      </c>
      <c r="B2738" s="3">
        <v>21.3</v>
      </c>
      <c r="C2738" s="3">
        <v>32.57</v>
      </c>
      <c r="D2738" s="3">
        <v>249.0</v>
      </c>
      <c r="E2738" s="3">
        <v>3.46</v>
      </c>
      <c r="F2738" s="3">
        <v>35.88</v>
      </c>
      <c r="G2738" s="3">
        <v>86.0</v>
      </c>
      <c r="H2738" s="3">
        <v>79.55</v>
      </c>
      <c r="I2738" s="3">
        <v>0.4</v>
      </c>
      <c r="J2738" s="3">
        <v>0.0</v>
      </c>
      <c r="K2738" s="4">
        <f t="shared" si="1"/>
        <v>8683.3744</v>
      </c>
      <c r="L2738" s="4">
        <f t="shared" si="2"/>
        <v>7.140196558</v>
      </c>
    </row>
    <row r="2739">
      <c r="A2739" s="3" t="s">
        <v>159</v>
      </c>
      <c r="B2739" s="3">
        <v>21.3</v>
      </c>
      <c r="C2739" s="3">
        <v>34.03</v>
      </c>
      <c r="D2739" s="3">
        <v>252.0</v>
      </c>
      <c r="E2739" s="3">
        <v>3.23</v>
      </c>
      <c r="F2739" s="3">
        <v>35.14</v>
      </c>
      <c r="G2739" s="3">
        <v>84.24</v>
      </c>
      <c r="H2739" s="3">
        <v>77.83</v>
      </c>
      <c r="I2739" s="3">
        <v>0.34</v>
      </c>
      <c r="J2739" s="3">
        <v>0.0</v>
      </c>
      <c r="K2739" s="4">
        <f t="shared" si="1"/>
        <v>8331.1972</v>
      </c>
      <c r="L2739" s="4">
        <f t="shared" si="2"/>
        <v>7.622433904</v>
      </c>
    </row>
    <row r="2740">
      <c r="A2740" s="3" t="s">
        <v>159</v>
      </c>
      <c r="B2740" s="3">
        <v>21.3</v>
      </c>
      <c r="C2740" s="3">
        <v>37.19</v>
      </c>
      <c r="D2740" s="3">
        <v>255.0</v>
      </c>
      <c r="E2740" s="3">
        <v>4.16</v>
      </c>
      <c r="F2740" s="3">
        <v>33.12</v>
      </c>
      <c r="G2740" s="3">
        <v>79.85</v>
      </c>
      <c r="H2740" s="3">
        <v>74.45</v>
      </c>
      <c r="I2740" s="3">
        <v>0.0</v>
      </c>
      <c r="J2740" s="3">
        <v>0.0</v>
      </c>
      <c r="K2740" s="4">
        <f t="shared" si="1"/>
        <v>7472.9569</v>
      </c>
      <c r="L2740" s="4">
        <f t="shared" si="2"/>
        <v>8.701374954</v>
      </c>
    </row>
    <row r="2741">
      <c r="A2741" s="3" t="s">
        <v>160</v>
      </c>
      <c r="B2741" s="3">
        <v>18.0</v>
      </c>
      <c r="C2741" s="3">
        <v>0.87</v>
      </c>
      <c r="D2741" s="3">
        <v>23.4</v>
      </c>
      <c r="E2741" s="3">
        <v>5.55</v>
      </c>
      <c r="F2741" s="3">
        <v>3.13</v>
      </c>
      <c r="G2741" s="3">
        <v>27.44</v>
      </c>
      <c r="H2741" s="3">
        <v>0.0</v>
      </c>
      <c r="I2741" s="3">
        <v>76.66</v>
      </c>
      <c r="J2741" s="3">
        <v>0.0</v>
      </c>
      <c r="K2741" s="4">
        <f t="shared" si="1"/>
        <v>762.7505</v>
      </c>
      <c r="L2741" s="4">
        <f t="shared" si="2"/>
        <v>0.7178756356</v>
      </c>
    </row>
    <row r="2742">
      <c r="A2742" s="3" t="s">
        <v>160</v>
      </c>
      <c r="B2742" s="3">
        <v>18.0</v>
      </c>
      <c r="C2742" s="3">
        <v>1.74</v>
      </c>
      <c r="D2742" s="3">
        <v>28.0</v>
      </c>
      <c r="E2742" s="3">
        <v>5.2</v>
      </c>
      <c r="F2742" s="3">
        <v>4.07</v>
      </c>
      <c r="G2742" s="3">
        <v>38.72</v>
      </c>
      <c r="H2742" s="3">
        <v>0.0</v>
      </c>
      <c r="I2742" s="3">
        <v>36.41</v>
      </c>
      <c r="J2742" s="3">
        <v>0.0</v>
      </c>
      <c r="K2742" s="4">
        <f t="shared" si="1"/>
        <v>1515.8033</v>
      </c>
      <c r="L2742" s="4">
        <f t="shared" si="2"/>
        <v>0.5172175044</v>
      </c>
    </row>
    <row r="2743">
      <c r="A2743" s="3" t="s">
        <v>160</v>
      </c>
      <c r="B2743" s="3">
        <v>18.0</v>
      </c>
      <c r="C2743" s="3">
        <v>2.61</v>
      </c>
      <c r="D2743" s="3">
        <v>36.7</v>
      </c>
      <c r="E2743" s="3">
        <v>4.25</v>
      </c>
      <c r="F2743" s="3">
        <v>7.08</v>
      </c>
      <c r="G2743" s="3">
        <v>40.85</v>
      </c>
      <c r="H2743" s="3">
        <v>0.0</v>
      </c>
      <c r="I2743" s="3">
        <v>18.57</v>
      </c>
      <c r="J2743" s="3">
        <v>0.0</v>
      </c>
      <c r="K2743" s="4">
        <f t="shared" si="1"/>
        <v>1718.8489</v>
      </c>
      <c r="L2743" s="4">
        <f t="shared" si="2"/>
        <v>0.7836000011</v>
      </c>
    </row>
    <row r="2744">
      <c r="A2744" s="3" t="s">
        <v>160</v>
      </c>
      <c r="B2744" s="3">
        <v>18.0</v>
      </c>
      <c r="C2744" s="3">
        <v>3.5</v>
      </c>
      <c r="D2744" s="3">
        <v>47.6</v>
      </c>
      <c r="E2744" s="3">
        <v>4.25</v>
      </c>
      <c r="F2744" s="3">
        <v>10.56</v>
      </c>
      <c r="G2744" s="3">
        <v>41.42</v>
      </c>
      <c r="H2744" s="3">
        <v>0.0</v>
      </c>
      <c r="I2744" s="3">
        <v>10.76</v>
      </c>
      <c r="J2744" s="3">
        <v>0.0</v>
      </c>
      <c r="K2744" s="4">
        <f t="shared" si="1"/>
        <v>1827.13</v>
      </c>
      <c r="L2744" s="4">
        <f t="shared" si="2"/>
        <v>1.24006502</v>
      </c>
    </row>
    <row r="2745">
      <c r="A2745" s="3" t="s">
        <v>160</v>
      </c>
      <c r="B2745" s="3">
        <v>18.0</v>
      </c>
      <c r="C2745" s="3">
        <v>4.37</v>
      </c>
      <c r="D2745" s="3">
        <v>63.3</v>
      </c>
      <c r="E2745" s="3">
        <v>4.75</v>
      </c>
      <c r="F2745" s="3">
        <v>13.36</v>
      </c>
      <c r="G2745" s="3">
        <v>40.22</v>
      </c>
      <c r="H2745" s="3">
        <v>0.0</v>
      </c>
      <c r="I2745" s="3">
        <v>6.42</v>
      </c>
      <c r="J2745" s="3">
        <v>0.0</v>
      </c>
      <c r="K2745" s="4">
        <f t="shared" si="1"/>
        <v>1796.138</v>
      </c>
      <c r="L2745" s="4">
        <f t="shared" si="2"/>
        <v>2.230836383</v>
      </c>
    </row>
    <row r="2746">
      <c r="A2746" s="3" t="s">
        <v>160</v>
      </c>
      <c r="B2746" s="3">
        <v>18.0</v>
      </c>
      <c r="C2746" s="3">
        <v>5.24</v>
      </c>
      <c r="D2746" s="3">
        <v>71.2</v>
      </c>
      <c r="E2746" s="3">
        <v>5.25</v>
      </c>
      <c r="F2746" s="3">
        <v>17.35</v>
      </c>
      <c r="G2746" s="3">
        <v>39.25</v>
      </c>
      <c r="H2746" s="3">
        <v>0.0</v>
      </c>
      <c r="I2746" s="3">
        <v>3.11</v>
      </c>
      <c r="J2746" s="3">
        <v>0.0</v>
      </c>
      <c r="K2746" s="4">
        <f t="shared" si="1"/>
        <v>1841.585</v>
      </c>
      <c r="L2746" s="4">
        <f t="shared" si="2"/>
        <v>2.752759172</v>
      </c>
    </row>
    <row r="2747">
      <c r="A2747" s="3" t="s">
        <v>160</v>
      </c>
      <c r="B2747" s="3">
        <v>18.0</v>
      </c>
      <c r="C2747" s="3">
        <v>6.11</v>
      </c>
      <c r="D2747" s="3">
        <v>68.1</v>
      </c>
      <c r="E2747" s="3">
        <v>6.0</v>
      </c>
      <c r="F2747" s="3">
        <v>19.51</v>
      </c>
      <c r="G2747" s="3">
        <v>37.01</v>
      </c>
      <c r="H2747" s="3">
        <v>0.0</v>
      </c>
      <c r="I2747" s="3">
        <v>1.37</v>
      </c>
      <c r="J2747" s="3">
        <v>0.0</v>
      </c>
      <c r="K2747" s="4">
        <f t="shared" si="1"/>
        <v>1750.3802</v>
      </c>
      <c r="L2747" s="4">
        <f t="shared" si="2"/>
        <v>2.649487237</v>
      </c>
    </row>
    <row r="2748">
      <c r="A2748" s="3" t="s">
        <v>160</v>
      </c>
      <c r="B2748" s="3">
        <v>18.0</v>
      </c>
      <c r="C2748" s="3">
        <v>6.98</v>
      </c>
      <c r="D2748" s="3">
        <v>74.4</v>
      </c>
      <c r="E2748" s="3">
        <v>6.0</v>
      </c>
      <c r="F2748" s="3">
        <v>20.91</v>
      </c>
      <c r="G2748" s="3">
        <v>34.75</v>
      </c>
      <c r="H2748" s="3">
        <v>0.0</v>
      </c>
      <c r="I2748" s="3">
        <v>0.86</v>
      </c>
      <c r="J2748" s="3">
        <v>0.0</v>
      </c>
      <c r="K2748" s="4">
        <f t="shared" si="1"/>
        <v>1644.7906</v>
      </c>
      <c r="L2748" s="4">
        <f t="shared" si="2"/>
        <v>3.365388883</v>
      </c>
    </row>
    <row r="2749">
      <c r="A2749" s="3" t="s">
        <v>161</v>
      </c>
      <c r="B2749" s="3">
        <v>18.0</v>
      </c>
      <c r="C2749" s="3">
        <v>1.74</v>
      </c>
      <c r="D2749" s="3">
        <v>59.2</v>
      </c>
      <c r="E2749" s="3">
        <v>3.5</v>
      </c>
      <c r="F2749" s="3">
        <v>0.0</v>
      </c>
      <c r="G2749" s="3">
        <v>56.25</v>
      </c>
      <c r="H2749" s="3">
        <v>0.0</v>
      </c>
      <c r="I2749" s="3">
        <v>84.05</v>
      </c>
      <c r="J2749" s="3">
        <v>0.0</v>
      </c>
      <c r="K2749" s="4">
        <f t="shared" si="1"/>
        <v>3164.0625</v>
      </c>
      <c r="L2749" s="4">
        <f t="shared" si="2"/>
        <v>1.107639309</v>
      </c>
    </row>
    <row r="2750">
      <c r="A2750" s="3" t="s">
        <v>161</v>
      </c>
      <c r="B2750" s="3">
        <v>18.0</v>
      </c>
      <c r="C2750" s="3">
        <v>2.61</v>
      </c>
      <c r="D2750" s="3">
        <v>71.2</v>
      </c>
      <c r="E2750" s="3">
        <v>4.0</v>
      </c>
      <c r="F2750" s="3">
        <v>0.0</v>
      </c>
      <c r="G2750" s="3">
        <v>59.09</v>
      </c>
      <c r="H2750" s="3">
        <v>0.0</v>
      </c>
      <c r="I2750" s="3">
        <v>59.41</v>
      </c>
      <c r="J2750" s="3">
        <v>0.0</v>
      </c>
      <c r="K2750" s="4">
        <f t="shared" si="1"/>
        <v>3491.6281</v>
      </c>
      <c r="L2750" s="4">
        <f t="shared" si="2"/>
        <v>1.451884294</v>
      </c>
    </row>
    <row r="2751">
      <c r="A2751" s="3" t="s">
        <v>161</v>
      </c>
      <c r="B2751" s="3">
        <v>18.0</v>
      </c>
      <c r="C2751" s="3">
        <v>3.5</v>
      </c>
      <c r="D2751" s="3">
        <v>84.5</v>
      </c>
      <c r="E2751" s="3">
        <v>4.4</v>
      </c>
      <c r="F2751" s="3">
        <v>6.4</v>
      </c>
      <c r="G2751" s="3">
        <v>61.72</v>
      </c>
      <c r="H2751" s="3">
        <v>0.0</v>
      </c>
      <c r="I2751" s="3">
        <v>38.85</v>
      </c>
      <c r="J2751" s="3">
        <v>0.0</v>
      </c>
      <c r="K2751" s="4">
        <f t="shared" si="1"/>
        <v>3850.3184</v>
      </c>
      <c r="L2751" s="4">
        <f t="shared" si="2"/>
        <v>1.854457024</v>
      </c>
    </row>
    <row r="2752">
      <c r="A2752" s="3" t="s">
        <v>161</v>
      </c>
      <c r="B2752" s="3">
        <v>18.0</v>
      </c>
      <c r="C2752" s="3">
        <v>4.37</v>
      </c>
      <c r="D2752" s="3">
        <v>93.5</v>
      </c>
      <c r="E2752" s="3">
        <v>4.5</v>
      </c>
      <c r="F2752" s="3">
        <v>14.66</v>
      </c>
      <c r="G2752" s="3">
        <v>63.73</v>
      </c>
      <c r="H2752" s="3">
        <v>0.0</v>
      </c>
      <c r="I2752" s="3">
        <v>29.86</v>
      </c>
      <c r="J2752" s="3">
        <v>0.0</v>
      </c>
      <c r="K2752" s="4">
        <f t="shared" si="1"/>
        <v>4276.4285</v>
      </c>
      <c r="L2752" s="4">
        <f t="shared" si="2"/>
        <v>2.044287657</v>
      </c>
    </row>
    <row r="2753">
      <c r="A2753" s="3" t="s">
        <v>161</v>
      </c>
      <c r="B2753" s="3">
        <v>18.0</v>
      </c>
      <c r="C2753" s="3">
        <v>5.24</v>
      </c>
      <c r="D2753" s="3">
        <v>97.5</v>
      </c>
      <c r="E2753" s="3">
        <v>3.5</v>
      </c>
      <c r="F2753" s="3">
        <v>17.89</v>
      </c>
      <c r="G2753" s="3">
        <v>64.38</v>
      </c>
      <c r="H2753" s="3">
        <v>0.0</v>
      </c>
      <c r="I2753" s="3">
        <v>19.57</v>
      </c>
      <c r="J2753" s="3">
        <v>0.0</v>
      </c>
      <c r="K2753" s="4">
        <f t="shared" si="1"/>
        <v>4464.8365</v>
      </c>
      <c r="L2753" s="4">
        <f t="shared" si="2"/>
        <v>2.129137316</v>
      </c>
    </row>
    <row r="2754">
      <c r="A2754" s="3" t="s">
        <v>161</v>
      </c>
      <c r="B2754" s="3">
        <v>18.0</v>
      </c>
      <c r="C2754" s="3">
        <v>6.11</v>
      </c>
      <c r="D2754" s="3">
        <v>100.0</v>
      </c>
      <c r="E2754" s="3">
        <v>3.5</v>
      </c>
      <c r="F2754" s="3">
        <v>20.91</v>
      </c>
      <c r="G2754" s="3">
        <v>64.3</v>
      </c>
      <c r="H2754" s="3">
        <v>0.0</v>
      </c>
      <c r="I2754" s="3">
        <v>16.34</v>
      </c>
      <c r="J2754" s="3">
        <v>0.0</v>
      </c>
      <c r="K2754" s="4">
        <f t="shared" si="1"/>
        <v>4571.7181</v>
      </c>
      <c r="L2754" s="4">
        <f t="shared" si="2"/>
        <v>2.187361465</v>
      </c>
    </row>
    <row r="2755">
      <c r="A2755" s="3" t="s">
        <v>161</v>
      </c>
      <c r="B2755" s="3">
        <v>18.0</v>
      </c>
      <c r="C2755" s="3">
        <v>6.98</v>
      </c>
      <c r="D2755" s="3">
        <v>101.0</v>
      </c>
      <c r="E2755" s="3">
        <v>4.0</v>
      </c>
      <c r="F2755" s="3">
        <v>24.79</v>
      </c>
      <c r="G2755" s="3">
        <v>64.23</v>
      </c>
      <c r="H2755" s="3">
        <v>0.0</v>
      </c>
      <c r="I2755" s="3">
        <v>10.95</v>
      </c>
      <c r="J2755" s="3">
        <v>0.0</v>
      </c>
      <c r="K2755" s="4">
        <f t="shared" si="1"/>
        <v>4740.037</v>
      </c>
      <c r="L2755" s="4">
        <f t="shared" si="2"/>
        <v>2.152092906</v>
      </c>
    </row>
    <row r="2756">
      <c r="A2756" s="3" t="s">
        <v>161</v>
      </c>
      <c r="B2756" s="3">
        <v>18.0</v>
      </c>
      <c r="C2756" s="3">
        <v>7.85</v>
      </c>
      <c r="D2756" s="3">
        <v>103.0</v>
      </c>
      <c r="E2756" s="3">
        <v>3.5</v>
      </c>
      <c r="F2756" s="3">
        <v>27.59</v>
      </c>
      <c r="G2756" s="3">
        <v>62.94</v>
      </c>
      <c r="H2756" s="3">
        <v>0.0</v>
      </c>
      <c r="I2756" s="3">
        <v>8.29</v>
      </c>
      <c r="J2756" s="3">
        <v>0.0</v>
      </c>
      <c r="K2756" s="4">
        <f t="shared" si="1"/>
        <v>4722.6517</v>
      </c>
      <c r="L2756" s="4">
        <f t="shared" si="2"/>
        <v>2.246407458</v>
      </c>
    </row>
    <row r="2757">
      <c r="A2757" s="3" t="s">
        <v>161</v>
      </c>
      <c r="B2757" s="3">
        <v>18.0</v>
      </c>
      <c r="C2757" s="3">
        <v>8.72</v>
      </c>
      <c r="D2757" s="3">
        <v>105.0</v>
      </c>
      <c r="E2757" s="3">
        <v>4.0</v>
      </c>
      <c r="F2757" s="3">
        <v>29.1</v>
      </c>
      <c r="G2757" s="3">
        <v>61.95</v>
      </c>
      <c r="H2757" s="3">
        <v>0.0</v>
      </c>
      <c r="I2757" s="3">
        <v>6.21</v>
      </c>
      <c r="J2757" s="3">
        <v>0.0</v>
      </c>
      <c r="K2757" s="4">
        <f t="shared" si="1"/>
        <v>4684.6125</v>
      </c>
      <c r="L2757" s="4">
        <f t="shared" si="2"/>
        <v>2.353449725</v>
      </c>
    </row>
    <row r="2758">
      <c r="A2758" s="3" t="s">
        <v>161</v>
      </c>
      <c r="B2758" s="3">
        <v>18.0</v>
      </c>
      <c r="C2758" s="3">
        <v>9.6</v>
      </c>
      <c r="D2758" s="3">
        <v>110.0</v>
      </c>
      <c r="E2758" s="3">
        <v>4.9</v>
      </c>
      <c r="F2758" s="3">
        <v>32.76</v>
      </c>
      <c r="G2758" s="3">
        <v>60.68</v>
      </c>
      <c r="H2758" s="3">
        <v>0.0</v>
      </c>
      <c r="I2758" s="3">
        <v>4.78</v>
      </c>
      <c r="J2758" s="3">
        <v>0.0</v>
      </c>
      <c r="K2758" s="4">
        <f t="shared" si="1"/>
        <v>4755.28</v>
      </c>
      <c r="L2758" s="4">
        <f t="shared" si="2"/>
        <v>2.544539964</v>
      </c>
    </row>
    <row r="2759">
      <c r="A2759" s="3" t="s">
        <v>161</v>
      </c>
      <c r="B2759" s="3">
        <v>18.0</v>
      </c>
      <c r="C2759" s="3">
        <v>10.47</v>
      </c>
      <c r="D2759" s="3">
        <v>111.0</v>
      </c>
      <c r="E2759" s="3">
        <v>6.0</v>
      </c>
      <c r="F2759" s="3">
        <v>36.86</v>
      </c>
      <c r="G2759" s="3">
        <v>60.19</v>
      </c>
      <c r="H2759" s="3">
        <v>0.0</v>
      </c>
      <c r="I2759" s="3">
        <v>3.35</v>
      </c>
      <c r="J2759" s="3">
        <v>0.0</v>
      </c>
      <c r="K2759" s="4">
        <f t="shared" si="1"/>
        <v>4981.4957</v>
      </c>
      <c r="L2759" s="4">
        <f t="shared" si="2"/>
        <v>2.473353535</v>
      </c>
    </row>
    <row r="2760">
      <c r="A2760" s="3" t="s">
        <v>162</v>
      </c>
      <c r="B2760" s="3">
        <v>18.0</v>
      </c>
      <c r="C2760" s="3">
        <v>0.93</v>
      </c>
      <c r="D2760" s="3">
        <v>40.5</v>
      </c>
      <c r="E2760" s="3">
        <v>7.35</v>
      </c>
      <c r="F2760" s="3">
        <v>9.26</v>
      </c>
      <c r="G2760" s="3">
        <v>50.64</v>
      </c>
      <c r="H2760" s="3">
        <v>0.0</v>
      </c>
      <c r="I2760" s="3">
        <v>139.38</v>
      </c>
      <c r="J2760" s="3">
        <v>0.0</v>
      </c>
      <c r="K2760" s="4">
        <f t="shared" si="1"/>
        <v>2650.1572</v>
      </c>
      <c r="L2760" s="4">
        <f t="shared" si="2"/>
        <v>0.618925549</v>
      </c>
    </row>
    <row r="2761">
      <c r="A2761" s="3" t="s">
        <v>162</v>
      </c>
      <c r="B2761" s="3">
        <v>18.0</v>
      </c>
      <c r="C2761" s="3">
        <v>1.94</v>
      </c>
      <c r="D2761" s="3">
        <v>53.9</v>
      </c>
      <c r="E2761" s="3">
        <v>5.9</v>
      </c>
      <c r="F2761" s="3">
        <v>16.49</v>
      </c>
      <c r="G2761" s="3">
        <v>55.16</v>
      </c>
      <c r="H2761" s="3">
        <v>0.0</v>
      </c>
      <c r="I2761" s="3">
        <v>51.5</v>
      </c>
      <c r="J2761" s="3">
        <v>0.0</v>
      </c>
      <c r="K2761" s="4">
        <f t="shared" si="1"/>
        <v>3314.5457</v>
      </c>
      <c r="L2761" s="4">
        <f t="shared" si="2"/>
        <v>0.8765032264</v>
      </c>
    </row>
    <row r="2762">
      <c r="A2762" s="3" t="s">
        <v>162</v>
      </c>
      <c r="B2762" s="3">
        <v>18.0</v>
      </c>
      <c r="C2762" s="3">
        <v>2.87</v>
      </c>
      <c r="D2762" s="3">
        <v>73.0</v>
      </c>
      <c r="E2762" s="3">
        <v>4.7</v>
      </c>
      <c r="F2762" s="3">
        <v>21.98</v>
      </c>
      <c r="G2762" s="3">
        <v>56.07</v>
      </c>
      <c r="H2762" s="3">
        <v>0.0</v>
      </c>
      <c r="I2762" s="3">
        <v>27.77</v>
      </c>
      <c r="J2762" s="3">
        <v>0.0</v>
      </c>
      <c r="K2762" s="4">
        <f t="shared" si="1"/>
        <v>3626.9653</v>
      </c>
      <c r="L2762" s="4">
        <f t="shared" si="2"/>
        <v>1.469272397</v>
      </c>
    </row>
    <row r="2763">
      <c r="A2763" s="3" t="s">
        <v>162</v>
      </c>
      <c r="B2763" s="3">
        <v>18.0</v>
      </c>
      <c r="C2763" s="3">
        <v>3.72</v>
      </c>
      <c r="D2763" s="3">
        <v>78.4</v>
      </c>
      <c r="E2763" s="3">
        <v>3.9</v>
      </c>
      <c r="F2763" s="3">
        <v>25.0</v>
      </c>
      <c r="G2763" s="3">
        <v>55.82</v>
      </c>
      <c r="H2763" s="3">
        <v>0.0</v>
      </c>
      <c r="I2763" s="3">
        <v>15.87</v>
      </c>
      <c r="J2763" s="3">
        <v>0.0</v>
      </c>
      <c r="K2763" s="4">
        <f t="shared" si="1"/>
        <v>3740.8724</v>
      </c>
      <c r="L2763" s="4">
        <f t="shared" si="2"/>
        <v>1.643081972</v>
      </c>
    </row>
    <row r="2764">
      <c r="A2764" s="3" t="s">
        <v>162</v>
      </c>
      <c r="B2764" s="3">
        <v>18.0</v>
      </c>
      <c r="C2764" s="3">
        <v>4.47</v>
      </c>
      <c r="D2764" s="3">
        <v>79.3</v>
      </c>
      <c r="E2764" s="3">
        <v>5.3</v>
      </c>
      <c r="F2764" s="3">
        <v>28.23</v>
      </c>
      <c r="G2764" s="3">
        <v>53.8</v>
      </c>
      <c r="H2764" s="3">
        <v>0.0</v>
      </c>
      <c r="I2764" s="3">
        <v>8.68</v>
      </c>
      <c r="J2764" s="3">
        <v>0.0</v>
      </c>
      <c r="K2764" s="4">
        <f t="shared" si="1"/>
        <v>3691.3729</v>
      </c>
      <c r="L2764" s="4">
        <f t="shared" si="2"/>
        <v>1.703564005</v>
      </c>
    </row>
    <row r="2765">
      <c r="A2765" s="3" t="s">
        <v>162</v>
      </c>
      <c r="B2765" s="3">
        <v>18.0</v>
      </c>
      <c r="C2765" s="3">
        <v>5.16</v>
      </c>
      <c r="D2765" s="3">
        <v>81.1</v>
      </c>
      <c r="E2765" s="3">
        <v>5.1</v>
      </c>
      <c r="F2765" s="3">
        <v>30.82</v>
      </c>
      <c r="G2765" s="3">
        <v>51.88</v>
      </c>
      <c r="H2765" s="3">
        <v>0.0</v>
      </c>
      <c r="I2765" s="3">
        <v>5.5</v>
      </c>
      <c r="J2765" s="3">
        <v>0.0</v>
      </c>
      <c r="K2765" s="4">
        <f t="shared" si="1"/>
        <v>3641.4068</v>
      </c>
      <c r="L2765" s="4">
        <f t="shared" si="2"/>
        <v>1.806227747</v>
      </c>
    </row>
    <row r="2766">
      <c r="A2766" s="3" t="s">
        <v>163</v>
      </c>
      <c r="B2766" s="3">
        <v>18.0</v>
      </c>
      <c r="C2766" s="3">
        <v>1.74</v>
      </c>
      <c r="D2766" s="3">
        <v>54.7</v>
      </c>
      <c r="E2766" s="3">
        <v>8.3</v>
      </c>
      <c r="F2766" s="3">
        <v>0.0</v>
      </c>
      <c r="G2766" s="3">
        <v>52.62</v>
      </c>
      <c r="H2766" s="3">
        <v>0.0</v>
      </c>
      <c r="I2766" s="3">
        <v>88.43</v>
      </c>
      <c r="J2766" s="3">
        <v>0.0</v>
      </c>
      <c r="K2766" s="4">
        <f t="shared" si="1"/>
        <v>2768.8644</v>
      </c>
      <c r="L2766" s="4">
        <f t="shared" si="2"/>
        <v>1.08061991</v>
      </c>
    </row>
    <row r="2767">
      <c r="A2767" s="3" t="s">
        <v>163</v>
      </c>
      <c r="B2767" s="3">
        <v>18.0</v>
      </c>
      <c r="C2767" s="3">
        <v>3.5</v>
      </c>
      <c r="D2767" s="3">
        <v>85.4</v>
      </c>
      <c r="E2767" s="3">
        <v>7.0</v>
      </c>
      <c r="F2767" s="3">
        <v>5.24</v>
      </c>
      <c r="G2767" s="3">
        <v>59.95</v>
      </c>
      <c r="H2767" s="3">
        <v>0.0</v>
      </c>
      <c r="I2767" s="3">
        <v>40.84</v>
      </c>
      <c r="J2767" s="3">
        <v>0.0</v>
      </c>
      <c r="K2767" s="4">
        <f t="shared" si="1"/>
        <v>3621.4601</v>
      </c>
      <c r="L2767" s="4">
        <f t="shared" si="2"/>
        <v>2.013872802</v>
      </c>
    </row>
    <row r="2768">
      <c r="A2768" s="3" t="s">
        <v>163</v>
      </c>
      <c r="B2768" s="3">
        <v>18.0</v>
      </c>
      <c r="C2768" s="3">
        <v>5.24</v>
      </c>
      <c r="D2768" s="3">
        <v>93.8</v>
      </c>
      <c r="E2768" s="3">
        <v>6.2</v>
      </c>
      <c r="F2768" s="3">
        <v>17.89</v>
      </c>
      <c r="G2768" s="3">
        <v>62.66</v>
      </c>
      <c r="H2768" s="3">
        <v>0.0</v>
      </c>
      <c r="I2768" s="3">
        <v>24.98</v>
      </c>
      <c r="J2768" s="3">
        <v>0.0</v>
      </c>
      <c r="K2768" s="4">
        <f t="shared" si="1"/>
        <v>4246.3277</v>
      </c>
      <c r="L2768" s="4">
        <f t="shared" si="2"/>
        <v>2.072011541</v>
      </c>
    </row>
    <row r="2769">
      <c r="A2769" s="3" t="s">
        <v>163</v>
      </c>
      <c r="B2769" s="3">
        <v>18.0</v>
      </c>
      <c r="C2769" s="3">
        <v>6.98</v>
      </c>
      <c r="D2769" s="3">
        <v>98.7</v>
      </c>
      <c r="E2769" s="3">
        <v>5.2</v>
      </c>
      <c r="F2769" s="3">
        <v>25.97</v>
      </c>
      <c r="G2769" s="3">
        <v>65.09</v>
      </c>
      <c r="H2769" s="3">
        <v>0.0</v>
      </c>
      <c r="I2769" s="3">
        <v>17.98</v>
      </c>
      <c r="J2769" s="3">
        <v>0.0</v>
      </c>
      <c r="K2769" s="4">
        <f t="shared" si="1"/>
        <v>4911.149</v>
      </c>
      <c r="L2769" s="4">
        <f t="shared" si="2"/>
        <v>1.983586733</v>
      </c>
    </row>
    <row r="2770">
      <c r="A2770" s="3" t="s">
        <v>163</v>
      </c>
      <c r="B2770" s="3">
        <v>18.0</v>
      </c>
      <c r="C2770" s="3">
        <v>8.72</v>
      </c>
      <c r="D2770" s="3">
        <v>103.0</v>
      </c>
      <c r="E2770" s="3">
        <v>5.2</v>
      </c>
      <c r="F2770" s="3">
        <v>29.85</v>
      </c>
      <c r="G2770" s="3">
        <v>66.99</v>
      </c>
      <c r="H2770" s="3">
        <v>0.0</v>
      </c>
      <c r="I2770" s="3">
        <v>10.91</v>
      </c>
      <c r="J2770" s="3">
        <v>0.0</v>
      </c>
      <c r="K2770" s="4">
        <f t="shared" si="1"/>
        <v>5378.6826</v>
      </c>
      <c r="L2770" s="4">
        <f t="shared" si="2"/>
        <v>1.972416071</v>
      </c>
    </row>
    <row r="2771">
      <c r="A2771" s="3" t="s">
        <v>163</v>
      </c>
      <c r="B2771" s="3">
        <v>18.0</v>
      </c>
      <c r="C2771" s="3">
        <v>10.47</v>
      </c>
      <c r="D2771" s="3">
        <v>107.0</v>
      </c>
      <c r="E2771" s="3">
        <v>5.2</v>
      </c>
      <c r="F2771" s="3">
        <v>34.48</v>
      </c>
      <c r="G2771" s="3">
        <v>67.16</v>
      </c>
      <c r="H2771" s="3">
        <v>0.0</v>
      </c>
      <c r="I2771" s="3">
        <v>6.05</v>
      </c>
      <c r="J2771" s="3">
        <v>0.0</v>
      </c>
      <c r="K2771" s="4">
        <f t="shared" si="1"/>
        <v>5699.336</v>
      </c>
      <c r="L2771" s="4">
        <f t="shared" si="2"/>
        <v>2.008830502</v>
      </c>
    </row>
    <row r="2772">
      <c r="A2772" s="3" t="s">
        <v>163</v>
      </c>
      <c r="B2772" s="3">
        <v>18.0</v>
      </c>
      <c r="C2772" s="3">
        <v>12.19</v>
      </c>
      <c r="D2772" s="3">
        <v>109.0</v>
      </c>
      <c r="E2772" s="3">
        <v>5.2</v>
      </c>
      <c r="F2772" s="3">
        <v>40.3</v>
      </c>
      <c r="G2772" s="3">
        <v>63.93</v>
      </c>
      <c r="H2772" s="3">
        <v>0.0</v>
      </c>
      <c r="I2772" s="3">
        <v>2.66</v>
      </c>
      <c r="J2772" s="3">
        <v>0.0</v>
      </c>
      <c r="K2772" s="4">
        <f t="shared" si="1"/>
        <v>5711.1349</v>
      </c>
      <c r="L2772" s="4">
        <f t="shared" si="2"/>
        <v>2.080322074</v>
      </c>
    </row>
    <row r="2773">
      <c r="A2773" s="3" t="s">
        <v>163</v>
      </c>
      <c r="B2773" s="3">
        <v>18.0</v>
      </c>
      <c r="C2773" s="3">
        <v>13.94</v>
      </c>
      <c r="D2773" s="3">
        <v>108.0</v>
      </c>
      <c r="E2773" s="3">
        <v>7.4</v>
      </c>
      <c r="F2773" s="3">
        <v>42.57</v>
      </c>
      <c r="G2773" s="3">
        <v>59.68</v>
      </c>
      <c r="H2773" s="3">
        <v>0.0</v>
      </c>
      <c r="I2773" s="3">
        <v>0.84</v>
      </c>
      <c r="J2773" s="3">
        <v>0.0</v>
      </c>
      <c r="K2773" s="4">
        <f t="shared" si="1"/>
        <v>5373.9073</v>
      </c>
      <c r="L2773" s="4">
        <f t="shared" si="2"/>
        <v>2.170487757</v>
      </c>
    </row>
    <row r="2774">
      <c r="A2774" s="3" t="s">
        <v>163</v>
      </c>
      <c r="B2774" s="3">
        <v>18.0</v>
      </c>
      <c r="C2774" s="3">
        <v>15.68</v>
      </c>
      <c r="D2774" s="3">
        <v>108.0</v>
      </c>
      <c r="E2774" s="3">
        <v>7.4</v>
      </c>
      <c r="F2774" s="3">
        <v>40.84</v>
      </c>
      <c r="G2774" s="3">
        <v>54.03</v>
      </c>
      <c r="H2774" s="3">
        <v>0.0</v>
      </c>
      <c r="I2774" s="3">
        <v>0.0</v>
      </c>
      <c r="J2774" s="3">
        <v>0.0</v>
      </c>
      <c r="K2774" s="4">
        <f t="shared" si="1"/>
        <v>4587.1465</v>
      </c>
      <c r="L2774" s="4">
        <f t="shared" si="2"/>
        <v>2.542757246</v>
      </c>
    </row>
    <row r="2775">
      <c r="A2775" s="3" t="s">
        <v>163</v>
      </c>
      <c r="B2775" s="3">
        <v>18.0</v>
      </c>
      <c r="C2775" s="3">
        <v>16.61</v>
      </c>
      <c r="D2775" s="3">
        <v>108.0</v>
      </c>
      <c r="E2775" s="3">
        <v>7.4</v>
      </c>
      <c r="F2775" s="3">
        <v>39.98</v>
      </c>
      <c r="G2775" s="3">
        <v>51.7</v>
      </c>
      <c r="H2775" s="3">
        <v>0.0</v>
      </c>
      <c r="I2775" s="3">
        <v>0.0</v>
      </c>
      <c r="J2775" s="3">
        <v>0.0</v>
      </c>
      <c r="K2775" s="4">
        <f t="shared" si="1"/>
        <v>4271.2904</v>
      </c>
      <c r="L2775" s="4">
        <f t="shared" si="2"/>
        <v>2.730790676</v>
      </c>
    </row>
    <row r="2776">
      <c r="A2776" s="3" t="s">
        <v>164</v>
      </c>
      <c r="B2776" s="3">
        <v>18.0</v>
      </c>
      <c r="C2776" s="3">
        <v>1.74</v>
      </c>
      <c r="D2776" s="3">
        <v>170.0</v>
      </c>
      <c r="E2776" s="3">
        <v>4.7</v>
      </c>
      <c r="F2776" s="3">
        <v>2.96</v>
      </c>
      <c r="G2776" s="3">
        <v>330.95</v>
      </c>
      <c r="H2776" s="3">
        <v>134.59</v>
      </c>
      <c r="I2776" s="3">
        <v>2252.19</v>
      </c>
      <c r="J2776" s="3">
        <v>0.01</v>
      </c>
      <c r="K2776" s="4">
        <f t="shared" si="1"/>
        <v>109536.6641</v>
      </c>
      <c r="L2776" s="4">
        <f t="shared" si="2"/>
        <v>0.263838599</v>
      </c>
    </row>
    <row r="2777">
      <c r="A2777" s="3" t="s">
        <v>164</v>
      </c>
      <c r="B2777" s="3">
        <v>18.0</v>
      </c>
      <c r="C2777" s="3">
        <v>2.61</v>
      </c>
      <c r="D2777" s="3">
        <v>174.0</v>
      </c>
      <c r="E2777" s="3">
        <v>4.2</v>
      </c>
      <c r="F2777" s="3">
        <v>15.3</v>
      </c>
      <c r="G2777" s="3">
        <v>283.41</v>
      </c>
      <c r="H2777" s="3">
        <v>109.85</v>
      </c>
      <c r="I2777" s="3">
        <v>361.45</v>
      </c>
      <c r="J2777" s="3">
        <v>0.0</v>
      </c>
      <c r="K2777" s="4">
        <f t="shared" si="1"/>
        <v>80555.3181</v>
      </c>
      <c r="L2777" s="4">
        <f t="shared" si="2"/>
        <v>0.3758411079</v>
      </c>
    </row>
    <row r="2778">
      <c r="A2778" s="3" t="s">
        <v>164</v>
      </c>
      <c r="B2778" s="3">
        <v>18.0</v>
      </c>
      <c r="C2778" s="3">
        <v>3.5</v>
      </c>
      <c r="D2778" s="3">
        <v>170.0</v>
      </c>
      <c r="E2778" s="3">
        <v>4.2</v>
      </c>
      <c r="F2778" s="3">
        <v>20.26</v>
      </c>
      <c r="G2778" s="3">
        <v>251.38</v>
      </c>
      <c r="H2778" s="3">
        <v>94.86</v>
      </c>
      <c r="I2778" s="3">
        <v>101.13</v>
      </c>
      <c r="J2778" s="3">
        <v>0.0</v>
      </c>
      <c r="K2778" s="4">
        <f t="shared" si="1"/>
        <v>63602.372</v>
      </c>
      <c r="L2778" s="4">
        <f t="shared" si="2"/>
        <v>0.4543855691</v>
      </c>
    </row>
    <row r="2779">
      <c r="A2779" s="3" t="s">
        <v>164</v>
      </c>
      <c r="B2779" s="3">
        <v>18.0</v>
      </c>
      <c r="C2779" s="3">
        <v>4.37</v>
      </c>
      <c r="D2779" s="3">
        <v>170.0</v>
      </c>
      <c r="E2779" s="3">
        <v>4.3</v>
      </c>
      <c r="F2779" s="3">
        <v>23.49</v>
      </c>
      <c r="G2779" s="3">
        <v>223.34</v>
      </c>
      <c r="H2779" s="3">
        <v>84.89</v>
      </c>
      <c r="I2779" s="3">
        <v>48.49</v>
      </c>
      <c r="J2779" s="3">
        <v>0.0</v>
      </c>
      <c r="K2779" s="4">
        <f t="shared" si="1"/>
        <v>50432.5357</v>
      </c>
      <c r="L2779" s="4">
        <f t="shared" si="2"/>
        <v>0.5730427709</v>
      </c>
    </row>
    <row r="2780">
      <c r="A2780" s="3" t="s">
        <v>164</v>
      </c>
      <c r="B2780" s="3">
        <v>18.0</v>
      </c>
      <c r="C2780" s="3">
        <v>5.32</v>
      </c>
      <c r="D2780" s="3">
        <v>171.0</v>
      </c>
      <c r="E2780" s="3">
        <v>4.8</v>
      </c>
      <c r="F2780" s="3">
        <v>28.67</v>
      </c>
      <c r="G2780" s="3">
        <v>203.29</v>
      </c>
      <c r="H2780" s="3">
        <v>76.94</v>
      </c>
      <c r="I2780" s="3">
        <v>24.38</v>
      </c>
      <c r="J2780" s="3">
        <v>0.0</v>
      </c>
      <c r="K2780" s="4">
        <f t="shared" si="1"/>
        <v>42148.793</v>
      </c>
      <c r="L2780" s="4">
        <f t="shared" si="2"/>
        <v>0.6937565211</v>
      </c>
    </row>
    <row r="2781">
      <c r="A2781" s="3" t="s">
        <v>164</v>
      </c>
      <c r="B2781" s="3">
        <v>18.0</v>
      </c>
      <c r="C2781" s="3">
        <v>6.28</v>
      </c>
      <c r="D2781" s="3">
        <v>174.0</v>
      </c>
      <c r="E2781" s="3">
        <v>4.9</v>
      </c>
      <c r="F2781" s="3">
        <v>33.19</v>
      </c>
      <c r="G2781" s="3">
        <v>186.33</v>
      </c>
      <c r="H2781" s="3">
        <v>70.82</v>
      </c>
      <c r="I2781" s="3">
        <v>9.11</v>
      </c>
      <c r="J2781" s="3">
        <v>0.0</v>
      </c>
      <c r="K2781" s="4">
        <f t="shared" si="1"/>
        <v>35820.445</v>
      </c>
      <c r="L2781" s="4">
        <f t="shared" si="2"/>
        <v>0.8452156303</v>
      </c>
    </row>
    <row r="2782">
      <c r="A2782" s="3" t="s">
        <v>164</v>
      </c>
      <c r="B2782" s="3">
        <v>18.0</v>
      </c>
      <c r="C2782" s="3">
        <v>6.81</v>
      </c>
      <c r="D2782" s="3">
        <v>177.0</v>
      </c>
      <c r="E2782" s="3">
        <v>10.1</v>
      </c>
      <c r="F2782" s="3">
        <v>32.98</v>
      </c>
      <c r="G2782" s="3">
        <v>178.04</v>
      </c>
      <c r="H2782" s="3">
        <v>68.0</v>
      </c>
      <c r="I2782" s="3">
        <v>5.17</v>
      </c>
      <c r="J2782" s="3">
        <v>0.0</v>
      </c>
      <c r="K2782" s="4">
        <f t="shared" si="1"/>
        <v>32785.922</v>
      </c>
      <c r="L2782" s="4">
        <f t="shared" si="2"/>
        <v>0.9555625735</v>
      </c>
    </row>
    <row r="2783">
      <c r="A2783" s="3" t="s">
        <v>164</v>
      </c>
      <c r="B2783" s="3">
        <v>18.0</v>
      </c>
      <c r="C2783" s="3">
        <v>7.33</v>
      </c>
      <c r="D2783" s="3">
        <v>178.0</v>
      </c>
      <c r="E2783" s="3">
        <v>6.3</v>
      </c>
      <c r="F2783" s="3">
        <v>32.11</v>
      </c>
      <c r="G2783" s="3">
        <v>170.62</v>
      </c>
      <c r="H2783" s="3">
        <v>65.55</v>
      </c>
      <c r="I2783" s="3">
        <v>3.87</v>
      </c>
      <c r="J2783" s="3">
        <v>0.0</v>
      </c>
      <c r="K2783" s="4">
        <f t="shared" si="1"/>
        <v>30142.2365</v>
      </c>
      <c r="L2783" s="4">
        <f t="shared" si="2"/>
        <v>1.051149605</v>
      </c>
    </row>
    <row r="2784">
      <c r="A2784" s="3" t="s">
        <v>164</v>
      </c>
      <c r="B2784" s="3">
        <v>18.0</v>
      </c>
      <c r="C2784" s="3">
        <v>7.85</v>
      </c>
      <c r="D2784" s="3">
        <v>180.0</v>
      </c>
      <c r="E2784" s="3">
        <v>7.7</v>
      </c>
      <c r="F2784" s="3">
        <v>30.71</v>
      </c>
      <c r="G2784" s="3">
        <v>164.4</v>
      </c>
      <c r="H2784" s="3">
        <v>63.34</v>
      </c>
      <c r="I2784" s="3">
        <v>2.91</v>
      </c>
      <c r="J2784" s="3">
        <v>0.0</v>
      </c>
      <c r="K2784" s="4">
        <f t="shared" si="1"/>
        <v>27970.4641</v>
      </c>
      <c r="L2784" s="4">
        <f t="shared" si="2"/>
        <v>1.158364762</v>
      </c>
    </row>
    <row r="2785">
      <c r="A2785" s="3" t="s">
        <v>165</v>
      </c>
      <c r="B2785" s="3">
        <v>18.0</v>
      </c>
      <c r="C2785" s="3">
        <v>1.74</v>
      </c>
      <c r="D2785" s="3">
        <v>56.9</v>
      </c>
      <c r="E2785" s="3">
        <v>6.6</v>
      </c>
      <c r="F2785" s="3">
        <v>0.0</v>
      </c>
      <c r="G2785" s="3">
        <v>57.53</v>
      </c>
      <c r="H2785" s="3">
        <v>0.0</v>
      </c>
      <c r="I2785" s="3">
        <v>98.9</v>
      </c>
      <c r="J2785" s="3">
        <v>0.0</v>
      </c>
      <c r="K2785" s="4">
        <f t="shared" si="1"/>
        <v>3309.7009</v>
      </c>
      <c r="L2785" s="4">
        <f t="shared" si="2"/>
        <v>0.9782183037</v>
      </c>
    </row>
    <row r="2786">
      <c r="A2786" s="3" t="s">
        <v>165</v>
      </c>
      <c r="B2786" s="3">
        <v>18.0</v>
      </c>
      <c r="C2786" s="3">
        <v>2.61</v>
      </c>
      <c r="D2786" s="3">
        <v>87.4</v>
      </c>
      <c r="E2786" s="3">
        <v>4.8</v>
      </c>
      <c r="F2786" s="3">
        <v>0.0</v>
      </c>
      <c r="G2786" s="3">
        <v>63.17</v>
      </c>
      <c r="H2786" s="3">
        <v>0.0</v>
      </c>
      <c r="I2786" s="3">
        <v>46.82</v>
      </c>
      <c r="J2786" s="3">
        <v>0.0</v>
      </c>
      <c r="K2786" s="4">
        <f t="shared" si="1"/>
        <v>3990.4489</v>
      </c>
      <c r="L2786" s="4">
        <f t="shared" si="2"/>
        <v>1.914260824</v>
      </c>
    </row>
    <row r="2787">
      <c r="A2787" s="3" t="s">
        <v>165</v>
      </c>
      <c r="B2787" s="3">
        <v>18.0</v>
      </c>
      <c r="C2787" s="3">
        <v>3.5</v>
      </c>
      <c r="D2787" s="3">
        <v>92.1</v>
      </c>
      <c r="E2787" s="3">
        <v>5.7</v>
      </c>
      <c r="F2787" s="3">
        <v>0.0</v>
      </c>
      <c r="G2787" s="3">
        <v>61.1</v>
      </c>
      <c r="H2787" s="3">
        <v>0.0</v>
      </c>
      <c r="I2787" s="3">
        <v>24.53</v>
      </c>
      <c r="J2787" s="3">
        <v>0.0</v>
      </c>
      <c r="K2787" s="4">
        <f t="shared" si="1"/>
        <v>3733.21</v>
      </c>
      <c r="L2787" s="4">
        <f t="shared" si="2"/>
        <v>2.272149169</v>
      </c>
    </row>
    <row r="2788">
      <c r="A2788" s="3" t="s">
        <v>165</v>
      </c>
      <c r="B2788" s="3">
        <v>18.0</v>
      </c>
      <c r="C2788" s="3">
        <v>4.37</v>
      </c>
      <c r="D2788" s="3">
        <v>93.5</v>
      </c>
      <c r="E2788" s="3">
        <v>5.2</v>
      </c>
      <c r="F2788" s="3">
        <v>8.69</v>
      </c>
      <c r="G2788" s="3">
        <v>59.01</v>
      </c>
      <c r="H2788" s="3">
        <v>0.0</v>
      </c>
      <c r="I2788" s="3">
        <v>17.42</v>
      </c>
      <c r="J2788" s="3">
        <v>0.0</v>
      </c>
      <c r="K2788" s="4">
        <f t="shared" si="1"/>
        <v>3557.6962</v>
      </c>
      <c r="L2788" s="4">
        <f t="shared" si="2"/>
        <v>2.457278393</v>
      </c>
    </row>
    <row r="2789">
      <c r="A2789" s="3" t="s">
        <v>165</v>
      </c>
      <c r="B2789" s="3">
        <v>18.0</v>
      </c>
      <c r="C2789" s="3">
        <v>5.24</v>
      </c>
      <c r="D2789" s="3">
        <v>98.2</v>
      </c>
      <c r="E2789" s="3">
        <v>4.4</v>
      </c>
      <c r="F2789" s="3">
        <v>16.6</v>
      </c>
      <c r="G2789" s="3">
        <v>57.64</v>
      </c>
      <c r="H2789" s="3">
        <v>0.0</v>
      </c>
      <c r="I2789" s="3">
        <v>11.69</v>
      </c>
      <c r="J2789" s="3">
        <v>0.0</v>
      </c>
      <c r="K2789" s="4">
        <f t="shared" si="1"/>
        <v>3597.9296</v>
      </c>
      <c r="L2789" s="4">
        <f t="shared" si="2"/>
        <v>2.680219202</v>
      </c>
    </row>
    <row r="2790">
      <c r="A2790" s="3" t="s">
        <v>165</v>
      </c>
      <c r="B2790" s="3">
        <v>18.0</v>
      </c>
      <c r="C2790" s="3">
        <v>6.11</v>
      </c>
      <c r="D2790" s="3">
        <v>99.7</v>
      </c>
      <c r="E2790" s="3">
        <v>4.4</v>
      </c>
      <c r="F2790" s="3">
        <v>18.86</v>
      </c>
      <c r="G2790" s="3">
        <v>56.44</v>
      </c>
      <c r="H2790" s="3">
        <v>0.0</v>
      </c>
      <c r="I2790" s="3">
        <v>10.25</v>
      </c>
      <c r="J2790" s="3">
        <v>0.0</v>
      </c>
      <c r="K2790" s="4">
        <f t="shared" si="1"/>
        <v>3541.1732</v>
      </c>
      <c r="L2790" s="4">
        <f t="shared" si="2"/>
        <v>2.807004752</v>
      </c>
    </row>
    <row r="2791">
      <c r="A2791" s="3" t="s">
        <v>165</v>
      </c>
      <c r="B2791" s="3">
        <v>18.0</v>
      </c>
      <c r="C2791" s="3">
        <v>6.98</v>
      </c>
      <c r="D2791" s="3">
        <v>102.0</v>
      </c>
      <c r="E2791" s="3">
        <v>3.5</v>
      </c>
      <c r="F2791" s="3">
        <v>23.82</v>
      </c>
      <c r="G2791" s="3">
        <v>56.03</v>
      </c>
      <c r="H2791" s="3">
        <v>0.0</v>
      </c>
      <c r="I2791" s="3">
        <v>7.82</v>
      </c>
      <c r="J2791" s="3">
        <v>0.0</v>
      </c>
      <c r="K2791" s="4">
        <f t="shared" si="1"/>
        <v>3706.7533</v>
      </c>
      <c r="L2791" s="4">
        <f t="shared" si="2"/>
        <v>2.806768932</v>
      </c>
    </row>
    <row r="2792">
      <c r="A2792" s="3" t="s">
        <v>165</v>
      </c>
      <c r="B2792" s="3">
        <v>18.0</v>
      </c>
      <c r="C2792" s="3">
        <v>7.85</v>
      </c>
      <c r="D2792" s="3">
        <v>107.0</v>
      </c>
      <c r="E2792" s="3">
        <v>4.4</v>
      </c>
      <c r="F2792" s="3">
        <v>29.74</v>
      </c>
      <c r="G2792" s="3">
        <v>55.57</v>
      </c>
      <c r="H2792" s="3">
        <v>0.0</v>
      </c>
      <c r="I2792" s="3">
        <v>5.78</v>
      </c>
      <c r="J2792" s="3">
        <v>0.0</v>
      </c>
      <c r="K2792" s="4">
        <f t="shared" si="1"/>
        <v>3972.4925</v>
      </c>
      <c r="L2792" s="4">
        <f t="shared" si="2"/>
        <v>2.882069633</v>
      </c>
    </row>
    <row r="2793">
      <c r="A2793" s="3" t="s">
        <v>165</v>
      </c>
      <c r="B2793" s="3">
        <v>18.0</v>
      </c>
      <c r="C2793" s="3">
        <v>8.72</v>
      </c>
      <c r="D2793" s="3">
        <v>108.0</v>
      </c>
      <c r="E2793" s="3">
        <v>4.4</v>
      </c>
      <c r="F2793" s="3">
        <v>30.17</v>
      </c>
      <c r="G2793" s="3">
        <v>54.32</v>
      </c>
      <c r="H2793" s="3">
        <v>0.0</v>
      </c>
      <c r="I2793" s="3">
        <v>3.82</v>
      </c>
      <c r="J2793" s="3">
        <v>0.0</v>
      </c>
      <c r="K2793" s="4">
        <f t="shared" si="1"/>
        <v>3860.8913</v>
      </c>
      <c r="L2793" s="4">
        <f t="shared" si="2"/>
        <v>3.021064074</v>
      </c>
    </row>
    <row r="2794">
      <c r="A2794" s="3" t="s">
        <v>165</v>
      </c>
      <c r="B2794" s="3">
        <v>18.0</v>
      </c>
      <c r="C2794" s="3">
        <v>9.6</v>
      </c>
      <c r="D2794" s="3">
        <v>110.0</v>
      </c>
      <c r="E2794" s="3">
        <v>4.4</v>
      </c>
      <c r="F2794" s="3">
        <v>31.9</v>
      </c>
      <c r="G2794" s="3">
        <v>52.55</v>
      </c>
      <c r="H2794" s="3">
        <v>0.0</v>
      </c>
      <c r="I2794" s="3">
        <v>2.7</v>
      </c>
      <c r="J2794" s="3">
        <v>0.0</v>
      </c>
      <c r="K2794" s="4">
        <f t="shared" si="1"/>
        <v>3779.1125</v>
      </c>
      <c r="L2794" s="4">
        <f t="shared" si="2"/>
        <v>3.201809949</v>
      </c>
    </row>
    <row r="2795">
      <c r="A2795" s="3" t="s">
        <v>165</v>
      </c>
      <c r="B2795" s="3">
        <v>18.0</v>
      </c>
      <c r="C2795" s="3">
        <v>10.47</v>
      </c>
      <c r="D2795" s="3">
        <v>113.0</v>
      </c>
      <c r="E2795" s="3">
        <v>4.4</v>
      </c>
      <c r="F2795" s="3">
        <v>35.89</v>
      </c>
      <c r="G2795" s="3">
        <v>51.23</v>
      </c>
      <c r="H2795" s="3">
        <v>0.0</v>
      </c>
      <c r="I2795" s="3">
        <v>1.88</v>
      </c>
      <c r="J2795" s="3">
        <v>0.0</v>
      </c>
      <c r="K2795" s="4">
        <f t="shared" si="1"/>
        <v>3912.605</v>
      </c>
      <c r="L2795" s="4">
        <f t="shared" si="2"/>
        <v>3.263554588</v>
      </c>
    </row>
    <row r="2796">
      <c r="A2796" s="3" t="s">
        <v>165</v>
      </c>
      <c r="B2796" s="3">
        <v>18.0</v>
      </c>
      <c r="C2796" s="3">
        <v>11.35</v>
      </c>
      <c r="D2796" s="3">
        <v>110.0</v>
      </c>
      <c r="E2796" s="3">
        <v>5.2</v>
      </c>
      <c r="F2796" s="3">
        <v>38.26</v>
      </c>
      <c r="G2796" s="3">
        <v>49.57</v>
      </c>
      <c r="H2796" s="3">
        <v>0.0</v>
      </c>
      <c r="I2796" s="3">
        <v>1.1</v>
      </c>
      <c r="J2796" s="3">
        <v>0.0</v>
      </c>
      <c r="K2796" s="4">
        <f t="shared" si="1"/>
        <v>3921.0125</v>
      </c>
      <c r="L2796" s="4">
        <f t="shared" si="2"/>
        <v>3.085937625</v>
      </c>
    </row>
    <row r="2797">
      <c r="A2797" s="3" t="s">
        <v>165</v>
      </c>
      <c r="B2797" s="3">
        <v>18.0</v>
      </c>
      <c r="C2797" s="3">
        <v>12.19</v>
      </c>
      <c r="D2797" s="3">
        <v>108.0</v>
      </c>
      <c r="E2797" s="3">
        <v>5.7</v>
      </c>
      <c r="F2797" s="3">
        <v>39.33</v>
      </c>
      <c r="G2797" s="3">
        <v>47.76</v>
      </c>
      <c r="H2797" s="3">
        <v>0.0</v>
      </c>
      <c r="I2797" s="3">
        <v>0.58</v>
      </c>
      <c r="J2797" s="3">
        <v>0.0</v>
      </c>
      <c r="K2797" s="4">
        <f t="shared" si="1"/>
        <v>3827.8665</v>
      </c>
      <c r="L2797" s="4">
        <f t="shared" si="2"/>
        <v>3.047128211</v>
      </c>
    </row>
    <row r="2798">
      <c r="A2798" s="3" t="s">
        <v>165</v>
      </c>
      <c r="B2798" s="3">
        <v>18.0</v>
      </c>
      <c r="C2798" s="3">
        <v>13.12</v>
      </c>
      <c r="D2798" s="3">
        <v>109.0</v>
      </c>
      <c r="E2798" s="3">
        <v>8.6</v>
      </c>
      <c r="F2798" s="3">
        <v>40.63</v>
      </c>
      <c r="G2798" s="3">
        <v>45.68</v>
      </c>
      <c r="H2798" s="3">
        <v>0.0</v>
      </c>
      <c r="I2798" s="3">
        <v>0.0</v>
      </c>
      <c r="J2798" s="3">
        <v>0.0</v>
      </c>
      <c r="K2798" s="4">
        <f t="shared" si="1"/>
        <v>3737.4593</v>
      </c>
      <c r="L2798" s="4">
        <f t="shared" si="2"/>
        <v>3.178897493</v>
      </c>
    </row>
    <row r="2799">
      <c r="A2799" s="3" t="s">
        <v>165</v>
      </c>
      <c r="B2799" s="3">
        <v>18.0</v>
      </c>
      <c r="C2799" s="3">
        <v>13.94</v>
      </c>
      <c r="D2799" s="3">
        <v>108.0</v>
      </c>
      <c r="E2799" s="3">
        <v>9.8</v>
      </c>
      <c r="F2799" s="3">
        <v>40.95</v>
      </c>
      <c r="G2799" s="3">
        <v>43.38</v>
      </c>
      <c r="H2799" s="3">
        <v>0.0</v>
      </c>
      <c r="I2799" s="3">
        <v>0.0</v>
      </c>
      <c r="J2799" s="3">
        <v>0.0</v>
      </c>
      <c r="K2799" s="4">
        <f t="shared" si="1"/>
        <v>3558.7269</v>
      </c>
      <c r="L2799" s="4">
        <f t="shared" si="2"/>
        <v>3.277576596</v>
      </c>
    </row>
    <row r="2800">
      <c r="A2800" s="3" t="s">
        <v>165</v>
      </c>
      <c r="B2800" s="3">
        <v>18.0</v>
      </c>
      <c r="C2800" s="3">
        <v>14.86</v>
      </c>
      <c r="D2800" s="3">
        <v>108.0</v>
      </c>
      <c r="E2800" s="3">
        <v>9.8</v>
      </c>
      <c r="F2800" s="3">
        <v>40.63</v>
      </c>
      <c r="G2800" s="3">
        <v>41.42</v>
      </c>
      <c r="H2800" s="3">
        <v>0.0</v>
      </c>
      <c r="I2800" s="3">
        <v>0.0</v>
      </c>
      <c r="J2800" s="3">
        <v>0.0</v>
      </c>
      <c r="K2800" s="4">
        <f t="shared" si="1"/>
        <v>3366.4133</v>
      </c>
      <c r="L2800" s="4">
        <f t="shared" si="2"/>
        <v>3.464815209</v>
      </c>
    </row>
    <row r="2801">
      <c r="A2801" s="3" t="s">
        <v>165</v>
      </c>
      <c r="B2801" s="3">
        <v>18.0</v>
      </c>
      <c r="C2801" s="3">
        <v>15.68</v>
      </c>
      <c r="D2801" s="3">
        <v>109.0</v>
      </c>
      <c r="E2801" s="3">
        <v>12.3</v>
      </c>
      <c r="F2801" s="3">
        <v>40.09</v>
      </c>
      <c r="G2801" s="3">
        <v>39.99</v>
      </c>
      <c r="H2801" s="3">
        <v>0.0</v>
      </c>
      <c r="I2801" s="3">
        <v>0.0</v>
      </c>
      <c r="J2801" s="3">
        <v>0.0</v>
      </c>
      <c r="K2801" s="4">
        <f t="shared" si="1"/>
        <v>3206.4082</v>
      </c>
      <c r="L2801" s="4">
        <f t="shared" si="2"/>
        <v>3.70539222</v>
      </c>
    </row>
    <row r="2802">
      <c r="A2802" s="3" t="s">
        <v>166</v>
      </c>
      <c r="B2802" s="3">
        <v>18.0</v>
      </c>
      <c r="C2802" s="3">
        <v>0.87</v>
      </c>
      <c r="D2802" s="3">
        <v>20.9</v>
      </c>
      <c r="E2802" s="3">
        <v>4.7</v>
      </c>
      <c r="F2802" s="3">
        <v>4.05</v>
      </c>
      <c r="G2802" s="3">
        <v>19.26</v>
      </c>
      <c r="H2802" s="3">
        <v>0.0</v>
      </c>
      <c r="I2802" s="3">
        <v>68.02</v>
      </c>
      <c r="J2802" s="3">
        <v>0.0</v>
      </c>
      <c r="K2802" s="4">
        <f t="shared" si="1"/>
        <v>387.3501</v>
      </c>
      <c r="L2802" s="4">
        <f t="shared" si="2"/>
        <v>1.127687846</v>
      </c>
    </row>
    <row r="2803">
      <c r="A2803" s="3" t="s">
        <v>166</v>
      </c>
      <c r="B2803" s="3">
        <v>18.0</v>
      </c>
      <c r="C2803" s="3">
        <v>1.74</v>
      </c>
      <c r="D2803" s="3">
        <v>36.4</v>
      </c>
      <c r="E2803" s="3">
        <v>3.9</v>
      </c>
      <c r="F2803" s="3">
        <v>8.89</v>
      </c>
      <c r="G2803" s="3">
        <v>32.89</v>
      </c>
      <c r="H2803" s="3">
        <v>0.0</v>
      </c>
      <c r="I2803" s="3">
        <v>56.39</v>
      </c>
      <c r="J2803" s="3">
        <v>0.0</v>
      </c>
      <c r="K2803" s="4">
        <f t="shared" si="1"/>
        <v>1160.7842</v>
      </c>
      <c r="L2803" s="4">
        <f t="shared" si="2"/>
        <v>1.141435247</v>
      </c>
    </row>
    <row r="2804">
      <c r="A2804" s="3" t="s">
        <v>166</v>
      </c>
      <c r="B2804" s="3">
        <v>18.0</v>
      </c>
      <c r="C2804" s="3">
        <v>2.61</v>
      </c>
      <c r="D2804" s="3">
        <v>43.4</v>
      </c>
      <c r="E2804" s="3">
        <v>3.9</v>
      </c>
      <c r="F2804" s="3">
        <v>12.07</v>
      </c>
      <c r="G2804" s="3">
        <v>42.35</v>
      </c>
      <c r="H2804" s="3">
        <v>0.0</v>
      </c>
      <c r="I2804" s="3">
        <v>36.37</v>
      </c>
      <c r="J2804" s="3">
        <v>0.0</v>
      </c>
      <c r="K2804" s="4">
        <f t="shared" si="1"/>
        <v>1939.2074</v>
      </c>
      <c r="L2804" s="4">
        <f t="shared" si="2"/>
        <v>0.9713040493</v>
      </c>
    </row>
    <row r="2805">
      <c r="A2805" s="3" t="s">
        <v>166</v>
      </c>
      <c r="B2805" s="3">
        <v>18.0</v>
      </c>
      <c r="C2805" s="3">
        <v>3.5</v>
      </c>
      <c r="D2805" s="3">
        <v>51.2</v>
      </c>
      <c r="E2805" s="3">
        <v>4.7</v>
      </c>
      <c r="F2805" s="3">
        <v>13.47</v>
      </c>
      <c r="G2805" s="3">
        <v>46.88</v>
      </c>
      <c r="H2805" s="3">
        <v>0.0</v>
      </c>
      <c r="I2805" s="3">
        <v>25.35</v>
      </c>
      <c r="J2805" s="3">
        <v>0.0</v>
      </c>
      <c r="K2805" s="4">
        <f t="shared" si="1"/>
        <v>2379.1753</v>
      </c>
      <c r="L2805" s="4">
        <f t="shared" si="2"/>
        <v>1.101827175</v>
      </c>
    </row>
    <row r="2806">
      <c r="A2806" s="3" t="s">
        <v>166</v>
      </c>
      <c r="B2806" s="3">
        <v>18.0</v>
      </c>
      <c r="C2806" s="3">
        <v>4.37</v>
      </c>
      <c r="D2806" s="3">
        <v>59.7</v>
      </c>
      <c r="E2806" s="3">
        <v>3.9</v>
      </c>
      <c r="F2806" s="3">
        <v>14.33</v>
      </c>
      <c r="G2806" s="3">
        <v>50.13</v>
      </c>
      <c r="H2806" s="3">
        <v>0.0</v>
      </c>
      <c r="I2806" s="3">
        <v>17.79</v>
      </c>
      <c r="J2806" s="3">
        <v>0.0</v>
      </c>
      <c r="K2806" s="4">
        <f t="shared" si="1"/>
        <v>2718.3658</v>
      </c>
      <c r="L2806" s="4">
        <f t="shared" si="2"/>
        <v>1.311114935</v>
      </c>
    </row>
    <row r="2807">
      <c r="A2807" s="3" t="s">
        <v>166</v>
      </c>
      <c r="B2807" s="3">
        <v>18.0</v>
      </c>
      <c r="C2807" s="3">
        <v>5.24</v>
      </c>
      <c r="D2807" s="3">
        <v>64.5</v>
      </c>
      <c r="E2807" s="3">
        <v>4.4</v>
      </c>
      <c r="F2807" s="3">
        <v>18.1</v>
      </c>
      <c r="G2807" s="3">
        <v>50.81</v>
      </c>
      <c r="H2807" s="3">
        <v>0.0</v>
      </c>
      <c r="I2807" s="3">
        <v>11.52</v>
      </c>
      <c r="J2807" s="3">
        <v>0.0</v>
      </c>
      <c r="K2807" s="4">
        <f t="shared" si="1"/>
        <v>2909.2661</v>
      </c>
      <c r="L2807" s="4">
        <f t="shared" si="2"/>
        <v>1.42999982</v>
      </c>
    </row>
    <row r="2808">
      <c r="A2808" s="3" t="s">
        <v>166</v>
      </c>
      <c r="B2808" s="3">
        <v>18.0</v>
      </c>
      <c r="C2808" s="3">
        <v>6.11</v>
      </c>
      <c r="D2808" s="3">
        <v>67.9</v>
      </c>
      <c r="E2808" s="3">
        <v>3.9</v>
      </c>
      <c r="F2808" s="3">
        <v>21.23</v>
      </c>
      <c r="G2808" s="3">
        <v>49.78</v>
      </c>
      <c r="H2808" s="3">
        <v>0.0</v>
      </c>
      <c r="I2808" s="3">
        <v>7.62</v>
      </c>
      <c r="J2808" s="3">
        <v>0.0</v>
      </c>
      <c r="K2808" s="4">
        <f t="shared" si="1"/>
        <v>2928.7613</v>
      </c>
      <c r="L2808" s="4">
        <f t="shared" si="2"/>
        <v>1.574184281</v>
      </c>
    </row>
    <row r="2809">
      <c r="A2809" s="3" t="s">
        <v>166</v>
      </c>
      <c r="B2809" s="3">
        <v>18.0</v>
      </c>
      <c r="C2809" s="3">
        <v>6.55</v>
      </c>
      <c r="D2809" s="3">
        <v>72.8</v>
      </c>
      <c r="E2809" s="3">
        <v>7.3</v>
      </c>
      <c r="F2809" s="3">
        <v>22.41</v>
      </c>
      <c r="G2809" s="3">
        <v>49.26</v>
      </c>
      <c r="H2809" s="3">
        <v>0.0</v>
      </c>
      <c r="I2809" s="3">
        <v>6.38</v>
      </c>
      <c r="J2809" s="3">
        <v>0.0</v>
      </c>
      <c r="K2809" s="4">
        <f t="shared" si="1"/>
        <v>2928.7557</v>
      </c>
      <c r="L2809" s="4">
        <f t="shared" si="2"/>
        <v>1.809587601</v>
      </c>
    </row>
    <row r="2810">
      <c r="A2810" s="3" t="s">
        <v>166</v>
      </c>
      <c r="B2810" s="3">
        <v>18.0</v>
      </c>
      <c r="C2810" s="3">
        <v>6.98</v>
      </c>
      <c r="D2810" s="3">
        <v>70.3</v>
      </c>
      <c r="E2810" s="3">
        <v>6.1</v>
      </c>
      <c r="F2810" s="3">
        <v>23.49</v>
      </c>
      <c r="G2810" s="3">
        <v>48.73</v>
      </c>
      <c r="H2810" s="3">
        <v>0.0</v>
      </c>
      <c r="I2810" s="3">
        <v>5.35</v>
      </c>
      <c r="J2810" s="3">
        <v>0.0</v>
      </c>
      <c r="K2810" s="4">
        <f t="shared" si="1"/>
        <v>2926.393</v>
      </c>
      <c r="L2810" s="4">
        <f t="shared" si="2"/>
        <v>1.688799146</v>
      </c>
    </row>
    <row r="2811">
      <c r="A2811" s="3" t="s">
        <v>166</v>
      </c>
      <c r="B2811" s="3">
        <v>18.0</v>
      </c>
      <c r="C2811" s="3">
        <v>7.85</v>
      </c>
      <c r="D2811" s="3">
        <v>73.7</v>
      </c>
      <c r="E2811" s="3">
        <v>6.1</v>
      </c>
      <c r="F2811" s="3">
        <v>25.32</v>
      </c>
      <c r="G2811" s="3">
        <v>47.5</v>
      </c>
      <c r="H2811" s="3">
        <v>0.0</v>
      </c>
      <c r="I2811" s="3">
        <v>3.71</v>
      </c>
      <c r="J2811" s="3">
        <v>0.0</v>
      </c>
      <c r="K2811" s="4">
        <f t="shared" si="1"/>
        <v>2897.3524</v>
      </c>
      <c r="L2811" s="4">
        <f t="shared" si="2"/>
        <v>1.874708096</v>
      </c>
    </row>
    <row r="2812">
      <c r="A2812" s="3" t="s">
        <v>166</v>
      </c>
      <c r="B2812" s="3">
        <v>18.0</v>
      </c>
      <c r="C2812" s="3">
        <v>8.72</v>
      </c>
      <c r="D2812" s="3">
        <v>77.6</v>
      </c>
      <c r="E2812" s="3">
        <v>6.1</v>
      </c>
      <c r="F2812" s="3">
        <v>26.4</v>
      </c>
      <c r="G2812" s="3">
        <v>46.22</v>
      </c>
      <c r="H2812" s="3">
        <v>0.0</v>
      </c>
      <c r="I2812" s="3">
        <v>2.54</v>
      </c>
      <c r="J2812" s="3">
        <v>0.0</v>
      </c>
      <c r="K2812" s="4">
        <f t="shared" si="1"/>
        <v>2833.2484</v>
      </c>
      <c r="L2812" s="4">
        <f t="shared" si="2"/>
        <v>2.125390771</v>
      </c>
    </row>
    <row r="2813">
      <c r="A2813" s="3" t="s">
        <v>166</v>
      </c>
      <c r="B2813" s="3">
        <v>18.0</v>
      </c>
      <c r="C2813" s="3">
        <v>9.16</v>
      </c>
      <c r="D2813" s="3">
        <v>79.1</v>
      </c>
      <c r="E2813" s="3">
        <v>7.3</v>
      </c>
      <c r="F2813" s="3">
        <v>26.4</v>
      </c>
      <c r="G2813" s="3">
        <v>45.5</v>
      </c>
      <c r="H2813" s="3">
        <v>0.0</v>
      </c>
      <c r="I2813" s="3">
        <v>2.07</v>
      </c>
      <c r="J2813" s="3">
        <v>0.0</v>
      </c>
      <c r="K2813" s="4">
        <f t="shared" si="1"/>
        <v>2767.21</v>
      </c>
      <c r="L2813" s="4">
        <f t="shared" si="2"/>
        <v>2.261053552</v>
      </c>
    </row>
    <row r="2814">
      <c r="A2814" s="3" t="s">
        <v>167</v>
      </c>
      <c r="B2814" s="3">
        <v>19.8</v>
      </c>
      <c r="C2814" s="3">
        <v>1.44</v>
      </c>
      <c r="D2814" s="3">
        <v>26.1</v>
      </c>
      <c r="E2814" s="3">
        <v>3.3</v>
      </c>
      <c r="F2814" s="3">
        <v>9.09</v>
      </c>
      <c r="G2814" s="3">
        <v>27.58</v>
      </c>
      <c r="H2814" s="3">
        <v>0.0</v>
      </c>
      <c r="I2814" s="3">
        <v>52.23</v>
      </c>
      <c r="J2814" s="3">
        <v>0.0</v>
      </c>
      <c r="K2814" s="4">
        <f t="shared" si="1"/>
        <v>843.2845</v>
      </c>
      <c r="L2814" s="4">
        <f t="shared" si="2"/>
        <v>0.8078056694</v>
      </c>
    </row>
    <row r="2815">
      <c r="A2815" s="3" t="s">
        <v>167</v>
      </c>
      <c r="B2815" s="3">
        <v>19.8</v>
      </c>
      <c r="C2815" s="3">
        <v>2.88</v>
      </c>
      <c r="D2815" s="3">
        <v>43.0</v>
      </c>
      <c r="E2815" s="3">
        <v>3.47</v>
      </c>
      <c r="F2815" s="3">
        <v>16.12</v>
      </c>
      <c r="G2815" s="3">
        <v>37.24</v>
      </c>
      <c r="H2815" s="3">
        <v>0.0</v>
      </c>
      <c r="I2815" s="3">
        <v>20.28</v>
      </c>
      <c r="J2815" s="3">
        <v>0.0</v>
      </c>
      <c r="K2815" s="4">
        <f t="shared" si="1"/>
        <v>1646.672</v>
      </c>
      <c r="L2815" s="4">
        <f t="shared" si="2"/>
        <v>1.122870857</v>
      </c>
    </row>
    <row r="2816">
      <c r="A2816" s="3" t="s">
        <v>167</v>
      </c>
      <c r="B2816" s="3">
        <v>19.8</v>
      </c>
      <c r="C2816" s="3">
        <v>4.33</v>
      </c>
      <c r="D2816" s="3">
        <v>48.5</v>
      </c>
      <c r="E2816" s="3">
        <v>2.35</v>
      </c>
      <c r="F2816" s="3">
        <v>15.32</v>
      </c>
      <c r="G2816" s="3">
        <v>39.71</v>
      </c>
      <c r="H2816" s="3">
        <v>0.0</v>
      </c>
      <c r="I2816" s="3">
        <v>10.63</v>
      </c>
      <c r="J2816" s="3">
        <v>0.0</v>
      </c>
      <c r="K2816" s="4">
        <f t="shared" si="1"/>
        <v>1811.5865</v>
      </c>
      <c r="L2816" s="4">
        <f t="shared" si="2"/>
        <v>1.298447521</v>
      </c>
    </row>
    <row r="2817">
      <c r="A2817" s="3" t="s">
        <v>167</v>
      </c>
      <c r="B2817" s="3">
        <v>19.8</v>
      </c>
      <c r="C2817" s="3">
        <v>5.76</v>
      </c>
      <c r="D2817" s="3">
        <v>52.5</v>
      </c>
      <c r="E2817" s="3">
        <v>2.0</v>
      </c>
      <c r="F2817" s="3">
        <v>18.34</v>
      </c>
      <c r="G2817" s="3">
        <v>39.12</v>
      </c>
      <c r="H2817" s="3">
        <v>0.0</v>
      </c>
      <c r="I2817" s="3">
        <v>5.58</v>
      </c>
      <c r="J2817" s="3">
        <v>0.0</v>
      </c>
      <c r="K2817" s="4">
        <f t="shared" si="1"/>
        <v>1866.73</v>
      </c>
      <c r="L2817" s="4">
        <f t="shared" si="2"/>
        <v>1.476512404</v>
      </c>
    </row>
    <row r="2818">
      <c r="A2818" s="3" t="s">
        <v>167</v>
      </c>
      <c r="B2818" s="3">
        <v>19.8</v>
      </c>
      <c r="C2818" s="3">
        <v>7.2</v>
      </c>
      <c r="D2818" s="3">
        <v>56.4</v>
      </c>
      <c r="E2818" s="3">
        <v>2.05</v>
      </c>
      <c r="F2818" s="3">
        <v>17.63</v>
      </c>
      <c r="G2818" s="3">
        <v>37.66</v>
      </c>
      <c r="H2818" s="3">
        <v>0.0</v>
      </c>
      <c r="I2818" s="3">
        <v>3.45</v>
      </c>
      <c r="J2818" s="3">
        <v>0.0</v>
      </c>
      <c r="K2818" s="4">
        <f t="shared" si="1"/>
        <v>1729.0925</v>
      </c>
      <c r="L2818" s="4">
        <f t="shared" si="2"/>
        <v>1.839670232</v>
      </c>
    </row>
    <row r="2819">
      <c r="A2819" s="3" t="s">
        <v>167</v>
      </c>
      <c r="B2819" s="3">
        <v>19.8</v>
      </c>
      <c r="C2819" s="3">
        <v>8.64</v>
      </c>
      <c r="D2819" s="3">
        <v>58.5</v>
      </c>
      <c r="E2819" s="3">
        <v>2.21</v>
      </c>
      <c r="F2819" s="3">
        <v>22.27</v>
      </c>
      <c r="G2819" s="3">
        <v>36.69</v>
      </c>
      <c r="H2819" s="3">
        <v>0.0</v>
      </c>
      <c r="I2819" s="3">
        <v>2.77</v>
      </c>
      <c r="J2819" s="3">
        <v>0.0</v>
      </c>
      <c r="K2819" s="4">
        <f t="shared" si="1"/>
        <v>1842.109</v>
      </c>
      <c r="L2819" s="4">
        <f t="shared" si="2"/>
        <v>1.857789088</v>
      </c>
    </row>
    <row r="2820">
      <c r="A2820" s="3" t="s">
        <v>167</v>
      </c>
      <c r="B2820" s="3">
        <v>19.8</v>
      </c>
      <c r="C2820" s="3">
        <v>10.08</v>
      </c>
      <c r="D2820" s="3">
        <v>61.5</v>
      </c>
      <c r="E2820" s="3">
        <v>2.1</v>
      </c>
      <c r="F2820" s="3">
        <v>25.8</v>
      </c>
      <c r="G2820" s="3">
        <v>36.12</v>
      </c>
      <c r="H2820" s="3">
        <v>0.0</v>
      </c>
      <c r="I2820" s="3">
        <v>1.68</v>
      </c>
      <c r="J2820" s="3">
        <v>0.0</v>
      </c>
      <c r="K2820" s="4">
        <f t="shared" si="1"/>
        <v>1970.2944</v>
      </c>
      <c r="L2820" s="4">
        <f t="shared" si="2"/>
        <v>1.919636984</v>
      </c>
    </row>
    <row r="2821">
      <c r="A2821" s="3" t="s">
        <v>167</v>
      </c>
      <c r="B2821" s="3">
        <v>19.8</v>
      </c>
      <c r="C2821" s="3">
        <v>11.47</v>
      </c>
      <c r="D2821" s="3">
        <v>64.6</v>
      </c>
      <c r="E2821" s="3">
        <v>2.01</v>
      </c>
      <c r="F2821" s="3">
        <v>29.52</v>
      </c>
      <c r="G2821" s="3">
        <v>34.86</v>
      </c>
      <c r="H2821" s="3">
        <v>0.0</v>
      </c>
      <c r="I2821" s="3">
        <v>1.05</v>
      </c>
      <c r="J2821" s="3">
        <v>0.0</v>
      </c>
      <c r="K2821" s="4">
        <f t="shared" si="1"/>
        <v>2086.65</v>
      </c>
      <c r="L2821" s="4">
        <f t="shared" si="2"/>
        <v>1.999932907</v>
      </c>
    </row>
    <row r="2822">
      <c r="A2822" s="3" t="s">
        <v>167</v>
      </c>
      <c r="B2822" s="3">
        <v>19.8</v>
      </c>
      <c r="C2822" s="3">
        <v>13.0</v>
      </c>
      <c r="D2822" s="3">
        <v>65.6</v>
      </c>
      <c r="E2822" s="3">
        <v>2.12</v>
      </c>
      <c r="F2822" s="3">
        <v>36.98</v>
      </c>
      <c r="G2822" s="3">
        <v>33.7</v>
      </c>
      <c r="H2822" s="3">
        <v>0.0</v>
      </c>
      <c r="I2822" s="3">
        <v>0.49</v>
      </c>
      <c r="J2822" s="3">
        <v>0.0</v>
      </c>
      <c r="K2822" s="4">
        <f t="shared" si="1"/>
        <v>2503.2104</v>
      </c>
      <c r="L2822" s="4">
        <f t="shared" si="2"/>
        <v>1.719136354</v>
      </c>
    </row>
    <row r="2823">
      <c r="A2823" s="3" t="s">
        <v>167</v>
      </c>
      <c r="B2823" s="3">
        <v>19.8</v>
      </c>
      <c r="C2823" s="3">
        <v>14.42</v>
      </c>
      <c r="D2823" s="3">
        <v>65.4</v>
      </c>
      <c r="E2823" s="3">
        <v>2.65</v>
      </c>
      <c r="F2823" s="3">
        <v>38.39</v>
      </c>
      <c r="G2823" s="3">
        <v>31.99</v>
      </c>
      <c r="H2823" s="3">
        <v>0.0</v>
      </c>
      <c r="I2823" s="3">
        <v>0.0</v>
      </c>
      <c r="J2823" s="3">
        <v>0.0</v>
      </c>
      <c r="K2823" s="4">
        <f t="shared" si="1"/>
        <v>2497.1522</v>
      </c>
      <c r="L2823" s="4">
        <f t="shared" si="2"/>
        <v>1.712815102</v>
      </c>
    </row>
    <row r="2824">
      <c r="A2824" s="3" t="s">
        <v>167</v>
      </c>
      <c r="B2824" s="3">
        <v>19.8</v>
      </c>
      <c r="C2824" s="3">
        <v>15.84</v>
      </c>
      <c r="D2824" s="3">
        <v>65.5</v>
      </c>
      <c r="E2824" s="3">
        <v>3.05</v>
      </c>
      <c r="F2824" s="3">
        <v>37.89</v>
      </c>
      <c r="G2824" s="3">
        <v>29.33</v>
      </c>
      <c r="H2824" s="3">
        <v>0.0</v>
      </c>
      <c r="I2824" s="3">
        <v>0.0</v>
      </c>
      <c r="J2824" s="3">
        <v>0.0</v>
      </c>
      <c r="K2824" s="4">
        <f t="shared" si="1"/>
        <v>2295.901</v>
      </c>
      <c r="L2824" s="4">
        <f t="shared" si="2"/>
        <v>1.868656358</v>
      </c>
    </row>
    <row r="2825">
      <c r="A2825" s="3" t="s">
        <v>167</v>
      </c>
      <c r="B2825" s="3">
        <v>19.8</v>
      </c>
      <c r="C2825" s="3">
        <v>17.26</v>
      </c>
      <c r="D2825" s="3">
        <v>65.1</v>
      </c>
      <c r="E2825" s="3">
        <v>3.22</v>
      </c>
      <c r="F2825" s="3">
        <v>39.0</v>
      </c>
      <c r="G2825" s="3">
        <v>27.53</v>
      </c>
      <c r="H2825" s="3">
        <v>0.0</v>
      </c>
      <c r="I2825" s="3">
        <v>0.0</v>
      </c>
      <c r="J2825" s="3">
        <v>0.0</v>
      </c>
      <c r="K2825" s="4">
        <f t="shared" si="1"/>
        <v>2278.9009</v>
      </c>
      <c r="L2825" s="4">
        <f t="shared" si="2"/>
        <v>1.859672792</v>
      </c>
    </row>
    <row r="2826">
      <c r="A2826" s="3" t="s">
        <v>167</v>
      </c>
      <c r="B2826" s="3">
        <v>19.8</v>
      </c>
      <c r="C2826" s="3">
        <v>18.68</v>
      </c>
      <c r="D2826" s="3">
        <v>64.9</v>
      </c>
      <c r="E2826" s="3">
        <v>3.48</v>
      </c>
      <c r="F2826" s="3">
        <v>34.46</v>
      </c>
      <c r="G2826" s="3">
        <v>26.15</v>
      </c>
      <c r="H2826" s="3">
        <v>0.0</v>
      </c>
      <c r="I2826" s="3">
        <v>0.0</v>
      </c>
      <c r="J2826" s="3">
        <v>0.0</v>
      </c>
      <c r="K2826" s="4">
        <f t="shared" si="1"/>
        <v>1871.3141</v>
      </c>
      <c r="L2826" s="4">
        <f t="shared" si="2"/>
        <v>2.250830045</v>
      </c>
    </row>
    <row r="2827">
      <c r="A2827" s="3" t="s">
        <v>168</v>
      </c>
      <c r="B2827" s="3">
        <v>6.87</v>
      </c>
      <c r="C2827" s="3">
        <v>0.5</v>
      </c>
      <c r="D2827" s="3">
        <v>24.2</v>
      </c>
      <c r="E2827" s="3">
        <v>2.18</v>
      </c>
      <c r="F2827" s="3">
        <v>-0.51</v>
      </c>
      <c r="G2827" s="3">
        <v>24.79</v>
      </c>
      <c r="H2827" s="3">
        <v>0.0</v>
      </c>
      <c r="I2827" s="3">
        <v>167.58</v>
      </c>
      <c r="J2827" s="3">
        <v>0.0</v>
      </c>
      <c r="K2827" s="4">
        <f t="shared" si="1"/>
        <v>614.8042</v>
      </c>
      <c r="L2827" s="4">
        <f t="shared" si="2"/>
        <v>0.952563434</v>
      </c>
    </row>
    <row r="2828">
      <c r="A2828" s="3" t="s">
        <v>168</v>
      </c>
      <c r="B2828" s="3">
        <v>6.87</v>
      </c>
      <c r="C2828" s="3">
        <v>1.0</v>
      </c>
      <c r="D2828" s="3">
        <v>42.0</v>
      </c>
      <c r="E2828" s="3">
        <v>2.91</v>
      </c>
      <c r="F2828" s="3">
        <v>-5.39</v>
      </c>
      <c r="G2828" s="3">
        <v>39.13</v>
      </c>
      <c r="H2828" s="3">
        <v>0.0</v>
      </c>
      <c r="I2828" s="3">
        <v>101.17</v>
      </c>
      <c r="J2828" s="3">
        <v>0.0</v>
      </c>
      <c r="K2828" s="4">
        <f t="shared" si="1"/>
        <v>1560.209</v>
      </c>
      <c r="L2828" s="4">
        <f t="shared" si="2"/>
        <v>1.130617757</v>
      </c>
    </row>
    <row r="2829">
      <c r="A2829" s="3" t="s">
        <v>168</v>
      </c>
      <c r="B2829" s="3">
        <v>6.87</v>
      </c>
      <c r="C2829" s="3">
        <v>1.5</v>
      </c>
      <c r="D2829" s="3">
        <v>59.4</v>
      </c>
      <c r="E2829" s="3">
        <v>2.4</v>
      </c>
      <c r="F2829" s="3">
        <v>-5.79</v>
      </c>
      <c r="G2829" s="3">
        <v>45.87</v>
      </c>
      <c r="H2829" s="3">
        <v>0.0</v>
      </c>
      <c r="I2829" s="3">
        <v>67.11</v>
      </c>
      <c r="J2829" s="3">
        <v>0.0</v>
      </c>
      <c r="K2829" s="4">
        <f t="shared" si="1"/>
        <v>2137.581</v>
      </c>
      <c r="L2829" s="4">
        <f t="shared" si="2"/>
        <v>1.650632187</v>
      </c>
    </row>
    <row r="2830">
      <c r="A2830" s="3" t="s">
        <v>168</v>
      </c>
      <c r="B2830" s="3">
        <v>6.87</v>
      </c>
      <c r="C2830" s="3">
        <v>2.0</v>
      </c>
      <c r="D2830" s="3">
        <v>63.9</v>
      </c>
      <c r="E2830" s="3">
        <v>2.01</v>
      </c>
      <c r="F2830" s="3">
        <v>7.68</v>
      </c>
      <c r="G2830" s="3">
        <v>49.56</v>
      </c>
      <c r="H2830" s="3">
        <v>0.0</v>
      </c>
      <c r="I2830" s="3">
        <v>35.27</v>
      </c>
      <c r="J2830" s="3">
        <v>0.0</v>
      </c>
      <c r="K2830" s="4">
        <f t="shared" si="1"/>
        <v>2515.176</v>
      </c>
      <c r="L2830" s="4">
        <f t="shared" si="2"/>
        <v>1.623429136</v>
      </c>
    </row>
    <row r="2831">
      <c r="A2831" s="3" t="s">
        <v>168</v>
      </c>
      <c r="B2831" s="3">
        <v>6.87</v>
      </c>
      <c r="C2831" s="3">
        <v>2.49</v>
      </c>
      <c r="D2831" s="3">
        <v>66.0</v>
      </c>
      <c r="E2831" s="3">
        <v>2.0</v>
      </c>
      <c r="F2831" s="3">
        <v>15.55</v>
      </c>
      <c r="G2831" s="3">
        <v>48.96</v>
      </c>
      <c r="H2831" s="3">
        <v>0.0</v>
      </c>
      <c r="I2831" s="3">
        <v>24.9</v>
      </c>
      <c r="J2831" s="3">
        <v>0.0</v>
      </c>
      <c r="K2831" s="4">
        <f t="shared" si="1"/>
        <v>2638.8841</v>
      </c>
      <c r="L2831" s="4">
        <f t="shared" si="2"/>
        <v>1.650697732</v>
      </c>
    </row>
    <row r="2832">
      <c r="A2832" s="3" t="s">
        <v>168</v>
      </c>
      <c r="B2832" s="3">
        <v>6.87</v>
      </c>
      <c r="C2832" s="3">
        <v>3.0</v>
      </c>
      <c r="D2832" s="3">
        <v>67.2</v>
      </c>
      <c r="E2832" s="3">
        <v>2.07</v>
      </c>
      <c r="F2832" s="3">
        <v>19.33</v>
      </c>
      <c r="G2832" s="3">
        <v>48.14</v>
      </c>
      <c r="H2832" s="3">
        <v>0.0</v>
      </c>
      <c r="I2832" s="3">
        <v>18.24</v>
      </c>
      <c r="J2832" s="3">
        <v>0.0</v>
      </c>
      <c r="K2832" s="4">
        <f t="shared" si="1"/>
        <v>2691.1085</v>
      </c>
      <c r="L2832" s="4">
        <f t="shared" si="2"/>
        <v>1.678059432</v>
      </c>
    </row>
    <row r="2833">
      <c r="A2833" s="3" t="s">
        <v>168</v>
      </c>
      <c r="B2833" s="3">
        <v>6.87</v>
      </c>
      <c r="C2833" s="3">
        <v>3.49</v>
      </c>
      <c r="D2833" s="3">
        <v>68.7</v>
      </c>
      <c r="E2833" s="3">
        <v>2.38</v>
      </c>
      <c r="F2833" s="3">
        <v>19.89</v>
      </c>
      <c r="G2833" s="3">
        <v>46.88</v>
      </c>
      <c r="H2833" s="3">
        <v>0.0</v>
      </c>
      <c r="I2833" s="3">
        <v>13.06</v>
      </c>
      <c r="J2833" s="3">
        <v>0.0</v>
      </c>
      <c r="K2833" s="4">
        <f t="shared" si="1"/>
        <v>2593.3465</v>
      </c>
      <c r="L2833" s="4">
        <f t="shared" si="2"/>
        <v>1.819922637</v>
      </c>
    </row>
    <row r="2834">
      <c r="A2834" s="3" t="s">
        <v>168</v>
      </c>
      <c r="B2834" s="3">
        <v>6.87</v>
      </c>
      <c r="C2834" s="3">
        <v>4.0</v>
      </c>
      <c r="D2834" s="3">
        <v>71.3</v>
      </c>
      <c r="E2834" s="3">
        <v>2.91</v>
      </c>
      <c r="F2834" s="3">
        <v>25.08</v>
      </c>
      <c r="G2834" s="3">
        <v>45.84</v>
      </c>
      <c r="H2834" s="3">
        <v>0.0</v>
      </c>
      <c r="I2834" s="3">
        <v>12.13</v>
      </c>
      <c r="J2834" s="3">
        <v>0.0</v>
      </c>
      <c r="K2834" s="4">
        <f t="shared" si="1"/>
        <v>2730.312</v>
      </c>
      <c r="L2834" s="4">
        <f t="shared" si="2"/>
        <v>1.861944715</v>
      </c>
    </row>
    <row r="2835">
      <c r="A2835" s="3" t="s">
        <v>168</v>
      </c>
      <c r="B2835" s="3">
        <v>6.87</v>
      </c>
      <c r="C2835" s="3">
        <v>4.49</v>
      </c>
      <c r="D2835" s="3">
        <v>72.5</v>
      </c>
      <c r="E2835" s="3">
        <v>3.21</v>
      </c>
      <c r="F2835" s="3">
        <v>25.36</v>
      </c>
      <c r="G2835" s="3">
        <v>46.88</v>
      </c>
      <c r="H2835" s="3">
        <v>0.0</v>
      </c>
      <c r="I2835" s="3">
        <v>11.01</v>
      </c>
      <c r="J2835" s="3">
        <v>0.0</v>
      </c>
      <c r="K2835" s="4">
        <f t="shared" si="1"/>
        <v>2840.864</v>
      </c>
      <c r="L2835" s="4">
        <f t="shared" si="2"/>
        <v>1.850229367</v>
      </c>
    </row>
    <row r="2836">
      <c r="A2836" s="3" t="s">
        <v>168</v>
      </c>
      <c r="B2836" s="3">
        <v>6.87</v>
      </c>
      <c r="C2836" s="3">
        <v>5.01</v>
      </c>
      <c r="D2836" s="3">
        <v>74.0</v>
      </c>
      <c r="E2836" s="3">
        <v>3.41</v>
      </c>
      <c r="F2836" s="3">
        <v>26.06</v>
      </c>
      <c r="G2836" s="3">
        <v>48.01</v>
      </c>
      <c r="H2836" s="3">
        <v>0.0</v>
      </c>
      <c r="I2836" s="3">
        <v>7.73</v>
      </c>
      <c r="J2836" s="3">
        <v>0.0</v>
      </c>
      <c r="K2836" s="4">
        <f t="shared" si="1"/>
        <v>2984.0837</v>
      </c>
      <c r="L2836" s="4">
        <f t="shared" si="2"/>
        <v>1.83506917</v>
      </c>
    </row>
    <row r="2837">
      <c r="A2837" s="3" t="s">
        <v>168</v>
      </c>
      <c r="B2837" s="3">
        <v>6.87</v>
      </c>
      <c r="C2837" s="3">
        <v>5.5</v>
      </c>
      <c r="D2837" s="3">
        <v>76.2</v>
      </c>
      <c r="E2837" s="3">
        <v>3.17</v>
      </c>
      <c r="F2837" s="3">
        <v>28.3</v>
      </c>
      <c r="G2837" s="3">
        <v>47.84</v>
      </c>
      <c r="H2837" s="3">
        <v>0.0</v>
      </c>
      <c r="I2837" s="3">
        <v>5.0</v>
      </c>
      <c r="J2837" s="3">
        <v>0.0</v>
      </c>
      <c r="K2837" s="4">
        <f t="shared" si="1"/>
        <v>3089.5556</v>
      </c>
      <c r="L2837" s="4">
        <f t="shared" si="2"/>
        <v>1.879377086</v>
      </c>
    </row>
    <row r="2838">
      <c r="A2838" s="3" t="s">
        <v>33</v>
      </c>
      <c r="B2838" s="3">
        <v>2.83</v>
      </c>
      <c r="C2838" s="3">
        <v>0.21</v>
      </c>
      <c r="D2838" s="3">
        <v>16.4</v>
      </c>
      <c r="E2838" s="3">
        <v>3.3</v>
      </c>
      <c r="F2838" s="3">
        <v>3.43</v>
      </c>
      <c r="G2838" s="3">
        <v>15.55</v>
      </c>
      <c r="H2838" s="3">
        <v>0.0</v>
      </c>
      <c r="I2838" s="3">
        <v>132.25</v>
      </c>
      <c r="J2838" s="3">
        <v>0.0</v>
      </c>
      <c r="K2838" s="4">
        <f t="shared" si="1"/>
        <v>253.5674</v>
      </c>
      <c r="L2838" s="4">
        <f t="shared" si="2"/>
        <v>1.060704176</v>
      </c>
    </row>
    <row r="2839">
      <c r="A2839" s="3" t="s">
        <v>33</v>
      </c>
      <c r="B2839" s="3">
        <v>2.83</v>
      </c>
      <c r="C2839" s="3">
        <v>0.41</v>
      </c>
      <c r="D2839" s="3">
        <v>26.2</v>
      </c>
      <c r="E2839" s="3">
        <v>3.3</v>
      </c>
      <c r="F2839" s="3">
        <v>6.87</v>
      </c>
      <c r="G2839" s="3">
        <v>25.1</v>
      </c>
      <c r="H2839" s="3">
        <v>0.0</v>
      </c>
      <c r="I2839" s="3">
        <v>74.94</v>
      </c>
      <c r="J2839" s="3">
        <v>0.0</v>
      </c>
      <c r="K2839" s="4">
        <f t="shared" si="1"/>
        <v>677.2069</v>
      </c>
      <c r="L2839" s="4">
        <f t="shared" si="2"/>
        <v>1.01363409</v>
      </c>
    </row>
    <row r="2840">
      <c r="A2840" s="3" t="s">
        <v>33</v>
      </c>
      <c r="B2840" s="3">
        <v>2.83</v>
      </c>
      <c r="C2840" s="3">
        <v>0.62</v>
      </c>
      <c r="D2840" s="3">
        <v>35.2</v>
      </c>
      <c r="E2840" s="3">
        <v>3.3</v>
      </c>
      <c r="F2840" s="3">
        <v>10.25</v>
      </c>
      <c r="G2840" s="3">
        <v>25.64</v>
      </c>
      <c r="H2840" s="3">
        <v>0.0</v>
      </c>
      <c r="I2840" s="3">
        <v>17.85</v>
      </c>
      <c r="J2840" s="3">
        <v>0.0</v>
      </c>
      <c r="K2840" s="4">
        <f t="shared" si="1"/>
        <v>762.4721</v>
      </c>
      <c r="L2840" s="4">
        <f t="shared" si="2"/>
        <v>1.625029952</v>
      </c>
    </row>
    <row r="2841">
      <c r="A2841" s="3" t="s">
        <v>33</v>
      </c>
      <c r="B2841" s="3">
        <v>2.83</v>
      </c>
      <c r="C2841" s="3">
        <v>0.82</v>
      </c>
      <c r="D2841" s="3">
        <v>44.0</v>
      </c>
      <c r="E2841" s="3">
        <v>3.3</v>
      </c>
      <c r="F2841" s="3">
        <v>12.77</v>
      </c>
      <c r="G2841" s="3">
        <v>24.3</v>
      </c>
      <c r="H2841" s="3">
        <v>0.0</v>
      </c>
      <c r="I2841" s="3">
        <v>9.49</v>
      </c>
      <c r="J2841" s="3">
        <v>0.0</v>
      </c>
      <c r="K2841" s="4">
        <f t="shared" si="1"/>
        <v>753.5629</v>
      </c>
      <c r="L2841" s="4">
        <f t="shared" si="2"/>
        <v>2.569128602</v>
      </c>
    </row>
    <row r="2842">
      <c r="A2842" s="3" t="s">
        <v>169</v>
      </c>
      <c r="B2842" s="3">
        <v>13.1</v>
      </c>
      <c r="C2842" s="3">
        <v>0.95</v>
      </c>
      <c r="D2842" s="3">
        <v>46.8</v>
      </c>
      <c r="E2842" s="3">
        <v>5.66</v>
      </c>
      <c r="F2842" s="3">
        <v>3.86</v>
      </c>
      <c r="G2842" s="3">
        <v>27.74</v>
      </c>
      <c r="H2842" s="3">
        <v>0.0</v>
      </c>
      <c r="I2842" s="3">
        <v>97.09</v>
      </c>
      <c r="J2842" s="3">
        <v>0.0</v>
      </c>
      <c r="K2842" s="4">
        <f t="shared" si="1"/>
        <v>784.4072</v>
      </c>
      <c r="L2842" s="4">
        <f t="shared" si="2"/>
        <v>2.792223223</v>
      </c>
    </row>
    <row r="2843">
      <c r="A2843" s="3" t="s">
        <v>169</v>
      </c>
      <c r="B2843" s="3">
        <v>13.1</v>
      </c>
      <c r="C2843" s="3">
        <v>1.9</v>
      </c>
      <c r="D2843" s="3">
        <v>63.0</v>
      </c>
      <c r="E2843" s="3">
        <v>5.66</v>
      </c>
      <c r="F2843" s="3">
        <v>4.52</v>
      </c>
      <c r="G2843" s="3">
        <v>51.06</v>
      </c>
      <c r="H2843" s="3">
        <v>0.0</v>
      </c>
      <c r="I2843" s="3">
        <v>46.46</v>
      </c>
      <c r="J2843" s="3">
        <v>0.0</v>
      </c>
      <c r="K2843" s="4">
        <f t="shared" si="1"/>
        <v>2627.554</v>
      </c>
      <c r="L2843" s="4">
        <f t="shared" si="2"/>
        <v>1.510530326</v>
      </c>
    </row>
    <row r="2844">
      <c r="A2844" s="3" t="s">
        <v>169</v>
      </c>
      <c r="B2844" s="3">
        <v>13.1</v>
      </c>
      <c r="C2844" s="3">
        <v>2.86</v>
      </c>
      <c r="D2844" s="3">
        <v>66.8</v>
      </c>
      <c r="E2844" s="3">
        <v>5.66</v>
      </c>
      <c r="F2844" s="3">
        <v>4.73</v>
      </c>
      <c r="G2844" s="3">
        <v>51.26</v>
      </c>
      <c r="H2844" s="3">
        <v>0.0</v>
      </c>
      <c r="I2844" s="3">
        <v>20.02</v>
      </c>
      <c r="J2844" s="3">
        <v>0.0</v>
      </c>
      <c r="K2844" s="4">
        <f t="shared" si="1"/>
        <v>2649.9605</v>
      </c>
      <c r="L2844" s="4">
        <f t="shared" si="2"/>
        <v>1.68388925</v>
      </c>
    </row>
    <row r="2845">
      <c r="A2845" s="3" t="s">
        <v>169</v>
      </c>
      <c r="B2845" s="3">
        <v>13.1</v>
      </c>
      <c r="C2845" s="3">
        <v>3.81</v>
      </c>
      <c r="D2845" s="3">
        <v>69.6</v>
      </c>
      <c r="E2845" s="3">
        <v>5.66</v>
      </c>
      <c r="F2845" s="3">
        <v>12.72</v>
      </c>
      <c r="G2845" s="3">
        <v>49.4</v>
      </c>
      <c r="H2845" s="3">
        <v>0.0</v>
      </c>
      <c r="I2845" s="3">
        <v>7.49</v>
      </c>
      <c r="J2845" s="3">
        <v>0.0</v>
      </c>
      <c r="K2845" s="4">
        <f t="shared" si="1"/>
        <v>2602.1584</v>
      </c>
      <c r="L2845" s="4">
        <f t="shared" si="2"/>
        <v>1.861593053</v>
      </c>
    </row>
    <row r="2846">
      <c r="A2846" s="3" t="s">
        <v>169</v>
      </c>
      <c r="B2846" s="3">
        <v>13.1</v>
      </c>
      <c r="C2846" s="3">
        <v>4.76</v>
      </c>
      <c r="D2846" s="3">
        <v>73.4</v>
      </c>
      <c r="E2846" s="3">
        <v>5.66</v>
      </c>
      <c r="F2846" s="3">
        <v>18.24</v>
      </c>
      <c r="G2846" s="3">
        <v>44.13</v>
      </c>
      <c r="H2846" s="3">
        <v>0.0</v>
      </c>
      <c r="I2846" s="3">
        <v>1.46</v>
      </c>
      <c r="J2846" s="3">
        <v>0.0</v>
      </c>
      <c r="K2846" s="4">
        <f t="shared" si="1"/>
        <v>2280.1545</v>
      </c>
      <c r="L2846" s="4">
        <f t="shared" si="2"/>
        <v>2.362804801</v>
      </c>
    </row>
    <row r="2847">
      <c r="A2847" s="3" t="s">
        <v>169</v>
      </c>
      <c r="B2847" s="3">
        <v>13.1</v>
      </c>
      <c r="C2847" s="3">
        <v>5.72</v>
      </c>
      <c r="D2847" s="3">
        <v>74.7</v>
      </c>
      <c r="E2847" s="3">
        <v>5.66</v>
      </c>
      <c r="F2847" s="3">
        <v>23.64</v>
      </c>
      <c r="G2847" s="3">
        <v>39.21</v>
      </c>
      <c r="H2847" s="3">
        <v>0.0</v>
      </c>
      <c r="I2847" s="3">
        <v>0.0</v>
      </c>
      <c r="J2847" s="3">
        <v>0.0</v>
      </c>
      <c r="K2847" s="4">
        <f t="shared" si="1"/>
        <v>2096.2737</v>
      </c>
      <c r="L2847" s="4">
        <f t="shared" si="2"/>
        <v>2.661909082</v>
      </c>
    </row>
    <row r="2848">
      <c r="A2848" s="3" t="s">
        <v>169</v>
      </c>
      <c r="B2848" s="3">
        <v>13.1</v>
      </c>
      <c r="C2848" s="3">
        <v>6.67</v>
      </c>
      <c r="D2848" s="3">
        <v>76.1</v>
      </c>
      <c r="E2848" s="3">
        <v>5.66</v>
      </c>
      <c r="F2848" s="3">
        <v>29.52</v>
      </c>
      <c r="G2848" s="3">
        <v>35.32</v>
      </c>
      <c r="H2848" s="3">
        <v>0.0</v>
      </c>
      <c r="I2848" s="3">
        <v>0.0</v>
      </c>
      <c r="J2848" s="3">
        <v>0.0</v>
      </c>
      <c r="K2848" s="4">
        <f t="shared" si="1"/>
        <v>2118.9328</v>
      </c>
      <c r="L2848" s="4">
        <f t="shared" si="2"/>
        <v>2.733078652</v>
      </c>
    </row>
    <row r="2849">
      <c r="A2849" s="3" t="s">
        <v>170</v>
      </c>
      <c r="B2849" s="3">
        <v>8.0</v>
      </c>
      <c r="C2849" s="3">
        <v>0.58</v>
      </c>
      <c r="D2849" s="3">
        <v>23.9</v>
      </c>
      <c r="E2849" s="3">
        <v>3.87</v>
      </c>
      <c r="F2849" s="3">
        <v>1.43</v>
      </c>
      <c r="G2849" s="3">
        <v>21.96</v>
      </c>
      <c r="H2849" s="3">
        <v>0.0</v>
      </c>
      <c r="I2849" s="3">
        <v>135.84</v>
      </c>
      <c r="J2849" s="3">
        <v>0.0</v>
      </c>
      <c r="K2849" s="4">
        <f t="shared" si="1"/>
        <v>484.2865</v>
      </c>
      <c r="L2849" s="4">
        <f t="shared" si="2"/>
        <v>1.179487762</v>
      </c>
    </row>
    <row r="2850">
      <c r="A2850" s="3" t="s">
        <v>170</v>
      </c>
      <c r="B2850" s="3">
        <v>8.0</v>
      </c>
      <c r="C2850" s="3">
        <v>1.17</v>
      </c>
      <c r="D2850" s="3">
        <v>34.7</v>
      </c>
      <c r="E2850" s="3">
        <v>3.87</v>
      </c>
      <c r="F2850" s="3">
        <v>3.24</v>
      </c>
      <c r="G2850" s="3">
        <v>34.79</v>
      </c>
      <c r="H2850" s="3">
        <v>0.0</v>
      </c>
      <c r="I2850" s="3">
        <v>96.51</v>
      </c>
      <c r="J2850" s="3">
        <v>0.0</v>
      </c>
      <c r="K2850" s="4">
        <f t="shared" si="1"/>
        <v>1220.8417</v>
      </c>
      <c r="L2850" s="4">
        <f t="shared" si="2"/>
        <v>0.986278565</v>
      </c>
    </row>
    <row r="2851">
      <c r="A2851" s="3" t="s">
        <v>170</v>
      </c>
      <c r="B2851" s="3">
        <v>8.0</v>
      </c>
      <c r="C2851" s="3">
        <v>1.75</v>
      </c>
      <c r="D2851" s="3">
        <v>42.8</v>
      </c>
      <c r="E2851" s="3">
        <v>3.87</v>
      </c>
      <c r="F2851" s="3">
        <v>-0.61</v>
      </c>
      <c r="G2851" s="3">
        <v>43.08</v>
      </c>
      <c r="H2851" s="3">
        <v>0.0</v>
      </c>
      <c r="I2851" s="3">
        <v>71.26</v>
      </c>
      <c r="J2851" s="3">
        <v>0.0</v>
      </c>
      <c r="K2851" s="4">
        <f t="shared" si="1"/>
        <v>1856.2585</v>
      </c>
      <c r="L2851" s="4">
        <f t="shared" si="2"/>
        <v>0.9868453128</v>
      </c>
    </row>
    <row r="2852">
      <c r="A2852" s="3" t="s">
        <v>170</v>
      </c>
      <c r="B2852" s="3">
        <v>8.0</v>
      </c>
      <c r="C2852" s="3">
        <v>2.33</v>
      </c>
      <c r="D2852" s="3">
        <v>51.3</v>
      </c>
      <c r="E2852" s="3">
        <v>3.87</v>
      </c>
      <c r="F2852" s="3">
        <v>-3.66</v>
      </c>
      <c r="G2852" s="3">
        <v>48.67</v>
      </c>
      <c r="H2852" s="3">
        <v>0.0</v>
      </c>
      <c r="I2852" s="3">
        <v>55.55</v>
      </c>
      <c r="J2852" s="3">
        <v>0.0</v>
      </c>
      <c r="K2852" s="4">
        <f t="shared" si="1"/>
        <v>2382.1645</v>
      </c>
      <c r="L2852" s="4">
        <f t="shared" si="2"/>
        <v>1.104747384</v>
      </c>
    </row>
    <row r="2853">
      <c r="A2853" s="3" t="s">
        <v>170</v>
      </c>
      <c r="B2853" s="3">
        <v>8.0</v>
      </c>
      <c r="C2853" s="3">
        <v>2.91</v>
      </c>
      <c r="D2853" s="3">
        <v>57.7</v>
      </c>
      <c r="E2853" s="3">
        <v>3.87</v>
      </c>
      <c r="F2853" s="3">
        <v>9.71</v>
      </c>
      <c r="G2853" s="3">
        <v>52.39</v>
      </c>
      <c r="H2853" s="3">
        <v>0.0</v>
      </c>
      <c r="I2853" s="3">
        <v>42.67</v>
      </c>
      <c r="J2853" s="3">
        <v>0.0</v>
      </c>
      <c r="K2853" s="4">
        <f t="shared" si="1"/>
        <v>2838.9962</v>
      </c>
      <c r="L2853" s="4">
        <f t="shared" si="2"/>
        <v>1.172699703</v>
      </c>
    </row>
    <row r="2854">
      <c r="A2854" s="3" t="s">
        <v>170</v>
      </c>
      <c r="B2854" s="3">
        <v>8.0</v>
      </c>
      <c r="C2854" s="3">
        <v>3.5</v>
      </c>
      <c r="D2854" s="3">
        <v>67.3</v>
      </c>
      <c r="E2854" s="3">
        <v>3.87</v>
      </c>
      <c r="F2854" s="3">
        <v>13.91</v>
      </c>
      <c r="G2854" s="3">
        <v>55.75</v>
      </c>
      <c r="H2854" s="3">
        <v>0.0</v>
      </c>
      <c r="I2854" s="3">
        <v>35.03</v>
      </c>
      <c r="J2854" s="3">
        <v>0.0</v>
      </c>
      <c r="K2854" s="4">
        <f t="shared" si="1"/>
        <v>3301.5506</v>
      </c>
      <c r="L2854" s="4">
        <f t="shared" si="2"/>
        <v>1.37186751</v>
      </c>
    </row>
    <row r="2855">
      <c r="A2855" s="3" t="s">
        <v>170</v>
      </c>
      <c r="B2855" s="3">
        <v>8.0</v>
      </c>
      <c r="C2855" s="3">
        <v>4.07</v>
      </c>
      <c r="D2855" s="3">
        <v>75.4</v>
      </c>
      <c r="E2855" s="3">
        <v>3.87</v>
      </c>
      <c r="F2855" s="3">
        <v>18.68</v>
      </c>
      <c r="G2855" s="3">
        <v>58.69</v>
      </c>
      <c r="H2855" s="3">
        <v>0.0</v>
      </c>
      <c r="I2855" s="3">
        <v>28.37</v>
      </c>
      <c r="J2855" s="3">
        <v>0.0</v>
      </c>
      <c r="K2855" s="4">
        <f t="shared" si="1"/>
        <v>3793.4585</v>
      </c>
      <c r="L2855" s="4">
        <f t="shared" si="2"/>
        <v>1.498674626</v>
      </c>
    </row>
    <row r="2856">
      <c r="A2856" s="3" t="s">
        <v>170</v>
      </c>
      <c r="B2856" s="3">
        <v>8.0</v>
      </c>
      <c r="C2856" s="3">
        <v>4.65</v>
      </c>
      <c r="D2856" s="3">
        <v>79.5</v>
      </c>
      <c r="E2856" s="3">
        <v>3.87</v>
      </c>
      <c r="F2856" s="3">
        <v>24.75</v>
      </c>
      <c r="G2856" s="3">
        <v>61.08</v>
      </c>
      <c r="H2856" s="3">
        <v>0.0</v>
      </c>
      <c r="I2856" s="3">
        <v>21.05</v>
      </c>
      <c r="J2856" s="3">
        <v>0.0</v>
      </c>
      <c r="K2856" s="4">
        <f t="shared" si="1"/>
        <v>4343.3289</v>
      </c>
      <c r="L2856" s="4">
        <f t="shared" si="2"/>
        <v>1.455162652</v>
      </c>
    </row>
    <row r="2857">
      <c r="A2857" s="3" t="s">
        <v>170</v>
      </c>
      <c r="B2857" s="3">
        <v>8.0</v>
      </c>
      <c r="C2857" s="3">
        <v>5.23</v>
      </c>
      <c r="D2857" s="3">
        <v>82.8</v>
      </c>
      <c r="E2857" s="3">
        <v>3.87</v>
      </c>
      <c r="F2857" s="3">
        <v>27.13</v>
      </c>
      <c r="G2857" s="3">
        <v>61.82</v>
      </c>
      <c r="H2857" s="3">
        <v>0.0</v>
      </c>
      <c r="I2857" s="3">
        <v>14.07</v>
      </c>
      <c r="J2857" s="3">
        <v>0.0</v>
      </c>
      <c r="K2857" s="4">
        <f t="shared" si="1"/>
        <v>4557.7493</v>
      </c>
      <c r="L2857" s="4">
        <f t="shared" si="2"/>
        <v>1.504216127</v>
      </c>
    </row>
    <row r="2858">
      <c r="A2858" s="3" t="s">
        <v>170</v>
      </c>
      <c r="B2858" s="3">
        <v>8.0</v>
      </c>
      <c r="C2858" s="3">
        <v>5.82</v>
      </c>
      <c r="D2858" s="3">
        <v>85.6</v>
      </c>
      <c r="E2858" s="3">
        <v>3.87</v>
      </c>
      <c r="F2858" s="3">
        <v>28.72</v>
      </c>
      <c r="G2858" s="3">
        <v>60.87</v>
      </c>
      <c r="H2858" s="3">
        <v>0.0</v>
      </c>
      <c r="I2858" s="3">
        <v>9.18</v>
      </c>
      <c r="J2858" s="3">
        <v>0.0</v>
      </c>
      <c r="K2858" s="4">
        <f t="shared" si="1"/>
        <v>4529.9953</v>
      </c>
      <c r="L2858" s="4">
        <f t="shared" si="2"/>
        <v>1.617520442</v>
      </c>
    </row>
    <row r="2859">
      <c r="A2859" s="3" t="s">
        <v>171</v>
      </c>
      <c r="B2859" s="3">
        <v>8.43</v>
      </c>
      <c r="C2859" s="3">
        <v>0.61</v>
      </c>
      <c r="D2859" s="3">
        <v>47.3</v>
      </c>
      <c r="E2859" s="3">
        <v>2.77</v>
      </c>
      <c r="F2859" s="3">
        <v>2.98</v>
      </c>
      <c r="G2859" s="3">
        <v>31.89</v>
      </c>
      <c r="H2859" s="3">
        <v>0.0</v>
      </c>
      <c r="I2859" s="3">
        <v>131.44</v>
      </c>
      <c r="J2859" s="3">
        <v>0.0</v>
      </c>
      <c r="K2859" s="4">
        <f t="shared" si="1"/>
        <v>1025.8525</v>
      </c>
      <c r="L2859" s="4">
        <f t="shared" si="2"/>
        <v>2.180908074</v>
      </c>
    </row>
    <row r="2860">
      <c r="A2860" s="3" t="s">
        <v>171</v>
      </c>
      <c r="B2860" s="3">
        <v>8.43</v>
      </c>
      <c r="C2860" s="3">
        <v>1.22</v>
      </c>
      <c r="D2860" s="3">
        <v>70.4</v>
      </c>
      <c r="E2860" s="3">
        <v>3.27</v>
      </c>
      <c r="F2860" s="3">
        <v>8.37</v>
      </c>
      <c r="G2860" s="3">
        <v>39.0</v>
      </c>
      <c r="H2860" s="3">
        <v>0.0</v>
      </c>
      <c r="I2860" s="3">
        <v>39.39</v>
      </c>
      <c r="J2860" s="3">
        <v>0.0</v>
      </c>
      <c r="K2860" s="4">
        <f t="shared" si="1"/>
        <v>1591.0569</v>
      </c>
      <c r="L2860" s="4">
        <f t="shared" si="2"/>
        <v>3.11501116</v>
      </c>
    </row>
    <row r="2861">
      <c r="A2861" s="3" t="s">
        <v>171</v>
      </c>
      <c r="B2861" s="3">
        <v>8.43</v>
      </c>
      <c r="C2861" s="3">
        <v>1.84</v>
      </c>
      <c r="D2861" s="3">
        <v>83.7</v>
      </c>
      <c r="E2861" s="3">
        <v>2.5</v>
      </c>
      <c r="F2861" s="3">
        <v>14.43</v>
      </c>
      <c r="G2861" s="3">
        <v>37.15</v>
      </c>
      <c r="H2861" s="3">
        <v>0.0</v>
      </c>
      <c r="I2861" s="3">
        <v>17.04</v>
      </c>
      <c r="J2861" s="3">
        <v>0.0</v>
      </c>
      <c r="K2861" s="4">
        <f t="shared" si="1"/>
        <v>1588.3474</v>
      </c>
      <c r="L2861" s="4">
        <f t="shared" si="2"/>
        <v>4.410678671</v>
      </c>
    </row>
    <row r="2862">
      <c r="A2862" s="3" t="s">
        <v>171</v>
      </c>
      <c r="B2862" s="3">
        <v>8.43</v>
      </c>
      <c r="C2862" s="3">
        <v>2.45</v>
      </c>
      <c r="D2862" s="3">
        <v>89.1</v>
      </c>
      <c r="E2862" s="3">
        <v>2.45</v>
      </c>
      <c r="F2862" s="3">
        <v>17.93</v>
      </c>
      <c r="G2862" s="3">
        <v>36.43</v>
      </c>
      <c r="H2862" s="3">
        <v>0.0</v>
      </c>
      <c r="I2862" s="3">
        <v>13.6</v>
      </c>
      <c r="J2862" s="3">
        <v>0.0</v>
      </c>
      <c r="K2862" s="4">
        <f t="shared" si="1"/>
        <v>1648.6298</v>
      </c>
      <c r="L2862" s="4">
        <f t="shared" si="2"/>
        <v>4.815398824</v>
      </c>
    </row>
    <row r="2863">
      <c r="A2863" s="3" t="s">
        <v>171</v>
      </c>
      <c r="B2863" s="3">
        <v>8.43</v>
      </c>
      <c r="C2863" s="3">
        <v>3.07</v>
      </c>
      <c r="D2863" s="3">
        <v>91.7</v>
      </c>
      <c r="E2863" s="3">
        <v>2.48</v>
      </c>
      <c r="F2863" s="3">
        <v>20.44</v>
      </c>
      <c r="G2863" s="3">
        <v>35.9</v>
      </c>
      <c r="H2863" s="3">
        <v>0.0</v>
      </c>
      <c r="I2863" s="3">
        <v>7.77</v>
      </c>
      <c r="J2863" s="3">
        <v>0.0</v>
      </c>
      <c r="K2863" s="4">
        <f t="shared" si="1"/>
        <v>1706.6036</v>
      </c>
      <c r="L2863" s="4">
        <f t="shared" si="2"/>
        <v>4.927266062</v>
      </c>
    </row>
    <row r="2864">
      <c r="A2864" s="3" t="s">
        <v>171</v>
      </c>
      <c r="B2864" s="3">
        <v>8.43</v>
      </c>
      <c r="C2864" s="3">
        <v>3.68</v>
      </c>
      <c r="D2864" s="3">
        <v>95.1</v>
      </c>
      <c r="E2864" s="3">
        <v>3.01</v>
      </c>
      <c r="F2864" s="3">
        <v>21.54</v>
      </c>
      <c r="G2864" s="3">
        <v>34.58</v>
      </c>
      <c r="H2864" s="3">
        <v>0.0</v>
      </c>
      <c r="I2864" s="3">
        <v>5.32</v>
      </c>
      <c r="J2864" s="3">
        <v>0.0</v>
      </c>
      <c r="K2864" s="4">
        <f t="shared" si="1"/>
        <v>1659.748</v>
      </c>
      <c r="L2864" s="4">
        <f t="shared" si="2"/>
        <v>5.449025997</v>
      </c>
    </row>
    <row r="2865">
      <c r="A2865" s="3" t="s">
        <v>171</v>
      </c>
      <c r="B2865" s="3">
        <v>8.43</v>
      </c>
      <c r="C2865" s="3">
        <v>4.3</v>
      </c>
      <c r="D2865" s="3">
        <v>96.9</v>
      </c>
      <c r="E2865" s="3">
        <v>3.62</v>
      </c>
      <c r="F2865" s="3">
        <v>21.34</v>
      </c>
      <c r="G2865" s="3">
        <v>33.94</v>
      </c>
      <c r="H2865" s="3">
        <v>0.0</v>
      </c>
      <c r="I2865" s="3">
        <v>4.08</v>
      </c>
      <c r="J2865" s="3">
        <v>0.0</v>
      </c>
      <c r="K2865" s="4">
        <f t="shared" si="1"/>
        <v>1607.3192</v>
      </c>
      <c r="L2865" s="4">
        <f t="shared" si="2"/>
        <v>5.841783014</v>
      </c>
    </row>
    <row r="2866">
      <c r="A2866" s="3" t="s">
        <v>171</v>
      </c>
      <c r="B2866" s="3">
        <v>8.43</v>
      </c>
      <c r="C2866" s="3">
        <v>4.91</v>
      </c>
      <c r="D2866" s="3">
        <v>100.0</v>
      </c>
      <c r="E2866" s="3">
        <v>3.9</v>
      </c>
      <c r="F2866" s="3">
        <v>23.04</v>
      </c>
      <c r="G2866" s="3">
        <v>32.94</v>
      </c>
      <c r="H2866" s="3">
        <v>0.0</v>
      </c>
      <c r="I2866" s="3">
        <v>2.41</v>
      </c>
      <c r="J2866" s="3">
        <v>0.0</v>
      </c>
      <c r="K2866" s="4">
        <f t="shared" si="1"/>
        <v>1615.8852</v>
      </c>
      <c r="L2866" s="4">
        <f t="shared" si="2"/>
        <v>6.188558445</v>
      </c>
    </row>
    <row r="2867">
      <c r="A2867" s="3" t="s">
        <v>171</v>
      </c>
      <c r="B2867" s="3">
        <v>8.43</v>
      </c>
      <c r="C2867" s="3">
        <v>5.52</v>
      </c>
      <c r="D2867" s="3">
        <v>103.0</v>
      </c>
      <c r="E2867" s="3">
        <v>4.82</v>
      </c>
      <c r="F2867" s="3">
        <v>25.45</v>
      </c>
      <c r="G2867" s="3">
        <v>31.6</v>
      </c>
      <c r="H2867" s="3">
        <v>0.0</v>
      </c>
      <c r="I2867" s="3">
        <v>1.92</v>
      </c>
      <c r="J2867" s="3">
        <v>0.0</v>
      </c>
      <c r="K2867" s="4">
        <f t="shared" si="1"/>
        <v>1646.2625</v>
      </c>
      <c r="L2867" s="4">
        <f t="shared" si="2"/>
        <v>6.444294273</v>
      </c>
    </row>
    <row r="2868">
      <c r="A2868" s="3" t="s">
        <v>171</v>
      </c>
      <c r="B2868" s="3">
        <v>8.43</v>
      </c>
      <c r="C2868" s="3">
        <v>6.13</v>
      </c>
      <c r="D2868" s="3">
        <v>106.0</v>
      </c>
      <c r="E2868" s="3">
        <v>4.97</v>
      </c>
      <c r="F2868" s="3">
        <v>25.55</v>
      </c>
      <c r="G2868" s="3">
        <v>31.05</v>
      </c>
      <c r="H2868" s="3">
        <v>0.0</v>
      </c>
      <c r="I2868" s="3">
        <v>1.31</v>
      </c>
      <c r="J2868" s="3">
        <v>0.0</v>
      </c>
      <c r="K2868" s="4">
        <f t="shared" si="1"/>
        <v>1616.905</v>
      </c>
      <c r="L2868" s="4">
        <f t="shared" si="2"/>
        <v>6.949078641</v>
      </c>
    </row>
    <row r="2869">
      <c r="A2869" s="3" t="s">
        <v>172</v>
      </c>
      <c r="B2869" s="3">
        <v>4.74</v>
      </c>
      <c r="C2869" s="3">
        <v>0.35</v>
      </c>
      <c r="D2869" s="3">
        <v>14.4</v>
      </c>
      <c r="E2869" s="3">
        <v>2.82</v>
      </c>
      <c r="F2869" s="3">
        <v>-0.61</v>
      </c>
      <c r="G2869" s="3">
        <v>15.45</v>
      </c>
      <c r="H2869" s="3">
        <v>0.0</v>
      </c>
      <c r="I2869" s="3">
        <v>54.27</v>
      </c>
      <c r="J2869" s="3">
        <v>0.0</v>
      </c>
      <c r="K2869" s="4">
        <f t="shared" si="1"/>
        <v>239.0746</v>
      </c>
      <c r="L2869" s="4">
        <f t="shared" si="2"/>
        <v>0.8673443352</v>
      </c>
    </row>
    <row r="2870">
      <c r="A2870" s="3" t="s">
        <v>172</v>
      </c>
      <c r="B2870" s="3">
        <v>4.74</v>
      </c>
      <c r="C2870" s="3">
        <v>0.69</v>
      </c>
      <c r="D2870" s="3">
        <v>24.4</v>
      </c>
      <c r="E2870" s="3">
        <v>3.97</v>
      </c>
      <c r="F2870" s="3">
        <v>-1.22</v>
      </c>
      <c r="G2870" s="3">
        <v>17.95</v>
      </c>
      <c r="H2870" s="3">
        <v>0.0</v>
      </c>
      <c r="I2870" s="3">
        <v>43.05</v>
      </c>
      <c r="J2870" s="3">
        <v>0.0</v>
      </c>
      <c r="K2870" s="4">
        <f t="shared" si="1"/>
        <v>323.6909</v>
      </c>
      <c r="L2870" s="4">
        <f t="shared" si="2"/>
        <v>1.839285565</v>
      </c>
    </row>
    <row r="2871">
      <c r="A2871" s="3" t="s">
        <v>172</v>
      </c>
      <c r="B2871" s="3">
        <v>4.74</v>
      </c>
      <c r="C2871" s="3">
        <v>1.03</v>
      </c>
      <c r="D2871" s="3">
        <v>29.2</v>
      </c>
      <c r="E2871" s="3">
        <v>3.26</v>
      </c>
      <c r="F2871" s="3">
        <v>-2.04</v>
      </c>
      <c r="G2871" s="3">
        <v>20.19</v>
      </c>
      <c r="H2871" s="3">
        <v>0.0</v>
      </c>
      <c r="I2871" s="3">
        <v>30.93</v>
      </c>
      <c r="J2871" s="3">
        <v>0.0</v>
      </c>
      <c r="K2871" s="4">
        <f t="shared" si="1"/>
        <v>411.7977</v>
      </c>
      <c r="L2871" s="4">
        <f t="shared" si="2"/>
        <v>2.070531234</v>
      </c>
    </row>
    <row r="2872">
      <c r="A2872" s="3" t="s">
        <v>172</v>
      </c>
      <c r="B2872" s="3">
        <v>4.74</v>
      </c>
      <c r="C2872" s="3">
        <v>1.38</v>
      </c>
      <c r="D2872" s="3">
        <v>32.9</v>
      </c>
      <c r="E2872" s="3">
        <v>3.73</v>
      </c>
      <c r="F2872" s="3">
        <v>-1.72</v>
      </c>
      <c r="G2872" s="3">
        <v>21.43</v>
      </c>
      <c r="H2872" s="3">
        <v>0.0</v>
      </c>
      <c r="I2872" s="3">
        <v>26.57</v>
      </c>
      <c r="J2872" s="3">
        <v>0.0</v>
      </c>
      <c r="K2872" s="4">
        <f t="shared" si="1"/>
        <v>462.2033</v>
      </c>
      <c r="L2872" s="4">
        <f t="shared" si="2"/>
        <v>2.341848273</v>
      </c>
    </row>
    <row r="2873">
      <c r="A2873" s="3" t="s">
        <v>172</v>
      </c>
      <c r="B2873" s="3">
        <v>4.74</v>
      </c>
      <c r="C2873" s="3">
        <v>1.72</v>
      </c>
      <c r="D2873" s="3">
        <v>37.8</v>
      </c>
      <c r="E2873" s="3">
        <v>3.41</v>
      </c>
      <c r="F2873" s="3">
        <v>3.47</v>
      </c>
      <c r="G2873" s="3">
        <v>22.82</v>
      </c>
      <c r="H2873" s="3">
        <v>0.0</v>
      </c>
      <c r="I2873" s="3">
        <v>24.96</v>
      </c>
      <c r="J2873" s="3">
        <v>0.0</v>
      </c>
      <c r="K2873" s="4">
        <f t="shared" si="1"/>
        <v>532.7933</v>
      </c>
      <c r="L2873" s="4">
        <f t="shared" si="2"/>
        <v>2.68179048</v>
      </c>
    </row>
    <row r="2874">
      <c r="A2874" s="3" t="s">
        <v>172</v>
      </c>
      <c r="B2874" s="3">
        <v>4.74</v>
      </c>
      <c r="C2874" s="3">
        <v>2.07</v>
      </c>
      <c r="D2874" s="3">
        <v>42.0</v>
      </c>
      <c r="E2874" s="3">
        <v>3.12</v>
      </c>
      <c r="F2874" s="3">
        <v>3.53</v>
      </c>
      <c r="G2874" s="3">
        <v>25.15</v>
      </c>
      <c r="H2874" s="3">
        <v>0.0</v>
      </c>
      <c r="I2874" s="3">
        <v>21.49</v>
      </c>
      <c r="J2874" s="3">
        <v>0.0</v>
      </c>
      <c r="K2874" s="4">
        <f t="shared" si="1"/>
        <v>644.9834</v>
      </c>
      <c r="L2874" s="4">
        <f t="shared" si="2"/>
        <v>2.734954109</v>
      </c>
    </row>
    <row r="2875">
      <c r="A2875" s="3" t="s">
        <v>172</v>
      </c>
      <c r="B2875" s="3">
        <v>4.74</v>
      </c>
      <c r="C2875" s="3">
        <v>2.41</v>
      </c>
      <c r="D2875" s="3">
        <v>45.1</v>
      </c>
      <c r="E2875" s="3">
        <v>2.92</v>
      </c>
      <c r="F2875" s="3">
        <v>4.13</v>
      </c>
      <c r="G2875" s="3">
        <v>26.82</v>
      </c>
      <c r="H2875" s="3">
        <v>0.0</v>
      </c>
      <c r="I2875" s="3">
        <v>19.73</v>
      </c>
      <c r="J2875" s="3">
        <v>0.0</v>
      </c>
      <c r="K2875" s="4">
        <f t="shared" si="1"/>
        <v>736.3693</v>
      </c>
      <c r="L2875" s="4">
        <f t="shared" si="2"/>
        <v>2.762214557</v>
      </c>
    </row>
    <row r="2876">
      <c r="A2876" s="3" t="s">
        <v>172</v>
      </c>
      <c r="B2876" s="3">
        <v>4.74</v>
      </c>
      <c r="C2876" s="3">
        <v>2.76</v>
      </c>
      <c r="D2876" s="3">
        <v>47.6</v>
      </c>
      <c r="E2876" s="3">
        <v>2.79</v>
      </c>
      <c r="F2876" s="3">
        <v>6.88</v>
      </c>
      <c r="G2876" s="3">
        <v>28.98</v>
      </c>
      <c r="H2876" s="3">
        <v>0.0</v>
      </c>
      <c r="I2876" s="3">
        <v>17.35</v>
      </c>
      <c r="J2876" s="3">
        <v>0.0</v>
      </c>
      <c r="K2876" s="4">
        <f t="shared" si="1"/>
        <v>887.1748</v>
      </c>
      <c r="L2876" s="4">
        <f t="shared" si="2"/>
        <v>2.553904822</v>
      </c>
    </row>
    <row r="2877">
      <c r="A2877" s="3" t="s">
        <v>172</v>
      </c>
      <c r="B2877" s="3">
        <v>4.74</v>
      </c>
      <c r="C2877" s="3">
        <v>3.1</v>
      </c>
      <c r="D2877" s="3">
        <v>52.3</v>
      </c>
      <c r="E2877" s="3">
        <v>2.78</v>
      </c>
      <c r="F2877" s="3">
        <v>9.39</v>
      </c>
      <c r="G2877" s="3">
        <v>30.06</v>
      </c>
      <c r="H2877" s="3">
        <v>0.0</v>
      </c>
      <c r="I2877" s="3">
        <v>14.95</v>
      </c>
      <c r="J2877" s="3">
        <v>0.0</v>
      </c>
      <c r="K2877" s="4">
        <f t="shared" si="1"/>
        <v>991.7757</v>
      </c>
      <c r="L2877" s="4">
        <f t="shared" si="2"/>
        <v>2.757972392</v>
      </c>
    </row>
    <row r="2878">
      <c r="A2878" s="3" t="s">
        <v>172</v>
      </c>
      <c r="B2878" s="3">
        <v>4.74</v>
      </c>
      <c r="C2878" s="3">
        <v>3.45</v>
      </c>
      <c r="D2878" s="3">
        <v>57.3</v>
      </c>
      <c r="E2878" s="3">
        <v>2.78</v>
      </c>
      <c r="F2878" s="3">
        <v>11.99</v>
      </c>
      <c r="G2878" s="3">
        <v>30.89</v>
      </c>
      <c r="H2878" s="3">
        <v>0.0</v>
      </c>
      <c r="I2878" s="3">
        <v>12.04</v>
      </c>
      <c r="J2878" s="3">
        <v>0.0</v>
      </c>
      <c r="K2878" s="4">
        <f t="shared" si="1"/>
        <v>1097.9522</v>
      </c>
      <c r="L2878" s="4">
        <f t="shared" si="2"/>
        <v>2.990376084</v>
      </c>
    </row>
    <row r="2879">
      <c r="A2879" s="3" t="s">
        <v>172</v>
      </c>
      <c r="B2879" s="3">
        <v>4.74</v>
      </c>
      <c r="C2879" s="3">
        <v>3.79</v>
      </c>
      <c r="D2879" s="3">
        <v>61.4</v>
      </c>
      <c r="E2879" s="3">
        <v>2.93</v>
      </c>
      <c r="F2879" s="3">
        <v>14.78</v>
      </c>
      <c r="G2879" s="3">
        <v>31.14</v>
      </c>
      <c r="H2879" s="3">
        <v>0.0</v>
      </c>
      <c r="I2879" s="3">
        <v>11.79</v>
      </c>
      <c r="J2879" s="3">
        <v>0.0</v>
      </c>
      <c r="K2879" s="4">
        <f t="shared" si="1"/>
        <v>1188.148</v>
      </c>
      <c r="L2879" s="4">
        <f t="shared" si="2"/>
        <v>3.172971717</v>
      </c>
    </row>
    <row r="2880">
      <c r="A2880" s="3" t="s">
        <v>172</v>
      </c>
      <c r="B2880" s="3">
        <v>4.74</v>
      </c>
      <c r="C2880" s="3">
        <v>4.14</v>
      </c>
      <c r="D2880" s="3">
        <v>64.5</v>
      </c>
      <c r="E2880" s="3">
        <v>3.42</v>
      </c>
      <c r="F2880" s="3">
        <v>16.87</v>
      </c>
      <c r="G2880" s="3">
        <v>32.08</v>
      </c>
      <c r="H2880" s="3">
        <v>0.0</v>
      </c>
      <c r="I2880" s="3">
        <v>10.85</v>
      </c>
      <c r="J2880" s="3">
        <v>0.0</v>
      </c>
      <c r="K2880" s="4">
        <f t="shared" si="1"/>
        <v>1313.7233</v>
      </c>
      <c r="L2880" s="4">
        <f t="shared" si="2"/>
        <v>3.166762742</v>
      </c>
    </row>
    <row r="2881">
      <c r="A2881" s="3" t="s">
        <v>172</v>
      </c>
      <c r="B2881" s="3">
        <v>4.74</v>
      </c>
      <c r="C2881" s="3">
        <v>4.48</v>
      </c>
      <c r="D2881" s="3">
        <v>66.4</v>
      </c>
      <c r="E2881" s="3">
        <v>4.53</v>
      </c>
      <c r="F2881" s="3">
        <v>18.27</v>
      </c>
      <c r="G2881" s="3">
        <v>32.77</v>
      </c>
      <c r="H2881" s="3">
        <v>0.0</v>
      </c>
      <c r="I2881" s="3">
        <v>9.51</v>
      </c>
      <c r="J2881" s="3">
        <v>0.0</v>
      </c>
      <c r="K2881" s="4">
        <f t="shared" si="1"/>
        <v>1407.6658</v>
      </c>
      <c r="L2881" s="4">
        <f t="shared" si="2"/>
        <v>3.132107067</v>
      </c>
    </row>
    <row r="2882">
      <c r="A2882" s="3" t="s">
        <v>172</v>
      </c>
      <c r="B2882" s="3">
        <v>4.74</v>
      </c>
      <c r="C2882" s="3">
        <v>4.82</v>
      </c>
      <c r="D2882" s="3">
        <v>66.9</v>
      </c>
      <c r="E2882" s="3">
        <v>5.46</v>
      </c>
      <c r="F2882" s="3">
        <v>19.32</v>
      </c>
      <c r="G2882" s="3">
        <v>33.02</v>
      </c>
      <c r="H2882" s="3">
        <v>0.0</v>
      </c>
      <c r="I2882" s="3">
        <v>8.75</v>
      </c>
      <c r="J2882" s="3">
        <v>0.0</v>
      </c>
      <c r="K2882" s="4">
        <f t="shared" si="1"/>
        <v>1463.5828</v>
      </c>
      <c r="L2882" s="4">
        <f t="shared" si="2"/>
        <v>3.057982097</v>
      </c>
    </row>
    <row r="2883">
      <c r="A2883" s="3" t="s">
        <v>172</v>
      </c>
      <c r="B2883" s="3">
        <v>4.74</v>
      </c>
      <c r="C2883" s="3">
        <v>5.17</v>
      </c>
      <c r="D2883" s="3">
        <v>69.4</v>
      </c>
      <c r="E2883" s="3">
        <v>4.77</v>
      </c>
      <c r="F2883" s="3">
        <v>19.78</v>
      </c>
      <c r="G2883" s="3">
        <v>33.86</v>
      </c>
      <c r="H2883" s="3">
        <v>0.0</v>
      </c>
      <c r="I2883" s="3">
        <v>8.46</v>
      </c>
      <c r="J2883" s="3">
        <v>0.0</v>
      </c>
      <c r="K2883" s="4">
        <f t="shared" si="1"/>
        <v>1537.748</v>
      </c>
      <c r="L2883" s="4">
        <f t="shared" si="2"/>
        <v>3.132086662</v>
      </c>
    </row>
    <row r="2884">
      <c r="A2884" s="3" t="s">
        <v>172</v>
      </c>
      <c r="B2884" s="3">
        <v>4.74</v>
      </c>
      <c r="C2884" s="3">
        <v>5.51</v>
      </c>
      <c r="D2884" s="3">
        <v>70.2</v>
      </c>
      <c r="E2884" s="3">
        <v>4.44</v>
      </c>
      <c r="F2884" s="3">
        <v>19.55</v>
      </c>
      <c r="G2884" s="3">
        <v>34.37</v>
      </c>
      <c r="H2884" s="3">
        <v>0.0</v>
      </c>
      <c r="I2884" s="3">
        <v>6.93</v>
      </c>
      <c r="J2884" s="3">
        <v>0.0</v>
      </c>
      <c r="K2884" s="4">
        <f t="shared" si="1"/>
        <v>1563.4994</v>
      </c>
      <c r="L2884" s="4">
        <f t="shared" si="2"/>
        <v>3.151929575</v>
      </c>
    </row>
    <row r="2885">
      <c r="A2885" s="3" t="s">
        <v>172</v>
      </c>
      <c r="B2885" s="3">
        <v>4.74</v>
      </c>
      <c r="C2885" s="3">
        <v>5.86</v>
      </c>
      <c r="D2885" s="3">
        <v>70.9</v>
      </c>
      <c r="E2885" s="3">
        <v>4.24</v>
      </c>
      <c r="F2885" s="3">
        <v>19.78</v>
      </c>
      <c r="G2885" s="3">
        <v>34.15</v>
      </c>
      <c r="H2885" s="3">
        <v>0.0</v>
      </c>
      <c r="I2885" s="3">
        <v>6.35</v>
      </c>
      <c r="J2885" s="3">
        <v>0.0</v>
      </c>
      <c r="K2885" s="4">
        <f t="shared" si="1"/>
        <v>1557.4709</v>
      </c>
      <c r="L2885" s="4">
        <f t="shared" si="2"/>
        <v>3.227546659</v>
      </c>
    </row>
    <row r="2886">
      <c r="A2886" s="3" t="s">
        <v>172</v>
      </c>
      <c r="B2886" s="3">
        <v>4.74</v>
      </c>
      <c r="C2886" s="3">
        <v>6.2</v>
      </c>
      <c r="D2886" s="3">
        <v>72.3</v>
      </c>
      <c r="E2886" s="3">
        <v>4.38</v>
      </c>
      <c r="F2886" s="3">
        <v>20.48</v>
      </c>
      <c r="G2886" s="3">
        <v>34.36</v>
      </c>
      <c r="H2886" s="3">
        <v>0.0</v>
      </c>
      <c r="I2886" s="3">
        <v>6.28</v>
      </c>
      <c r="J2886" s="3">
        <v>0.0</v>
      </c>
      <c r="K2886" s="4">
        <f t="shared" si="1"/>
        <v>1600.04</v>
      </c>
      <c r="L2886" s="4">
        <f t="shared" si="2"/>
        <v>3.266974576</v>
      </c>
    </row>
    <row r="2887">
      <c r="A2887" s="3" t="s">
        <v>172</v>
      </c>
      <c r="B2887" s="3">
        <v>4.74</v>
      </c>
      <c r="C2887" s="3">
        <v>6.55</v>
      </c>
      <c r="D2887" s="3">
        <v>73.9</v>
      </c>
      <c r="E2887" s="3">
        <v>3.51</v>
      </c>
      <c r="F2887" s="3">
        <v>21.53</v>
      </c>
      <c r="G2887" s="3">
        <v>34.78</v>
      </c>
      <c r="H2887" s="3">
        <v>0.0</v>
      </c>
      <c r="I2887" s="3">
        <v>5.87</v>
      </c>
      <c r="J2887" s="3">
        <v>0.0</v>
      </c>
      <c r="K2887" s="4">
        <f t="shared" si="1"/>
        <v>1673.1893</v>
      </c>
      <c r="L2887" s="4">
        <f t="shared" si="2"/>
        <v>3.263952262</v>
      </c>
    </row>
    <row r="2888">
      <c r="A2888" s="3" t="s">
        <v>172</v>
      </c>
      <c r="B2888" s="3">
        <v>4.74</v>
      </c>
      <c r="C2888" s="3">
        <v>6.89</v>
      </c>
      <c r="D2888" s="3">
        <v>75.0</v>
      </c>
      <c r="E2888" s="3">
        <v>3.22</v>
      </c>
      <c r="F2888" s="3">
        <v>22.81</v>
      </c>
      <c r="G2888" s="3">
        <v>35.14</v>
      </c>
      <c r="H2888" s="3">
        <v>0.0</v>
      </c>
      <c r="I2888" s="3">
        <v>5.48</v>
      </c>
      <c r="J2888" s="3">
        <v>0.0</v>
      </c>
      <c r="K2888" s="4">
        <f t="shared" si="1"/>
        <v>1755.1157</v>
      </c>
      <c r="L2888" s="4">
        <f t="shared" si="2"/>
        <v>3.204916918</v>
      </c>
    </row>
    <row r="2889">
      <c r="A2889" s="3" t="s">
        <v>172</v>
      </c>
      <c r="B2889" s="3">
        <v>4.74</v>
      </c>
      <c r="C2889" s="3">
        <v>7.25</v>
      </c>
      <c r="D2889" s="3">
        <v>75.5</v>
      </c>
      <c r="E2889" s="3">
        <v>3.23</v>
      </c>
      <c r="F2889" s="3">
        <v>24.09</v>
      </c>
      <c r="G2889" s="3">
        <v>35.58</v>
      </c>
      <c r="H2889" s="3">
        <v>0.0</v>
      </c>
      <c r="I2889" s="3">
        <v>5.16</v>
      </c>
      <c r="J2889" s="3">
        <v>0.0</v>
      </c>
      <c r="K2889" s="4">
        <f t="shared" si="1"/>
        <v>1846.2645</v>
      </c>
      <c r="L2889" s="4">
        <f t="shared" si="2"/>
        <v>3.087450363</v>
      </c>
    </row>
    <row r="2890">
      <c r="A2890" s="3" t="s">
        <v>172</v>
      </c>
      <c r="B2890" s="3">
        <v>4.74</v>
      </c>
      <c r="C2890" s="3">
        <v>7.58</v>
      </c>
      <c r="D2890" s="3">
        <v>77.1</v>
      </c>
      <c r="E2890" s="3">
        <v>2.98</v>
      </c>
      <c r="F2890" s="3">
        <v>25.37</v>
      </c>
      <c r="G2890" s="3">
        <v>36.1</v>
      </c>
      <c r="H2890" s="3">
        <v>0.0</v>
      </c>
      <c r="I2890" s="3">
        <v>4.85</v>
      </c>
      <c r="J2890" s="3">
        <v>0.0</v>
      </c>
      <c r="K2890" s="4">
        <f t="shared" si="1"/>
        <v>1946.8469</v>
      </c>
      <c r="L2890" s="4">
        <f t="shared" si="2"/>
        <v>3.053352577</v>
      </c>
    </row>
    <row r="2891">
      <c r="A2891" s="3" t="s">
        <v>172</v>
      </c>
      <c r="B2891" s="3">
        <v>4.74</v>
      </c>
      <c r="C2891" s="3">
        <v>7.94</v>
      </c>
      <c r="D2891" s="3">
        <v>77.0</v>
      </c>
      <c r="E2891" s="3">
        <v>2.79</v>
      </c>
      <c r="F2891" s="3">
        <v>26.77</v>
      </c>
      <c r="G2891" s="3">
        <v>36.68</v>
      </c>
      <c r="H2891" s="3">
        <v>0.0</v>
      </c>
      <c r="I2891" s="3">
        <v>4.42</v>
      </c>
      <c r="J2891" s="3">
        <v>0.0</v>
      </c>
      <c r="K2891" s="4">
        <f t="shared" si="1"/>
        <v>2062.0553</v>
      </c>
      <c r="L2891" s="4">
        <f t="shared" si="2"/>
        <v>2.875286613</v>
      </c>
    </row>
    <row r="2892">
      <c r="A2892" s="3" t="s">
        <v>172</v>
      </c>
      <c r="B2892" s="3">
        <v>4.74</v>
      </c>
      <c r="C2892" s="3">
        <v>8.27</v>
      </c>
      <c r="D2892" s="3">
        <v>77.0</v>
      </c>
      <c r="E2892" s="3">
        <v>2.82</v>
      </c>
      <c r="F2892" s="3">
        <v>28.28</v>
      </c>
      <c r="G2892" s="3">
        <v>37.11</v>
      </c>
      <c r="H2892" s="3">
        <v>0.0</v>
      </c>
      <c r="I2892" s="3">
        <v>4.01</v>
      </c>
      <c r="J2892" s="3">
        <v>0.0</v>
      </c>
      <c r="K2892" s="4">
        <f t="shared" si="1"/>
        <v>2176.9105</v>
      </c>
      <c r="L2892" s="4">
        <f t="shared" si="2"/>
        <v>2.72358464</v>
      </c>
    </row>
    <row r="2893">
      <c r="A2893" s="3" t="s">
        <v>172</v>
      </c>
      <c r="B2893" s="3">
        <v>4.74</v>
      </c>
      <c r="C2893" s="3">
        <v>8.63</v>
      </c>
      <c r="D2893" s="3">
        <v>78.2</v>
      </c>
      <c r="E2893" s="3">
        <v>2.93</v>
      </c>
      <c r="F2893" s="3">
        <v>29.91</v>
      </c>
      <c r="G2893" s="3">
        <v>37.49</v>
      </c>
      <c r="H2893" s="3">
        <v>0.0</v>
      </c>
      <c r="I2893" s="3">
        <v>3.56</v>
      </c>
      <c r="J2893" s="3">
        <v>0.0</v>
      </c>
      <c r="K2893" s="4">
        <f t="shared" si="1"/>
        <v>2300.1082</v>
      </c>
      <c r="L2893" s="4">
        <f t="shared" si="2"/>
        <v>2.658674927</v>
      </c>
    </row>
    <row r="2894">
      <c r="A2894" s="3" t="s">
        <v>172</v>
      </c>
      <c r="B2894" s="3">
        <v>4.74</v>
      </c>
      <c r="C2894" s="3">
        <v>8.97</v>
      </c>
      <c r="D2894" s="3">
        <v>79.6</v>
      </c>
      <c r="E2894" s="3">
        <v>3.14</v>
      </c>
      <c r="F2894" s="3">
        <v>31.07</v>
      </c>
      <c r="G2894" s="3">
        <v>37.76</v>
      </c>
      <c r="H2894" s="3">
        <v>0.0</v>
      </c>
      <c r="I2894" s="3">
        <v>3.14</v>
      </c>
      <c r="J2894" s="3">
        <v>0.0</v>
      </c>
      <c r="K2894" s="4">
        <f t="shared" si="1"/>
        <v>2391.1625</v>
      </c>
      <c r="L2894" s="4">
        <f t="shared" si="2"/>
        <v>2.649824092</v>
      </c>
    </row>
    <row r="2895">
      <c r="A2895" s="3" t="s">
        <v>172</v>
      </c>
      <c r="B2895" s="3">
        <v>4.74</v>
      </c>
      <c r="C2895" s="3">
        <v>9.3</v>
      </c>
      <c r="D2895" s="3">
        <v>80.3</v>
      </c>
      <c r="E2895" s="3">
        <v>3.39</v>
      </c>
      <c r="F2895" s="3">
        <v>32.12</v>
      </c>
      <c r="G2895" s="3">
        <v>37.98</v>
      </c>
      <c r="H2895" s="3">
        <v>0.0</v>
      </c>
      <c r="I2895" s="3">
        <v>2.76</v>
      </c>
      <c r="J2895" s="3">
        <v>0.0</v>
      </c>
      <c r="K2895" s="4">
        <f t="shared" si="1"/>
        <v>2474.1748</v>
      </c>
      <c r="L2895" s="4">
        <f t="shared" si="2"/>
        <v>2.606157819</v>
      </c>
    </row>
    <row r="2896">
      <c r="A2896" s="3" t="s">
        <v>172</v>
      </c>
      <c r="B2896" s="3">
        <v>4.74</v>
      </c>
      <c r="C2896" s="3">
        <v>9.66</v>
      </c>
      <c r="D2896" s="3">
        <v>81.2</v>
      </c>
      <c r="E2896" s="3">
        <v>3.66</v>
      </c>
      <c r="F2896" s="3">
        <v>33.05</v>
      </c>
      <c r="G2896" s="3">
        <v>38.12</v>
      </c>
      <c r="H2896" s="3">
        <v>0.0</v>
      </c>
      <c r="I2896" s="3">
        <v>2.36</v>
      </c>
      <c r="J2896" s="3">
        <v>0.0</v>
      </c>
      <c r="K2896" s="4">
        <f t="shared" si="1"/>
        <v>2545.4369</v>
      </c>
      <c r="L2896" s="4">
        <f t="shared" si="2"/>
        <v>2.590297956</v>
      </c>
    </row>
    <row r="2897">
      <c r="A2897" s="3" t="s">
        <v>172</v>
      </c>
      <c r="B2897" s="3">
        <v>4.74</v>
      </c>
      <c r="C2897" s="3">
        <v>9.99</v>
      </c>
      <c r="D2897" s="3">
        <v>82.3</v>
      </c>
      <c r="E2897" s="3">
        <v>3.9</v>
      </c>
      <c r="F2897" s="3">
        <v>33.75</v>
      </c>
      <c r="G2897" s="3">
        <v>38.33</v>
      </c>
      <c r="H2897" s="3">
        <v>0.0</v>
      </c>
      <c r="I2897" s="3">
        <v>2.09</v>
      </c>
      <c r="J2897" s="3">
        <v>0.0</v>
      </c>
      <c r="K2897" s="4">
        <f t="shared" si="1"/>
        <v>2608.2514</v>
      </c>
      <c r="L2897" s="4">
        <f t="shared" si="2"/>
        <v>2.596870072</v>
      </c>
    </row>
    <row r="2898">
      <c r="A2898" s="3" t="s">
        <v>172</v>
      </c>
      <c r="B2898" s="3">
        <v>4.74</v>
      </c>
      <c r="C2898" s="3">
        <v>10.35</v>
      </c>
      <c r="D2898" s="3">
        <v>83.8</v>
      </c>
      <c r="E2898" s="3">
        <v>4.1</v>
      </c>
      <c r="F2898" s="3">
        <v>34.21</v>
      </c>
      <c r="G2898" s="3">
        <v>38.96</v>
      </c>
      <c r="H2898" s="3">
        <v>0.0</v>
      </c>
      <c r="I2898" s="3">
        <v>1.89</v>
      </c>
      <c r="J2898" s="3">
        <v>0.0</v>
      </c>
      <c r="K2898" s="4">
        <f t="shared" si="1"/>
        <v>2688.2057</v>
      </c>
      <c r="L2898" s="4">
        <f t="shared" si="2"/>
        <v>2.612314973</v>
      </c>
    </row>
    <row r="2899">
      <c r="A2899" s="3" t="s">
        <v>172</v>
      </c>
      <c r="B2899" s="3">
        <v>4.74</v>
      </c>
      <c r="C2899" s="3">
        <v>10.69</v>
      </c>
      <c r="D2899" s="3">
        <v>79.0</v>
      </c>
      <c r="E2899" s="3">
        <v>2.78</v>
      </c>
      <c r="F2899" s="3">
        <v>34.56</v>
      </c>
      <c r="G2899" s="3">
        <v>38.32</v>
      </c>
      <c r="H2899" s="3">
        <v>0.0</v>
      </c>
      <c r="I2899" s="3">
        <v>0.0</v>
      </c>
      <c r="J2899" s="3">
        <v>0.0</v>
      </c>
      <c r="K2899" s="4">
        <f t="shared" si="1"/>
        <v>2662.816</v>
      </c>
      <c r="L2899" s="4">
        <f t="shared" si="2"/>
        <v>2.343759389</v>
      </c>
    </row>
    <row r="2900">
      <c r="A2900" s="3" t="s">
        <v>34</v>
      </c>
      <c r="B2900" s="3">
        <v>4.97</v>
      </c>
      <c r="C2900" s="3">
        <v>0.36</v>
      </c>
      <c r="D2900" s="3">
        <v>9.31</v>
      </c>
      <c r="E2900" s="3">
        <v>3.23</v>
      </c>
      <c r="F2900" s="3">
        <v>2.82</v>
      </c>
      <c r="G2900" s="3">
        <v>9.53</v>
      </c>
      <c r="H2900" s="3">
        <v>0.0</v>
      </c>
      <c r="I2900" s="3">
        <v>30.89</v>
      </c>
      <c r="J2900" s="3">
        <v>0.0</v>
      </c>
      <c r="K2900" s="4">
        <f t="shared" si="1"/>
        <v>98.7733</v>
      </c>
      <c r="L2900" s="4">
        <f t="shared" si="2"/>
        <v>0.8775256066</v>
      </c>
    </row>
    <row r="2901">
      <c r="A2901" s="3" t="s">
        <v>34</v>
      </c>
      <c r="B2901" s="3">
        <v>4.97</v>
      </c>
      <c r="C2901" s="3">
        <v>0.72</v>
      </c>
      <c r="D2901" s="3">
        <v>15.9</v>
      </c>
      <c r="E2901" s="3">
        <v>3.23</v>
      </c>
      <c r="F2901" s="3">
        <v>5.91</v>
      </c>
      <c r="G2901" s="3">
        <v>14.9</v>
      </c>
      <c r="H2901" s="3">
        <v>0.0</v>
      </c>
      <c r="I2901" s="3">
        <v>16.96</v>
      </c>
      <c r="J2901" s="3">
        <v>0.0</v>
      </c>
      <c r="K2901" s="4">
        <f t="shared" si="1"/>
        <v>256.9381</v>
      </c>
      <c r="L2901" s="4">
        <f t="shared" si="2"/>
        <v>0.9839334844</v>
      </c>
    </row>
    <row r="2902">
      <c r="A2902" s="3" t="s">
        <v>34</v>
      </c>
      <c r="B2902" s="3">
        <v>4.97</v>
      </c>
      <c r="C2902" s="3">
        <v>1.08</v>
      </c>
      <c r="D2902" s="3">
        <v>21.4</v>
      </c>
      <c r="E2902" s="3">
        <v>3.23</v>
      </c>
      <c r="F2902" s="3">
        <v>7.85</v>
      </c>
      <c r="G2902" s="3">
        <v>16.55</v>
      </c>
      <c r="H2902" s="3">
        <v>0.0</v>
      </c>
      <c r="I2902" s="3">
        <v>9.0</v>
      </c>
      <c r="J2902" s="3">
        <v>0.0</v>
      </c>
      <c r="K2902" s="4">
        <f t="shared" si="1"/>
        <v>335.525</v>
      </c>
      <c r="L2902" s="4">
        <f t="shared" si="2"/>
        <v>1.364905745</v>
      </c>
    </row>
    <row r="2903">
      <c r="A2903" s="3" t="s">
        <v>34</v>
      </c>
      <c r="B2903" s="3">
        <v>4.97</v>
      </c>
      <c r="C2903" s="3">
        <v>1.45</v>
      </c>
      <c r="D2903" s="3">
        <v>26.1</v>
      </c>
      <c r="E2903" s="3">
        <v>3.23</v>
      </c>
      <c r="F2903" s="3">
        <v>9.57</v>
      </c>
      <c r="G2903" s="3">
        <v>17.31</v>
      </c>
      <c r="H2903" s="3">
        <v>0.0</v>
      </c>
      <c r="I2903" s="3">
        <v>4.91</v>
      </c>
      <c r="J2903" s="3">
        <v>0.0</v>
      </c>
      <c r="K2903" s="4">
        <f t="shared" si="1"/>
        <v>391.221</v>
      </c>
      <c r="L2903" s="4">
        <f t="shared" si="2"/>
        <v>1.741240884</v>
      </c>
    </row>
    <row r="2904">
      <c r="A2904" s="3" t="s">
        <v>34</v>
      </c>
      <c r="B2904" s="3">
        <v>4.97</v>
      </c>
      <c r="C2904" s="3">
        <v>1.8</v>
      </c>
      <c r="D2904" s="3">
        <v>29.7</v>
      </c>
      <c r="E2904" s="3">
        <v>3.23</v>
      </c>
      <c r="F2904" s="3">
        <v>11.59</v>
      </c>
      <c r="G2904" s="3">
        <v>16.91</v>
      </c>
      <c r="H2904" s="3">
        <v>0.0</v>
      </c>
      <c r="I2904" s="3">
        <v>2.03</v>
      </c>
      <c r="J2904" s="3">
        <v>0.0</v>
      </c>
      <c r="K2904" s="4">
        <f t="shared" si="1"/>
        <v>420.2762</v>
      </c>
      <c r="L2904" s="4">
        <f t="shared" si="2"/>
        <v>2.098834052</v>
      </c>
    </row>
    <row r="2905">
      <c r="A2905" s="3" t="s">
        <v>34</v>
      </c>
      <c r="B2905" s="3">
        <v>4.97</v>
      </c>
      <c r="C2905" s="3">
        <v>2.17</v>
      </c>
      <c r="D2905" s="3">
        <v>31.1</v>
      </c>
      <c r="E2905" s="3">
        <v>3.23</v>
      </c>
      <c r="F2905" s="3">
        <v>14.33</v>
      </c>
      <c r="G2905" s="3">
        <v>15.67</v>
      </c>
      <c r="H2905" s="3">
        <v>0.0</v>
      </c>
      <c r="I2905" s="3">
        <v>1.39</v>
      </c>
      <c r="J2905" s="3">
        <v>0.0</v>
      </c>
      <c r="K2905" s="4">
        <f t="shared" si="1"/>
        <v>450.8978</v>
      </c>
      <c r="L2905" s="4">
        <f t="shared" si="2"/>
        <v>2.145075891</v>
      </c>
    </row>
    <row r="2906">
      <c r="A2906" s="3" t="s">
        <v>34</v>
      </c>
      <c r="B2906" s="3">
        <v>4.97</v>
      </c>
      <c r="C2906" s="3">
        <v>2.53</v>
      </c>
      <c r="D2906" s="3">
        <v>32.1</v>
      </c>
      <c r="E2906" s="3">
        <v>3.23</v>
      </c>
      <c r="F2906" s="3">
        <v>16.45</v>
      </c>
      <c r="G2906" s="3">
        <v>15.47</v>
      </c>
      <c r="H2906" s="3">
        <v>0.0</v>
      </c>
      <c r="I2906" s="3">
        <v>0.0</v>
      </c>
      <c r="J2906" s="3">
        <v>0.0</v>
      </c>
      <c r="K2906" s="4">
        <f t="shared" si="1"/>
        <v>509.9234</v>
      </c>
      <c r="L2906" s="4">
        <f t="shared" si="2"/>
        <v>2.020715268</v>
      </c>
    </row>
    <row r="2907">
      <c r="A2907" s="3" t="s">
        <v>35</v>
      </c>
      <c r="B2907" s="3">
        <v>2.59</v>
      </c>
      <c r="C2907" s="3">
        <v>0.19</v>
      </c>
      <c r="D2907" s="3">
        <v>3.74</v>
      </c>
      <c r="E2907" s="3">
        <v>3.17</v>
      </c>
      <c r="F2907" s="3">
        <v>-1.81</v>
      </c>
      <c r="G2907" s="3">
        <v>3.43</v>
      </c>
      <c r="H2907" s="3">
        <v>0.0</v>
      </c>
      <c r="I2907" s="3">
        <v>14.37</v>
      </c>
      <c r="J2907" s="3">
        <v>0.0</v>
      </c>
      <c r="K2907" s="4">
        <f t="shared" si="1"/>
        <v>15.041</v>
      </c>
      <c r="L2907" s="4">
        <f t="shared" si="2"/>
        <v>0.929964763</v>
      </c>
    </row>
    <row r="2908">
      <c r="A2908" s="3" t="s">
        <v>35</v>
      </c>
      <c r="B2908" s="3">
        <v>2.59</v>
      </c>
      <c r="C2908" s="3">
        <v>0.38</v>
      </c>
      <c r="D2908" s="3">
        <v>5.4</v>
      </c>
      <c r="E2908" s="3">
        <v>3.17</v>
      </c>
      <c r="F2908" s="3">
        <v>-1.88</v>
      </c>
      <c r="G2908" s="3">
        <v>6.16</v>
      </c>
      <c r="H2908" s="3">
        <v>0.0</v>
      </c>
      <c r="I2908" s="3">
        <v>13.48</v>
      </c>
      <c r="J2908" s="3">
        <v>0.0</v>
      </c>
      <c r="K2908" s="4">
        <f t="shared" si="1"/>
        <v>41.48</v>
      </c>
      <c r="L2908" s="4">
        <f t="shared" si="2"/>
        <v>0.7029893925</v>
      </c>
    </row>
    <row r="2909">
      <c r="A2909" s="3" t="s">
        <v>35</v>
      </c>
      <c r="B2909" s="3">
        <v>2.59</v>
      </c>
      <c r="C2909" s="3">
        <v>0.57</v>
      </c>
      <c r="D2909" s="3">
        <v>7.31</v>
      </c>
      <c r="E2909" s="3">
        <v>3.17</v>
      </c>
      <c r="F2909" s="3">
        <v>1.42</v>
      </c>
      <c r="G2909" s="3">
        <v>8.66</v>
      </c>
      <c r="H2909" s="3">
        <v>0.0</v>
      </c>
      <c r="I2909" s="3">
        <v>11.74</v>
      </c>
      <c r="J2909" s="3">
        <v>0.0</v>
      </c>
      <c r="K2909" s="4">
        <f t="shared" si="1"/>
        <v>77.012</v>
      </c>
      <c r="L2909" s="4">
        <f t="shared" si="2"/>
        <v>0.6938671895</v>
      </c>
    </row>
    <row r="2910">
      <c r="A2910" s="3" t="s">
        <v>35</v>
      </c>
      <c r="B2910" s="3">
        <v>2.59</v>
      </c>
      <c r="C2910" s="3">
        <v>0.75</v>
      </c>
      <c r="D2910" s="3">
        <v>8.85</v>
      </c>
      <c r="E2910" s="3">
        <v>3.17</v>
      </c>
      <c r="F2910" s="3">
        <v>4.71</v>
      </c>
      <c r="G2910" s="3">
        <v>10.45</v>
      </c>
      <c r="H2910" s="3">
        <v>0.0</v>
      </c>
      <c r="I2910" s="3">
        <v>8.8</v>
      </c>
      <c r="J2910" s="3">
        <v>0.0</v>
      </c>
      <c r="K2910" s="4">
        <f t="shared" si="1"/>
        <v>131.3866</v>
      </c>
      <c r="L2910" s="4">
        <f t="shared" si="2"/>
        <v>0.5961224356</v>
      </c>
    </row>
    <row r="2911">
      <c r="A2911" s="3" t="s">
        <v>35</v>
      </c>
      <c r="B2911" s="3">
        <v>2.59</v>
      </c>
      <c r="C2911" s="3">
        <v>0.94</v>
      </c>
      <c r="D2911" s="3">
        <v>10.7</v>
      </c>
      <c r="E2911" s="3">
        <v>3.17</v>
      </c>
      <c r="F2911" s="3">
        <v>5.82</v>
      </c>
      <c r="G2911" s="3">
        <v>11.68</v>
      </c>
      <c r="H2911" s="3">
        <v>0.0</v>
      </c>
      <c r="I2911" s="3">
        <v>6.16</v>
      </c>
      <c r="J2911" s="3">
        <v>0.0</v>
      </c>
      <c r="K2911" s="4">
        <f t="shared" si="1"/>
        <v>170.2948</v>
      </c>
      <c r="L2911" s="4">
        <f t="shared" si="2"/>
        <v>0.6723047327</v>
      </c>
    </row>
    <row r="2912">
      <c r="A2912" s="3" t="s">
        <v>35</v>
      </c>
      <c r="B2912" s="3">
        <v>2.59</v>
      </c>
      <c r="C2912" s="3">
        <v>1.13</v>
      </c>
      <c r="D2912" s="3">
        <v>12.4</v>
      </c>
      <c r="E2912" s="3">
        <v>3.17</v>
      </c>
      <c r="F2912" s="3">
        <v>6.52</v>
      </c>
      <c r="G2912" s="3">
        <v>12.49</v>
      </c>
      <c r="H2912" s="3">
        <v>0.0</v>
      </c>
      <c r="I2912" s="3">
        <v>4.5</v>
      </c>
      <c r="J2912" s="3">
        <v>0.0</v>
      </c>
      <c r="K2912" s="4">
        <f t="shared" si="1"/>
        <v>198.5105</v>
      </c>
      <c r="L2912" s="4">
        <f t="shared" si="2"/>
        <v>0.7745685996</v>
      </c>
    </row>
    <row r="2913">
      <c r="A2913" s="3" t="s">
        <v>35</v>
      </c>
      <c r="B2913" s="3">
        <v>2.59</v>
      </c>
      <c r="C2913" s="3">
        <v>1.32</v>
      </c>
      <c r="D2913" s="3">
        <v>14.1</v>
      </c>
      <c r="E2913" s="3">
        <v>3.17</v>
      </c>
      <c r="F2913" s="3">
        <v>7.99</v>
      </c>
      <c r="G2913" s="3">
        <v>13.06</v>
      </c>
      <c r="H2913" s="3">
        <v>0.0</v>
      </c>
      <c r="I2913" s="3">
        <v>2.8</v>
      </c>
      <c r="J2913" s="3">
        <v>0.0</v>
      </c>
      <c r="K2913" s="4">
        <f t="shared" si="1"/>
        <v>234.4037</v>
      </c>
      <c r="L2913" s="4">
        <f t="shared" si="2"/>
        <v>0.8481521409</v>
      </c>
    </row>
    <row r="2914">
      <c r="A2914" s="3" t="s">
        <v>35</v>
      </c>
      <c r="B2914" s="3">
        <v>2.59</v>
      </c>
      <c r="C2914" s="3">
        <v>1.51</v>
      </c>
      <c r="D2914" s="3">
        <v>15.9</v>
      </c>
      <c r="E2914" s="3">
        <v>3.17</v>
      </c>
      <c r="F2914" s="3">
        <v>8.69</v>
      </c>
      <c r="G2914" s="3">
        <v>12.91</v>
      </c>
      <c r="H2914" s="3">
        <v>0.0</v>
      </c>
      <c r="I2914" s="3">
        <v>1.01</v>
      </c>
      <c r="J2914" s="3">
        <v>0.0</v>
      </c>
      <c r="K2914" s="4">
        <f t="shared" si="1"/>
        <v>242.1842</v>
      </c>
      <c r="L2914" s="4">
        <f t="shared" si="2"/>
        <v>1.043874869</v>
      </c>
    </row>
    <row r="2915">
      <c r="A2915" s="3" t="s">
        <v>35</v>
      </c>
      <c r="B2915" s="3">
        <v>2.59</v>
      </c>
      <c r="C2915" s="3">
        <v>1.69</v>
      </c>
      <c r="D2915" s="3">
        <v>17.8</v>
      </c>
      <c r="E2915" s="3">
        <v>3.17</v>
      </c>
      <c r="F2915" s="3">
        <v>9.12</v>
      </c>
      <c r="G2915" s="3">
        <v>11.87</v>
      </c>
      <c r="H2915" s="3">
        <v>0.0</v>
      </c>
      <c r="I2915" s="3">
        <v>0.0</v>
      </c>
      <c r="J2915" s="3">
        <v>0.0</v>
      </c>
      <c r="K2915" s="4">
        <f t="shared" si="1"/>
        <v>224.0713</v>
      </c>
      <c r="L2915" s="4">
        <f t="shared" si="2"/>
        <v>1.4140142</v>
      </c>
    </row>
    <row r="2916">
      <c r="A2916" s="3" t="s">
        <v>36</v>
      </c>
      <c r="B2916" s="3">
        <v>4.7</v>
      </c>
      <c r="C2916" s="3">
        <v>0.34</v>
      </c>
      <c r="D2916" s="3">
        <v>19.6</v>
      </c>
      <c r="E2916" s="3">
        <v>2.89</v>
      </c>
      <c r="F2916" s="3">
        <v>4.29</v>
      </c>
      <c r="G2916" s="3">
        <v>19.73</v>
      </c>
      <c r="H2916" s="3">
        <v>0.0</v>
      </c>
      <c r="I2916" s="3">
        <v>106.8</v>
      </c>
      <c r="J2916" s="3">
        <v>0.0</v>
      </c>
      <c r="K2916" s="4">
        <f t="shared" si="1"/>
        <v>407.677</v>
      </c>
      <c r="L2916" s="4">
        <f t="shared" si="2"/>
        <v>0.9423146265</v>
      </c>
    </row>
    <row r="2917">
      <c r="A2917" s="3" t="s">
        <v>36</v>
      </c>
      <c r="B2917" s="3">
        <v>4.7</v>
      </c>
      <c r="C2917" s="3">
        <v>0.68</v>
      </c>
      <c r="D2917" s="3">
        <v>32.5</v>
      </c>
      <c r="E2917" s="3">
        <v>2.89</v>
      </c>
      <c r="F2917" s="3">
        <v>6.17</v>
      </c>
      <c r="G2917" s="3">
        <v>28.0</v>
      </c>
      <c r="H2917" s="3">
        <v>0.0</v>
      </c>
      <c r="I2917" s="3">
        <v>66.32</v>
      </c>
      <c r="J2917" s="3">
        <v>0.0</v>
      </c>
      <c r="K2917" s="4">
        <f t="shared" si="1"/>
        <v>822.0689</v>
      </c>
      <c r="L2917" s="4">
        <f t="shared" si="2"/>
        <v>1.284867972</v>
      </c>
    </row>
    <row r="2918">
      <c r="A2918" s="3" t="s">
        <v>36</v>
      </c>
      <c r="B2918" s="3">
        <v>4.7</v>
      </c>
      <c r="C2918" s="3">
        <v>1.02</v>
      </c>
      <c r="D2918" s="3">
        <v>41.9</v>
      </c>
      <c r="E2918" s="3">
        <v>2.89</v>
      </c>
      <c r="F2918" s="3">
        <v>5.94</v>
      </c>
      <c r="G2918" s="3">
        <v>31.57</v>
      </c>
      <c r="H2918" s="3">
        <v>0.0</v>
      </c>
      <c r="I2918" s="3">
        <v>28.35</v>
      </c>
      <c r="J2918" s="3">
        <v>0.0</v>
      </c>
      <c r="K2918" s="4">
        <f t="shared" si="1"/>
        <v>1031.9485</v>
      </c>
      <c r="L2918" s="4">
        <f t="shared" si="2"/>
        <v>1.701257379</v>
      </c>
    </row>
    <row r="2919">
      <c r="A2919" s="3" t="s">
        <v>36</v>
      </c>
      <c r="B2919" s="3">
        <v>4.7</v>
      </c>
      <c r="C2919" s="3">
        <v>1.37</v>
      </c>
      <c r="D2919" s="3">
        <v>50.6</v>
      </c>
      <c r="E2919" s="3">
        <v>2.89</v>
      </c>
      <c r="F2919" s="3">
        <v>8.81</v>
      </c>
      <c r="G2919" s="3">
        <v>31.98</v>
      </c>
      <c r="H2919" s="3">
        <v>0.0</v>
      </c>
      <c r="I2919" s="3">
        <v>17.64</v>
      </c>
      <c r="J2919" s="3">
        <v>0.0</v>
      </c>
      <c r="K2919" s="4">
        <f t="shared" si="1"/>
        <v>1100.3365</v>
      </c>
      <c r="L2919" s="4">
        <f t="shared" si="2"/>
        <v>2.326888184</v>
      </c>
    </row>
    <row r="2920">
      <c r="A2920" s="3" t="s">
        <v>36</v>
      </c>
      <c r="B2920" s="3">
        <v>4.7</v>
      </c>
      <c r="C2920" s="3">
        <v>1.71</v>
      </c>
      <c r="D2920" s="3">
        <v>57.0</v>
      </c>
      <c r="E2920" s="3">
        <v>2.89</v>
      </c>
      <c r="F2920" s="3">
        <v>15.21</v>
      </c>
      <c r="G2920" s="3">
        <v>31.44</v>
      </c>
      <c r="H2920" s="3">
        <v>0.0</v>
      </c>
      <c r="I2920" s="3">
        <v>8.3</v>
      </c>
      <c r="J2920" s="3">
        <v>0.0</v>
      </c>
      <c r="K2920" s="4">
        <f t="shared" si="1"/>
        <v>1219.8177</v>
      </c>
      <c r="L2920" s="4">
        <f t="shared" si="2"/>
        <v>2.663512753</v>
      </c>
    </row>
    <row r="2921">
      <c r="A2921" s="3" t="s">
        <v>36</v>
      </c>
      <c r="B2921" s="3">
        <v>4.7</v>
      </c>
      <c r="C2921" s="3">
        <v>2.05</v>
      </c>
      <c r="D2921" s="3">
        <v>60.5</v>
      </c>
      <c r="E2921" s="3">
        <v>2.89</v>
      </c>
      <c r="F2921" s="3">
        <v>17.87</v>
      </c>
      <c r="G2921" s="3">
        <v>29.65</v>
      </c>
      <c r="H2921" s="3">
        <v>0.0</v>
      </c>
      <c r="I2921" s="3">
        <v>4.37</v>
      </c>
      <c r="J2921" s="3">
        <v>0.0</v>
      </c>
      <c r="K2921" s="4">
        <f t="shared" si="1"/>
        <v>1198.4594</v>
      </c>
      <c r="L2921" s="4">
        <f t="shared" si="2"/>
        <v>3.054129326</v>
      </c>
    </row>
    <row r="2922">
      <c r="A2922" s="3" t="s">
        <v>36</v>
      </c>
      <c r="B2922" s="3">
        <v>4.7</v>
      </c>
      <c r="C2922" s="3">
        <v>2.39</v>
      </c>
      <c r="D2922" s="3">
        <v>60.5</v>
      </c>
      <c r="E2922" s="3">
        <v>2.89</v>
      </c>
      <c r="F2922" s="3">
        <v>17.46</v>
      </c>
      <c r="G2922" s="3">
        <v>27.89</v>
      </c>
      <c r="H2922" s="3">
        <v>0.0</v>
      </c>
      <c r="I2922" s="3">
        <v>2.3</v>
      </c>
      <c r="J2922" s="3">
        <v>0.0</v>
      </c>
      <c r="K2922" s="4">
        <f t="shared" si="1"/>
        <v>1082.7037</v>
      </c>
      <c r="L2922" s="4">
        <f t="shared" si="2"/>
        <v>3.380657146</v>
      </c>
    </row>
    <row r="2923">
      <c r="A2923" s="3" t="s">
        <v>36</v>
      </c>
      <c r="B2923" s="3">
        <v>4.7</v>
      </c>
      <c r="C2923" s="3">
        <v>2.74</v>
      </c>
      <c r="D2923" s="3">
        <v>60.0</v>
      </c>
      <c r="E2923" s="3">
        <v>2.89</v>
      </c>
      <c r="F2923" s="3">
        <v>15.96</v>
      </c>
      <c r="G2923" s="3">
        <v>26.14</v>
      </c>
      <c r="H2923" s="3">
        <v>0.0</v>
      </c>
      <c r="I2923" s="3">
        <v>1.18</v>
      </c>
      <c r="J2923" s="3">
        <v>0.0</v>
      </c>
      <c r="K2923" s="4">
        <f t="shared" si="1"/>
        <v>938.0212</v>
      </c>
      <c r="L2923" s="4">
        <f t="shared" si="2"/>
        <v>3.837866351</v>
      </c>
    </row>
    <row r="2924">
      <c r="A2924" s="3" t="s">
        <v>36</v>
      </c>
      <c r="B2924" s="3">
        <v>4.7</v>
      </c>
      <c r="C2924" s="3">
        <v>3.08</v>
      </c>
      <c r="D2924" s="3">
        <v>61.5</v>
      </c>
      <c r="E2924" s="3">
        <v>2.89</v>
      </c>
      <c r="F2924" s="3">
        <v>15.55</v>
      </c>
      <c r="G2924" s="3">
        <v>24.58</v>
      </c>
      <c r="H2924" s="3">
        <v>0.0</v>
      </c>
      <c r="I2924" s="3">
        <v>0.62</v>
      </c>
      <c r="J2924" s="3">
        <v>0.0</v>
      </c>
      <c r="K2924" s="4">
        <f t="shared" si="1"/>
        <v>845.9789</v>
      </c>
      <c r="L2924" s="4">
        <f t="shared" si="2"/>
        <v>4.470856188</v>
      </c>
    </row>
    <row r="2925">
      <c r="A2925" s="3" t="s">
        <v>36</v>
      </c>
      <c r="B2925" s="3">
        <v>4.7</v>
      </c>
      <c r="C2925" s="3">
        <v>3.42</v>
      </c>
      <c r="D2925" s="3">
        <v>61.5</v>
      </c>
      <c r="E2925" s="3">
        <v>2.89</v>
      </c>
      <c r="F2925" s="3">
        <v>16.29</v>
      </c>
      <c r="G2925" s="3">
        <v>23.19</v>
      </c>
      <c r="H2925" s="3">
        <v>0.0</v>
      </c>
      <c r="I2925" s="3">
        <v>0.33</v>
      </c>
      <c r="J2925" s="3">
        <v>0.0</v>
      </c>
      <c r="K2925" s="4">
        <f t="shared" si="1"/>
        <v>803.1402</v>
      </c>
      <c r="L2925" s="4">
        <f t="shared" si="2"/>
        <v>4.709327213</v>
      </c>
    </row>
    <row r="2926">
      <c r="A2926" s="3" t="s">
        <v>36</v>
      </c>
      <c r="B2926" s="3">
        <v>4.7</v>
      </c>
      <c r="C2926" s="3">
        <v>3.76</v>
      </c>
      <c r="D2926" s="3">
        <v>63.0</v>
      </c>
      <c r="E2926" s="3">
        <v>2.89</v>
      </c>
      <c r="F2926" s="3">
        <v>16.96</v>
      </c>
      <c r="G2926" s="3">
        <v>21.99</v>
      </c>
      <c r="H2926" s="3">
        <v>0.0</v>
      </c>
      <c r="I2926" s="3">
        <v>0.17</v>
      </c>
      <c r="J2926" s="3">
        <v>0.0</v>
      </c>
      <c r="K2926" s="4">
        <f t="shared" si="1"/>
        <v>771.2017</v>
      </c>
      <c r="L2926" s="4">
        <f t="shared" si="2"/>
        <v>5.146513552</v>
      </c>
    </row>
    <row r="2927">
      <c r="A2927" s="3" t="s">
        <v>36</v>
      </c>
      <c r="B2927" s="3">
        <v>4.7</v>
      </c>
      <c r="C2927" s="3">
        <v>4.11</v>
      </c>
      <c r="D2927" s="3">
        <v>64.0</v>
      </c>
      <c r="E2927" s="3">
        <v>2.89</v>
      </c>
      <c r="F2927" s="3">
        <v>17.21</v>
      </c>
      <c r="G2927" s="3">
        <v>20.84</v>
      </c>
      <c r="H2927" s="3">
        <v>0.0</v>
      </c>
      <c r="I2927" s="3">
        <v>0.0</v>
      </c>
      <c r="J2927" s="3">
        <v>0.0</v>
      </c>
      <c r="K2927" s="4">
        <f t="shared" si="1"/>
        <v>730.4897</v>
      </c>
      <c r="L2927" s="4">
        <f t="shared" si="2"/>
        <v>5.607197473</v>
      </c>
    </row>
    <row r="2928">
      <c r="A2928" s="3" t="s">
        <v>37</v>
      </c>
      <c r="B2928" s="3">
        <v>8.21</v>
      </c>
      <c r="C2928" s="3">
        <v>0.6</v>
      </c>
      <c r="D2928" s="3">
        <v>14.6</v>
      </c>
      <c r="E2928" s="3">
        <v>6.69</v>
      </c>
      <c r="F2928" s="3">
        <v>4.56</v>
      </c>
      <c r="G2928" s="3">
        <v>9.68</v>
      </c>
      <c r="H2928" s="3">
        <v>0.0</v>
      </c>
      <c r="I2928" s="3">
        <v>17.85</v>
      </c>
      <c r="J2928" s="3">
        <v>0.0</v>
      </c>
      <c r="K2928" s="4">
        <f t="shared" si="1"/>
        <v>114.496</v>
      </c>
      <c r="L2928" s="4">
        <f t="shared" si="2"/>
        <v>1.861724427</v>
      </c>
    </row>
    <row r="2929">
      <c r="A2929" s="3" t="s">
        <v>37</v>
      </c>
      <c r="B2929" s="3">
        <v>8.21</v>
      </c>
      <c r="C2929" s="3">
        <v>1.19</v>
      </c>
      <c r="D2929" s="3">
        <v>31.5</v>
      </c>
      <c r="E2929" s="3">
        <v>6.69</v>
      </c>
      <c r="F2929" s="3">
        <v>6.39</v>
      </c>
      <c r="G2929" s="3">
        <v>13.08</v>
      </c>
      <c r="H2929" s="3">
        <v>0.0</v>
      </c>
      <c r="I2929" s="3">
        <v>8.12</v>
      </c>
      <c r="J2929" s="3">
        <v>0.0</v>
      </c>
      <c r="K2929" s="4">
        <f t="shared" si="1"/>
        <v>211.9185</v>
      </c>
      <c r="L2929" s="4">
        <f t="shared" si="2"/>
        <v>4.682224534</v>
      </c>
    </row>
    <row r="2930">
      <c r="A2930" s="3" t="s">
        <v>37</v>
      </c>
      <c r="B2930" s="3">
        <v>8.21</v>
      </c>
      <c r="C2930" s="3">
        <v>1.79</v>
      </c>
      <c r="D2930" s="3">
        <v>44.8</v>
      </c>
      <c r="E2930" s="3">
        <v>6.69</v>
      </c>
      <c r="F2930" s="3">
        <v>9.63</v>
      </c>
      <c r="G2930" s="3">
        <v>14.81</v>
      </c>
      <c r="H2930" s="3">
        <v>0.0</v>
      </c>
      <c r="I2930" s="3">
        <v>5.97</v>
      </c>
      <c r="J2930" s="3">
        <v>0.0</v>
      </c>
      <c r="K2930" s="4">
        <f t="shared" si="1"/>
        <v>312.073</v>
      </c>
      <c r="L2930" s="4">
        <f t="shared" si="2"/>
        <v>6.43131575</v>
      </c>
    </row>
    <row r="2931">
      <c r="A2931" s="3" t="s">
        <v>37</v>
      </c>
      <c r="B2931" s="3">
        <v>8.21</v>
      </c>
      <c r="C2931" s="3">
        <v>2.38</v>
      </c>
      <c r="D2931" s="3">
        <v>50.6</v>
      </c>
      <c r="E2931" s="3">
        <v>6.69</v>
      </c>
      <c r="F2931" s="3">
        <v>13.15</v>
      </c>
      <c r="G2931" s="3">
        <v>16.52</v>
      </c>
      <c r="H2931" s="3">
        <v>0.0</v>
      </c>
      <c r="I2931" s="3">
        <v>4.18</v>
      </c>
      <c r="J2931" s="3">
        <v>0.0</v>
      </c>
      <c r="K2931" s="4">
        <f t="shared" si="1"/>
        <v>445.8329</v>
      </c>
      <c r="L2931" s="4">
        <f t="shared" si="2"/>
        <v>5.742869133</v>
      </c>
    </row>
    <row r="2932">
      <c r="A2932" s="3" t="s">
        <v>37</v>
      </c>
      <c r="B2932" s="3">
        <v>8.21</v>
      </c>
      <c r="C2932" s="3">
        <v>2.99</v>
      </c>
      <c r="D2932" s="3">
        <v>55.6</v>
      </c>
      <c r="E2932" s="3">
        <v>6.69</v>
      </c>
      <c r="F2932" s="3">
        <v>14.93</v>
      </c>
      <c r="G2932" s="3">
        <v>16.97</v>
      </c>
      <c r="H2932" s="3">
        <v>0.0</v>
      </c>
      <c r="I2932" s="3">
        <v>2.37</v>
      </c>
      <c r="J2932" s="3">
        <v>0.0</v>
      </c>
      <c r="K2932" s="4">
        <f t="shared" si="1"/>
        <v>510.8858</v>
      </c>
      <c r="L2932" s="4">
        <f t="shared" si="2"/>
        <v>6.050980474</v>
      </c>
    </row>
    <row r="2933">
      <c r="A2933" s="3" t="s">
        <v>37</v>
      </c>
      <c r="B2933" s="3">
        <v>8.21</v>
      </c>
      <c r="C2933" s="3">
        <v>3.59</v>
      </c>
      <c r="D2933" s="3">
        <v>61.4</v>
      </c>
      <c r="E2933" s="3">
        <v>6.69</v>
      </c>
      <c r="F2933" s="3">
        <v>18.09</v>
      </c>
      <c r="G2933" s="3">
        <v>16.51</v>
      </c>
      <c r="H2933" s="3">
        <v>0.0</v>
      </c>
      <c r="I2933" s="3">
        <v>1.63</v>
      </c>
      <c r="J2933" s="3">
        <v>0.0</v>
      </c>
      <c r="K2933" s="4">
        <f t="shared" si="1"/>
        <v>599.8282</v>
      </c>
      <c r="L2933" s="4">
        <f t="shared" si="2"/>
        <v>6.285066291</v>
      </c>
    </row>
    <row r="2934">
      <c r="A2934" s="3" t="s">
        <v>37</v>
      </c>
      <c r="B2934" s="3">
        <v>8.21</v>
      </c>
      <c r="C2934" s="3">
        <v>4.18</v>
      </c>
      <c r="D2934" s="3">
        <v>66.0</v>
      </c>
      <c r="E2934" s="3">
        <v>6.69</v>
      </c>
      <c r="F2934" s="3">
        <v>21.26</v>
      </c>
      <c r="G2934" s="3">
        <v>16.39</v>
      </c>
      <c r="H2934" s="3">
        <v>0.0</v>
      </c>
      <c r="I2934" s="3">
        <v>1.31</v>
      </c>
      <c r="J2934" s="3">
        <v>0.0</v>
      </c>
      <c r="K2934" s="4">
        <f t="shared" si="1"/>
        <v>720.6197</v>
      </c>
      <c r="L2934" s="4">
        <f t="shared" si="2"/>
        <v>6.044797277</v>
      </c>
    </row>
    <row r="2935">
      <c r="A2935" s="3" t="s">
        <v>37</v>
      </c>
      <c r="B2935" s="3">
        <v>8.21</v>
      </c>
      <c r="C2935" s="3">
        <v>4.78</v>
      </c>
      <c r="D2935" s="3">
        <v>69.3</v>
      </c>
      <c r="E2935" s="3">
        <v>6.69</v>
      </c>
      <c r="F2935" s="3">
        <v>24.12</v>
      </c>
      <c r="G2935" s="3">
        <v>16.26</v>
      </c>
      <c r="H2935" s="3">
        <v>0.0</v>
      </c>
      <c r="I2935" s="3">
        <v>1.09</v>
      </c>
      <c r="J2935" s="3">
        <v>0.0</v>
      </c>
      <c r="K2935" s="4">
        <f t="shared" si="1"/>
        <v>846.162</v>
      </c>
      <c r="L2935" s="4">
        <f t="shared" si="2"/>
        <v>5.675615308</v>
      </c>
    </row>
    <row r="2936">
      <c r="A2936" s="3" t="s">
        <v>38</v>
      </c>
      <c r="B2936" s="3">
        <v>8.11</v>
      </c>
      <c r="C2936" s="3">
        <v>0.59</v>
      </c>
      <c r="D2936" s="3">
        <v>45.3</v>
      </c>
      <c r="E2936" s="3">
        <v>4.31</v>
      </c>
      <c r="F2936" s="3">
        <v>4.24</v>
      </c>
      <c r="G2936" s="3">
        <v>45.76</v>
      </c>
      <c r="H2936" s="3">
        <v>0.0</v>
      </c>
      <c r="I2936" s="3">
        <v>180.6</v>
      </c>
      <c r="J2936" s="3">
        <v>0.0</v>
      </c>
      <c r="K2936" s="4">
        <f t="shared" si="1"/>
        <v>2111.9552</v>
      </c>
      <c r="L2936" s="4">
        <f t="shared" si="2"/>
        <v>0.9716541336</v>
      </c>
    </row>
    <row r="2937">
      <c r="A2937" s="3" t="s">
        <v>38</v>
      </c>
      <c r="B2937" s="3">
        <v>8.11</v>
      </c>
      <c r="C2937" s="3">
        <v>1.18</v>
      </c>
      <c r="D2937" s="3">
        <v>59.8</v>
      </c>
      <c r="E2937" s="3">
        <v>4.31</v>
      </c>
      <c r="F2937" s="3">
        <v>11.75</v>
      </c>
      <c r="G2937" s="3">
        <v>48.85</v>
      </c>
      <c r="H2937" s="3">
        <v>0.0</v>
      </c>
      <c r="I2937" s="3">
        <v>41.99</v>
      </c>
      <c r="J2937" s="3">
        <v>0.0</v>
      </c>
      <c r="K2937" s="4">
        <f t="shared" si="1"/>
        <v>2524.385</v>
      </c>
      <c r="L2937" s="4">
        <f t="shared" si="2"/>
        <v>1.416598498</v>
      </c>
    </row>
    <row r="2938">
      <c r="A2938" s="3" t="s">
        <v>38</v>
      </c>
      <c r="B2938" s="3">
        <v>8.11</v>
      </c>
      <c r="C2938" s="3">
        <v>1.77</v>
      </c>
      <c r="D2938" s="3">
        <v>60.7</v>
      </c>
      <c r="E2938" s="3">
        <v>4.31</v>
      </c>
      <c r="F2938" s="3">
        <v>15.81</v>
      </c>
      <c r="G2938" s="3">
        <v>45.2</v>
      </c>
      <c r="H2938" s="3">
        <v>0.0</v>
      </c>
      <c r="I2938" s="3">
        <v>16.24</v>
      </c>
      <c r="J2938" s="3">
        <v>0.0</v>
      </c>
      <c r="K2938" s="4">
        <f t="shared" si="1"/>
        <v>2292.9961</v>
      </c>
      <c r="L2938" s="4">
        <f t="shared" si="2"/>
        <v>1.606845297</v>
      </c>
    </row>
    <row r="2939">
      <c r="A2939" s="3" t="s">
        <v>38</v>
      </c>
      <c r="B2939" s="3">
        <v>8.11</v>
      </c>
      <c r="C2939" s="3">
        <v>2.36</v>
      </c>
      <c r="D2939" s="3">
        <v>58.8</v>
      </c>
      <c r="E2939" s="3">
        <v>4.31</v>
      </c>
      <c r="F2939" s="3">
        <v>19.15</v>
      </c>
      <c r="G2939" s="3">
        <v>42.05</v>
      </c>
      <c r="H2939" s="3">
        <v>0.0</v>
      </c>
      <c r="I2939" s="3">
        <v>6.57</v>
      </c>
      <c r="J2939" s="3">
        <v>0.0</v>
      </c>
      <c r="K2939" s="4">
        <f t="shared" si="1"/>
        <v>2134.925</v>
      </c>
      <c r="L2939" s="4">
        <f t="shared" si="2"/>
        <v>1.619466726</v>
      </c>
    </row>
    <row r="2940">
      <c r="A2940" s="3" t="s">
        <v>38</v>
      </c>
      <c r="B2940" s="3">
        <v>8.11</v>
      </c>
      <c r="C2940" s="3">
        <v>2.95</v>
      </c>
      <c r="D2940" s="3">
        <v>57.9</v>
      </c>
      <c r="E2940" s="3">
        <v>4.31</v>
      </c>
      <c r="F2940" s="3">
        <v>20.97</v>
      </c>
      <c r="G2940" s="3">
        <v>38.14</v>
      </c>
      <c r="H2940" s="3">
        <v>0.0</v>
      </c>
      <c r="I2940" s="3">
        <v>2.06</v>
      </c>
      <c r="J2940" s="3">
        <v>0.0</v>
      </c>
      <c r="K2940" s="4">
        <f t="shared" si="1"/>
        <v>1894.4005</v>
      </c>
      <c r="L2940" s="4">
        <f t="shared" si="2"/>
        <v>1.769641636</v>
      </c>
    </row>
    <row r="2941">
      <c r="A2941" s="3" t="s">
        <v>38</v>
      </c>
      <c r="B2941" s="3">
        <v>8.11</v>
      </c>
      <c r="C2941" s="3">
        <v>3.54</v>
      </c>
      <c r="D2941" s="3">
        <v>56.9</v>
      </c>
      <c r="E2941" s="3">
        <v>4.31</v>
      </c>
      <c r="F2941" s="3">
        <v>21.99</v>
      </c>
      <c r="G2941" s="3">
        <v>34.5</v>
      </c>
      <c r="H2941" s="3">
        <v>0.0</v>
      </c>
      <c r="I2941" s="3">
        <v>0.42</v>
      </c>
      <c r="J2941" s="3">
        <v>0.0</v>
      </c>
      <c r="K2941" s="4">
        <f t="shared" si="1"/>
        <v>1673.8101</v>
      </c>
      <c r="L2941" s="4">
        <f t="shared" si="2"/>
        <v>1.934275579</v>
      </c>
    </row>
    <row r="2942">
      <c r="A2942" s="3" t="s">
        <v>38</v>
      </c>
      <c r="B2942" s="3">
        <v>8.11</v>
      </c>
      <c r="C2942" s="3">
        <v>4.13</v>
      </c>
      <c r="D2942" s="3">
        <v>55.9</v>
      </c>
      <c r="E2942" s="3">
        <v>4.31</v>
      </c>
      <c r="F2942" s="3">
        <v>22.39</v>
      </c>
      <c r="G2942" s="3">
        <v>31.16</v>
      </c>
      <c r="H2942" s="3">
        <v>0.0</v>
      </c>
      <c r="I2942" s="3">
        <v>0.0</v>
      </c>
      <c r="J2942" s="3">
        <v>0.0</v>
      </c>
      <c r="K2942" s="4">
        <f t="shared" si="1"/>
        <v>1472.2577</v>
      </c>
      <c r="L2942" s="4">
        <f t="shared" si="2"/>
        <v>2.122461306</v>
      </c>
    </row>
    <row r="2943">
      <c r="A2943" s="3" t="s">
        <v>39</v>
      </c>
      <c r="B2943" s="3">
        <v>4.57</v>
      </c>
      <c r="C2943" s="3">
        <v>0.33</v>
      </c>
      <c r="D2943" s="3">
        <v>12.2</v>
      </c>
      <c r="E2943" s="3">
        <v>4.07</v>
      </c>
      <c r="F2943" s="3">
        <v>3.43</v>
      </c>
      <c r="G2943" s="3">
        <v>9.04</v>
      </c>
      <c r="H2943" s="3">
        <v>0.0</v>
      </c>
      <c r="I2943" s="3">
        <v>34.04</v>
      </c>
      <c r="J2943" s="3">
        <v>0.0</v>
      </c>
      <c r="K2943" s="4">
        <f t="shared" si="1"/>
        <v>93.4865</v>
      </c>
      <c r="L2943" s="4">
        <f t="shared" si="2"/>
        <v>1.592101533</v>
      </c>
    </row>
    <row r="2944">
      <c r="A2944" s="3" t="s">
        <v>39</v>
      </c>
      <c r="B2944" s="3">
        <v>4.57</v>
      </c>
      <c r="C2944" s="3">
        <v>0.66</v>
      </c>
      <c r="D2944" s="3">
        <v>19.4</v>
      </c>
      <c r="E2944" s="3">
        <v>4.07</v>
      </c>
      <c r="F2944" s="3">
        <v>3.44</v>
      </c>
      <c r="G2944" s="3">
        <v>13.22</v>
      </c>
      <c r="H2944" s="3">
        <v>0.0</v>
      </c>
      <c r="I2944" s="3">
        <v>17.51</v>
      </c>
      <c r="J2944" s="3">
        <v>0.0</v>
      </c>
      <c r="K2944" s="4">
        <f t="shared" si="1"/>
        <v>186.602</v>
      </c>
      <c r="L2944" s="4">
        <f t="shared" si="2"/>
        <v>2.016913002</v>
      </c>
    </row>
    <row r="2945">
      <c r="A2945" s="3" t="s">
        <v>39</v>
      </c>
      <c r="B2945" s="3">
        <v>4.57</v>
      </c>
      <c r="C2945" s="3">
        <v>1.0</v>
      </c>
      <c r="D2945" s="3">
        <v>23.9</v>
      </c>
      <c r="E2945" s="3">
        <v>4.07</v>
      </c>
      <c r="F2945" s="3">
        <v>5.29</v>
      </c>
      <c r="G2945" s="3">
        <v>17.22</v>
      </c>
      <c r="H2945" s="3">
        <v>0.0</v>
      </c>
      <c r="I2945" s="3">
        <v>11.44</v>
      </c>
      <c r="J2945" s="3">
        <v>0.0</v>
      </c>
      <c r="K2945" s="4">
        <f t="shared" si="1"/>
        <v>324.5125</v>
      </c>
      <c r="L2945" s="4">
        <f t="shared" si="2"/>
        <v>1.760209545</v>
      </c>
    </row>
    <row r="2946">
      <c r="A2946" s="3" t="s">
        <v>39</v>
      </c>
      <c r="B2946" s="3">
        <v>4.57</v>
      </c>
      <c r="C2946" s="3">
        <v>1.33</v>
      </c>
      <c r="D2946" s="3">
        <v>26.0</v>
      </c>
      <c r="E2946" s="3">
        <v>4.07</v>
      </c>
      <c r="F2946" s="3">
        <v>8.85</v>
      </c>
      <c r="G2946" s="3">
        <v>17.5</v>
      </c>
      <c r="H2946" s="3">
        <v>0.0</v>
      </c>
      <c r="I2946" s="3">
        <v>5.83</v>
      </c>
      <c r="J2946" s="3">
        <v>0.0</v>
      </c>
      <c r="K2946" s="4">
        <f t="shared" si="1"/>
        <v>384.5725</v>
      </c>
      <c r="L2946" s="4">
        <f t="shared" si="2"/>
        <v>1.757795994</v>
      </c>
    </row>
    <row r="2947">
      <c r="A2947" s="3" t="s">
        <v>39</v>
      </c>
      <c r="B2947" s="3">
        <v>4.57</v>
      </c>
      <c r="C2947" s="3">
        <v>1.67</v>
      </c>
      <c r="D2947" s="3">
        <v>28.2</v>
      </c>
      <c r="E2947" s="3">
        <v>4.07</v>
      </c>
      <c r="F2947" s="3">
        <v>11.12</v>
      </c>
      <c r="G2947" s="3">
        <v>17.11</v>
      </c>
      <c r="H2947" s="3">
        <v>0.0</v>
      </c>
      <c r="I2947" s="3">
        <v>3.3</v>
      </c>
      <c r="J2947" s="3">
        <v>0.0</v>
      </c>
      <c r="K2947" s="4">
        <f t="shared" si="1"/>
        <v>416.4065</v>
      </c>
      <c r="L2947" s="4">
        <f t="shared" si="2"/>
        <v>1.909768459</v>
      </c>
    </row>
    <row r="2948">
      <c r="A2948" s="3" t="s">
        <v>39</v>
      </c>
      <c r="B2948" s="3">
        <v>4.57</v>
      </c>
      <c r="C2948" s="3">
        <v>2.0</v>
      </c>
      <c r="D2948" s="3">
        <v>30.6</v>
      </c>
      <c r="E2948" s="3">
        <v>4.07</v>
      </c>
      <c r="F2948" s="3">
        <v>13.66</v>
      </c>
      <c r="G2948" s="3">
        <v>16.29</v>
      </c>
      <c r="H2948" s="3">
        <v>0.0</v>
      </c>
      <c r="I2948" s="3">
        <v>2.18</v>
      </c>
      <c r="J2948" s="3">
        <v>0.0</v>
      </c>
      <c r="K2948" s="4">
        <f t="shared" si="1"/>
        <v>451.9597</v>
      </c>
      <c r="L2948" s="4">
        <f t="shared" si="2"/>
        <v>2.071777639</v>
      </c>
    </row>
    <row r="2949">
      <c r="A2949" s="3" t="s">
        <v>39</v>
      </c>
      <c r="B2949" s="3">
        <v>4.57</v>
      </c>
      <c r="C2949" s="3">
        <v>2.32</v>
      </c>
      <c r="D2949" s="3">
        <v>33.1</v>
      </c>
      <c r="E2949" s="3">
        <v>4.07</v>
      </c>
      <c r="F2949" s="3">
        <v>14.34</v>
      </c>
      <c r="G2949" s="3">
        <v>16.35</v>
      </c>
      <c r="H2949" s="3">
        <v>0.0</v>
      </c>
      <c r="I2949" s="3">
        <v>1.63</v>
      </c>
      <c r="J2949" s="3">
        <v>0.0</v>
      </c>
      <c r="K2949" s="4">
        <f t="shared" si="1"/>
        <v>472.9581</v>
      </c>
      <c r="L2949" s="4">
        <f t="shared" si="2"/>
        <v>2.316505416</v>
      </c>
    </row>
    <row r="2950">
      <c r="A2950" s="3" t="s">
        <v>173</v>
      </c>
      <c r="B2950" s="3">
        <v>6.5</v>
      </c>
      <c r="C2950" s="3">
        <v>0.47</v>
      </c>
      <c r="D2950" s="3">
        <v>22.2</v>
      </c>
      <c r="E2950" s="3">
        <v>2.81</v>
      </c>
      <c r="F2950" s="3">
        <v>-3.85</v>
      </c>
      <c r="G2950" s="3">
        <v>16.14</v>
      </c>
      <c r="H2950" s="3">
        <v>0.0</v>
      </c>
      <c r="I2950" s="3">
        <v>82.49</v>
      </c>
      <c r="J2950" s="3">
        <v>0.0</v>
      </c>
      <c r="K2950" s="4">
        <f t="shared" si="1"/>
        <v>275.3221</v>
      </c>
      <c r="L2950" s="4">
        <f t="shared" si="2"/>
        <v>1.790048819</v>
      </c>
    </row>
    <row r="2951">
      <c r="A2951" s="3" t="s">
        <v>173</v>
      </c>
      <c r="B2951" s="3">
        <v>6.5</v>
      </c>
      <c r="C2951" s="3">
        <v>0.95</v>
      </c>
      <c r="D2951" s="3">
        <v>43.4</v>
      </c>
      <c r="E2951" s="3">
        <v>3.47</v>
      </c>
      <c r="F2951" s="3">
        <v>-1.38</v>
      </c>
      <c r="G2951" s="3">
        <v>24.37</v>
      </c>
      <c r="H2951" s="3">
        <v>0.0</v>
      </c>
      <c r="I2951" s="3">
        <v>52.72</v>
      </c>
      <c r="J2951" s="3">
        <v>0.0</v>
      </c>
      <c r="K2951" s="4">
        <f t="shared" si="1"/>
        <v>595.8013</v>
      </c>
      <c r="L2951" s="4">
        <f t="shared" si="2"/>
        <v>3.161389544</v>
      </c>
    </row>
    <row r="2952">
      <c r="A2952" s="3" t="s">
        <v>173</v>
      </c>
      <c r="B2952" s="3">
        <v>6.5</v>
      </c>
      <c r="C2952" s="3">
        <v>1.42</v>
      </c>
      <c r="D2952" s="3">
        <v>60.2</v>
      </c>
      <c r="E2952" s="3">
        <v>3.04</v>
      </c>
      <c r="F2952" s="3">
        <v>-0.63</v>
      </c>
      <c r="G2952" s="3">
        <v>30.01</v>
      </c>
      <c r="H2952" s="3">
        <v>0.0</v>
      </c>
      <c r="I2952" s="3">
        <v>40.22</v>
      </c>
      <c r="J2952" s="3">
        <v>0.0</v>
      </c>
      <c r="K2952" s="4">
        <f t="shared" si="1"/>
        <v>900.997</v>
      </c>
      <c r="L2952" s="4">
        <f t="shared" si="2"/>
        <v>4.022255346</v>
      </c>
    </row>
    <row r="2953">
      <c r="A2953" s="3" t="s">
        <v>173</v>
      </c>
      <c r="B2953" s="3">
        <v>6.5</v>
      </c>
      <c r="C2953" s="3">
        <v>1.9</v>
      </c>
      <c r="D2953" s="3">
        <v>69.6</v>
      </c>
      <c r="E2953" s="3">
        <v>2.05</v>
      </c>
      <c r="F2953" s="3">
        <v>8.67</v>
      </c>
      <c r="G2953" s="3">
        <v>34.64</v>
      </c>
      <c r="H2953" s="3">
        <v>0.0</v>
      </c>
      <c r="I2953" s="3">
        <v>31.23</v>
      </c>
      <c r="J2953" s="3">
        <v>0.0</v>
      </c>
      <c r="K2953" s="4">
        <f t="shared" si="1"/>
        <v>1275.0985</v>
      </c>
      <c r="L2953" s="4">
        <f t="shared" si="2"/>
        <v>3.799047681</v>
      </c>
    </row>
    <row r="2954">
      <c r="A2954" s="3" t="s">
        <v>173</v>
      </c>
      <c r="B2954" s="3">
        <v>6.5</v>
      </c>
      <c r="C2954" s="3">
        <v>2.37</v>
      </c>
      <c r="D2954" s="3">
        <v>72.5</v>
      </c>
      <c r="E2954" s="3">
        <v>2.0</v>
      </c>
      <c r="F2954" s="3">
        <v>11.4</v>
      </c>
      <c r="G2954" s="3">
        <v>38.52</v>
      </c>
      <c r="H2954" s="3">
        <v>0.0</v>
      </c>
      <c r="I2954" s="3">
        <v>22.7</v>
      </c>
      <c r="J2954" s="3">
        <v>0.0</v>
      </c>
      <c r="K2954" s="4">
        <f t="shared" si="1"/>
        <v>1613.7504</v>
      </c>
      <c r="L2954" s="4">
        <f t="shared" si="2"/>
        <v>3.257164181</v>
      </c>
    </row>
    <row r="2955">
      <c r="A2955" s="3" t="s">
        <v>173</v>
      </c>
      <c r="B2955" s="3">
        <v>6.5</v>
      </c>
      <c r="C2955" s="3">
        <v>2.84</v>
      </c>
      <c r="D2955" s="3">
        <v>74.3</v>
      </c>
      <c r="E2955" s="3">
        <v>2.02</v>
      </c>
      <c r="F2955" s="3">
        <v>11.54</v>
      </c>
      <c r="G2955" s="3">
        <v>39.29</v>
      </c>
      <c r="H2955" s="3">
        <v>0.0</v>
      </c>
      <c r="I2955" s="3">
        <v>15.52</v>
      </c>
      <c r="J2955" s="3">
        <v>0.0</v>
      </c>
      <c r="K2955" s="4">
        <f t="shared" si="1"/>
        <v>1676.8757</v>
      </c>
      <c r="L2955" s="4">
        <f t="shared" si="2"/>
        <v>3.292128331</v>
      </c>
    </row>
    <row r="2956">
      <c r="A2956" s="3" t="s">
        <v>173</v>
      </c>
      <c r="B2956" s="3">
        <v>6.5</v>
      </c>
      <c r="C2956" s="3">
        <v>3.3</v>
      </c>
      <c r="D2956" s="3">
        <v>75.8</v>
      </c>
      <c r="E2956" s="3">
        <v>2.01</v>
      </c>
      <c r="F2956" s="3">
        <v>12.92</v>
      </c>
      <c r="G2956" s="3">
        <v>40.32</v>
      </c>
      <c r="H2956" s="3">
        <v>0.0</v>
      </c>
      <c r="I2956" s="3">
        <v>11.35</v>
      </c>
      <c r="J2956" s="3">
        <v>0.0</v>
      </c>
      <c r="K2956" s="4">
        <f t="shared" si="1"/>
        <v>1792.6288</v>
      </c>
      <c r="L2956" s="4">
        <f t="shared" si="2"/>
        <v>3.205147658</v>
      </c>
    </row>
    <row r="2957">
      <c r="A2957" s="3" t="s">
        <v>173</v>
      </c>
      <c r="B2957" s="3">
        <v>6.5</v>
      </c>
      <c r="C2957" s="3">
        <v>3.78</v>
      </c>
      <c r="D2957" s="3">
        <v>77.2</v>
      </c>
      <c r="E2957" s="3">
        <v>2.05</v>
      </c>
      <c r="F2957" s="3">
        <v>16.18</v>
      </c>
      <c r="G2957" s="3">
        <v>39.87</v>
      </c>
      <c r="H2957" s="3">
        <v>0.0</v>
      </c>
      <c r="I2957" s="3">
        <v>7.3</v>
      </c>
      <c r="J2957" s="3">
        <v>0.0</v>
      </c>
      <c r="K2957" s="4">
        <f t="shared" si="1"/>
        <v>1851.4093</v>
      </c>
      <c r="L2957" s="4">
        <f t="shared" si="2"/>
        <v>3.21908289</v>
      </c>
    </row>
    <row r="2958">
      <c r="A2958" s="3" t="s">
        <v>173</v>
      </c>
      <c r="B2958" s="3">
        <v>6.5</v>
      </c>
      <c r="C2958" s="3">
        <v>4.25</v>
      </c>
      <c r="D2958" s="3">
        <v>79.3</v>
      </c>
      <c r="E2958" s="3">
        <v>2.08</v>
      </c>
      <c r="F2958" s="3">
        <v>18.85</v>
      </c>
      <c r="G2958" s="3">
        <v>39.64</v>
      </c>
      <c r="H2958" s="3">
        <v>0.0</v>
      </c>
      <c r="I2958" s="3">
        <v>4.23</v>
      </c>
      <c r="J2958" s="3">
        <v>0.0</v>
      </c>
      <c r="K2958" s="4">
        <f t="shared" si="1"/>
        <v>1926.6521</v>
      </c>
      <c r="L2958" s="4">
        <f t="shared" si="2"/>
        <v>3.263946823</v>
      </c>
    </row>
    <row r="2959">
      <c r="A2959" s="3" t="s">
        <v>173</v>
      </c>
      <c r="B2959" s="3">
        <v>6.5</v>
      </c>
      <c r="C2959" s="3">
        <v>4.73</v>
      </c>
      <c r="D2959" s="3">
        <v>81.3</v>
      </c>
      <c r="E2959" s="3">
        <v>2.08</v>
      </c>
      <c r="F2959" s="3">
        <v>23.39</v>
      </c>
      <c r="G2959" s="3">
        <v>37.47</v>
      </c>
      <c r="H2959" s="3">
        <v>0.0</v>
      </c>
      <c r="I2959" s="3">
        <v>2.11</v>
      </c>
      <c r="J2959" s="3">
        <v>0.0</v>
      </c>
      <c r="K2959" s="4">
        <f t="shared" si="1"/>
        <v>1951.093</v>
      </c>
      <c r="L2959" s="4">
        <f t="shared" si="2"/>
        <v>3.387685774</v>
      </c>
    </row>
    <row r="2960">
      <c r="A2960" s="3" t="s">
        <v>173</v>
      </c>
      <c r="B2960" s="3">
        <v>6.5</v>
      </c>
      <c r="C2960" s="3">
        <v>5.2</v>
      </c>
      <c r="D2960" s="3">
        <v>81.6</v>
      </c>
      <c r="E2960" s="3">
        <v>2.03</v>
      </c>
      <c r="F2960" s="3">
        <v>23.16</v>
      </c>
      <c r="G2960" s="3">
        <v>35.37</v>
      </c>
      <c r="H2960" s="3">
        <v>0.0</v>
      </c>
      <c r="I2960" s="3">
        <v>1.36</v>
      </c>
      <c r="J2960" s="3">
        <v>0.0</v>
      </c>
      <c r="K2960" s="4">
        <f t="shared" si="1"/>
        <v>1787.4225</v>
      </c>
      <c r="L2960" s="4">
        <f t="shared" si="2"/>
        <v>3.725230045</v>
      </c>
    </row>
    <row r="2961">
      <c r="A2961" s="3" t="s">
        <v>173</v>
      </c>
      <c r="B2961" s="3">
        <v>6.5</v>
      </c>
      <c r="C2961" s="3">
        <v>5.67</v>
      </c>
      <c r="D2961" s="3">
        <v>82.1</v>
      </c>
      <c r="E2961" s="3">
        <v>2.02</v>
      </c>
      <c r="F2961" s="3">
        <v>23.39</v>
      </c>
      <c r="G2961" s="3">
        <v>33.69</v>
      </c>
      <c r="H2961" s="3">
        <v>0.0</v>
      </c>
      <c r="I2961" s="3">
        <v>0.93</v>
      </c>
      <c r="J2961" s="3">
        <v>0.0</v>
      </c>
      <c r="K2961" s="4">
        <f t="shared" si="1"/>
        <v>1682.1082</v>
      </c>
      <c r="L2961" s="4">
        <f t="shared" si="2"/>
        <v>4.007120351</v>
      </c>
    </row>
    <row r="2962">
      <c r="A2962" s="3" t="s">
        <v>173</v>
      </c>
      <c r="B2962" s="3">
        <v>6.5</v>
      </c>
      <c r="C2962" s="3">
        <v>6.15</v>
      </c>
      <c r="D2962" s="3">
        <v>82.9</v>
      </c>
      <c r="E2962" s="3">
        <v>2.0</v>
      </c>
      <c r="F2962" s="3">
        <v>22.11</v>
      </c>
      <c r="G2962" s="3">
        <v>32.23</v>
      </c>
      <c r="H2962" s="3">
        <v>0.0</v>
      </c>
      <c r="I2962" s="3">
        <v>0.61</v>
      </c>
      <c r="J2962" s="3">
        <v>0.0</v>
      </c>
      <c r="K2962" s="4">
        <f t="shared" si="1"/>
        <v>1527.625</v>
      </c>
      <c r="L2962" s="4">
        <f t="shared" si="2"/>
        <v>4.498754603</v>
      </c>
    </row>
    <row r="2963">
      <c r="A2963" s="3" t="s">
        <v>173</v>
      </c>
      <c r="B2963" s="3">
        <v>6.5</v>
      </c>
      <c r="C2963" s="3">
        <v>6.62</v>
      </c>
      <c r="D2963" s="3">
        <v>83.2</v>
      </c>
      <c r="E2963" s="3">
        <v>2.0</v>
      </c>
      <c r="F2963" s="3">
        <v>22.46</v>
      </c>
      <c r="G2963" s="3">
        <v>30.9</v>
      </c>
      <c r="H2963" s="3">
        <v>0.0</v>
      </c>
      <c r="I2963" s="3">
        <v>0.37</v>
      </c>
      <c r="J2963" s="3">
        <v>0.0</v>
      </c>
      <c r="K2963" s="4">
        <f t="shared" si="1"/>
        <v>1459.2616</v>
      </c>
      <c r="L2963" s="4">
        <f t="shared" si="2"/>
        <v>4.743659396</v>
      </c>
    </row>
    <row r="2964">
      <c r="A2964" s="3" t="s">
        <v>173</v>
      </c>
      <c r="B2964" s="3">
        <v>6.5</v>
      </c>
      <c r="C2964" s="3">
        <v>7.1</v>
      </c>
      <c r="D2964" s="3">
        <v>83.5</v>
      </c>
      <c r="E2964" s="3">
        <v>2.02</v>
      </c>
      <c r="F2964" s="3">
        <v>26.07</v>
      </c>
      <c r="G2964" s="3">
        <v>29.56</v>
      </c>
      <c r="H2964" s="3">
        <v>0.0</v>
      </c>
      <c r="I2964" s="3">
        <v>0.21</v>
      </c>
      <c r="J2964" s="3">
        <v>0.0</v>
      </c>
      <c r="K2964" s="4">
        <f t="shared" si="1"/>
        <v>1553.4385</v>
      </c>
      <c r="L2964" s="4">
        <f t="shared" si="2"/>
        <v>4.488269088</v>
      </c>
    </row>
    <row r="2965">
      <c r="A2965" s="3" t="s">
        <v>173</v>
      </c>
      <c r="B2965" s="3">
        <v>6.5</v>
      </c>
      <c r="C2965" s="3">
        <v>7.57</v>
      </c>
      <c r="D2965" s="3">
        <v>83.8</v>
      </c>
      <c r="E2965" s="3">
        <v>2.0</v>
      </c>
      <c r="F2965" s="3">
        <v>25.72</v>
      </c>
      <c r="G2965" s="3">
        <v>28.4</v>
      </c>
      <c r="H2965" s="3">
        <v>0.0</v>
      </c>
      <c r="I2965" s="3">
        <v>0.17</v>
      </c>
      <c r="J2965" s="3">
        <v>0.0</v>
      </c>
      <c r="K2965" s="4">
        <f t="shared" si="1"/>
        <v>1468.0784</v>
      </c>
      <c r="L2965" s="4">
        <f t="shared" si="2"/>
        <v>4.783423011</v>
      </c>
    </row>
    <row r="2966">
      <c r="A2966" s="3" t="s">
        <v>173</v>
      </c>
      <c r="B2966" s="3">
        <v>6.5</v>
      </c>
      <c r="C2966" s="3">
        <v>8.04</v>
      </c>
      <c r="D2966" s="3">
        <v>84.3</v>
      </c>
      <c r="E2966" s="3">
        <v>2.0</v>
      </c>
      <c r="F2966" s="3">
        <v>26.3</v>
      </c>
      <c r="G2966" s="3">
        <v>27.44</v>
      </c>
      <c r="H2966" s="3">
        <v>0.0</v>
      </c>
      <c r="I2966" s="3">
        <v>0.12</v>
      </c>
      <c r="J2966" s="3">
        <v>0.0</v>
      </c>
      <c r="K2966" s="4">
        <f t="shared" si="1"/>
        <v>1444.6436</v>
      </c>
      <c r="L2966" s="4">
        <f t="shared" si="2"/>
        <v>4.919199448</v>
      </c>
    </row>
    <row r="2967">
      <c r="A2967" s="3" t="s">
        <v>174</v>
      </c>
      <c r="B2967" s="3">
        <v>4.65</v>
      </c>
      <c r="C2967" s="3">
        <v>0.34</v>
      </c>
      <c r="D2967" s="3">
        <v>38.8</v>
      </c>
      <c r="E2967" s="3">
        <v>3.69</v>
      </c>
      <c r="F2967" s="3">
        <v>0.91</v>
      </c>
      <c r="G2967" s="3">
        <v>27.87</v>
      </c>
      <c r="H2967" s="3">
        <v>0.0</v>
      </c>
      <c r="I2967" s="3">
        <v>246.74</v>
      </c>
      <c r="J2967" s="3">
        <v>0.0</v>
      </c>
      <c r="K2967" s="4">
        <f t="shared" si="1"/>
        <v>777.565</v>
      </c>
      <c r="L2967" s="4">
        <f t="shared" si="2"/>
        <v>1.936095375</v>
      </c>
    </row>
    <row r="2968">
      <c r="A2968" s="3" t="s">
        <v>174</v>
      </c>
      <c r="B2968" s="3">
        <v>4.65</v>
      </c>
      <c r="C2968" s="3">
        <v>0.68</v>
      </c>
      <c r="D2968" s="3">
        <v>50.1</v>
      </c>
      <c r="E2968" s="3">
        <v>3.69</v>
      </c>
      <c r="F2968" s="3">
        <v>7.1</v>
      </c>
      <c r="G2968" s="3">
        <v>39.52</v>
      </c>
      <c r="H2968" s="3">
        <v>0.0</v>
      </c>
      <c r="I2968" s="3">
        <v>115.82</v>
      </c>
      <c r="J2968" s="3">
        <v>0.0</v>
      </c>
      <c r="K2968" s="4">
        <f t="shared" si="1"/>
        <v>1612.2404</v>
      </c>
      <c r="L2968" s="4">
        <f t="shared" si="2"/>
        <v>1.556845989</v>
      </c>
    </row>
    <row r="2969">
      <c r="A2969" s="3" t="s">
        <v>174</v>
      </c>
      <c r="B2969" s="3">
        <v>4.65</v>
      </c>
      <c r="C2969" s="3">
        <v>1.02</v>
      </c>
      <c r="D2969" s="3">
        <v>60.2</v>
      </c>
      <c r="E2969" s="3">
        <v>3.69</v>
      </c>
      <c r="F2969" s="3">
        <v>10.23</v>
      </c>
      <c r="G2969" s="3">
        <v>44.52</v>
      </c>
      <c r="H2969" s="3">
        <v>0.0</v>
      </c>
      <c r="I2969" s="3">
        <v>75.75</v>
      </c>
      <c r="J2969" s="3">
        <v>0.0</v>
      </c>
      <c r="K2969" s="4">
        <f t="shared" si="1"/>
        <v>2086.6833</v>
      </c>
      <c r="L2969" s="4">
        <f t="shared" si="2"/>
        <v>1.736746539</v>
      </c>
    </row>
    <row r="2970">
      <c r="A2970" s="3" t="s">
        <v>174</v>
      </c>
      <c r="B2970" s="3">
        <v>4.65</v>
      </c>
      <c r="C2970" s="3">
        <v>1.36</v>
      </c>
      <c r="D2970" s="3">
        <v>68.2</v>
      </c>
      <c r="E2970" s="3">
        <v>3.69</v>
      </c>
      <c r="F2970" s="3">
        <v>12.18</v>
      </c>
      <c r="G2970" s="3">
        <v>46.26</v>
      </c>
      <c r="H2970" s="3">
        <v>0.0</v>
      </c>
      <c r="I2970" s="3">
        <v>41.22</v>
      </c>
      <c r="J2970" s="3">
        <v>0.0</v>
      </c>
      <c r="K2970" s="4">
        <f t="shared" si="1"/>
        <v>2288.34</v>
      </c>
      <c r="L2970" s="4">
        <f t="shared" si="2"/>
        <v>2.032582571</v>
      </c>
    </row>
    <row r="2971">
      <c r="A2971" s="3" t="s">
        <v>174</v>
      </c>
      <c r="B2971" s="3">
        <v>4.65</v>
      </c>
      <c r="C2971" s="3">
        <v>1.69</v>
      </c>
      <c r="D2971" s="3">
        <v>72.8</v>
      </c>
      <c r="E2971" s="3">
        <v>3.69</v>
      </c>
      <c r="F2971" s="3">
        <v>14.42</v>
      </c>
      <c r="G2971" s="3">
        <v>45.8</v>
      </c>
      <c r="H2971" s="3">
        <v>0.0</v>
      </c>
      <c r="I2971" s="3">
        <v>27.51</v>
      </c>
      <c r="J2971" s="3">
        <v>0.0</v>
      </c>
      <c r="K2971" s="4">
        <f t="shared" si="1"/>
        <v>2305.5764</v>
      </c>
      <c r="L2971" s="4">
        <f t="shared" si="2"/>
        <v>2.298705001</v>
      </c>
    </row>
    <row r="2972">
      <c r="A2972" s="3" t="s">
        <v>174</v>
      </c>
      <c r="B2972" s="3">
        <v>4.65</v>
      </c>
      <c r="C2972" s="3">
        <v>2.03</v>
      </c>
      <c r="D2972" s="3">
        <v>75.3</v>
      </c>
      <c r="E2972" s="3">
        <v>3.69</v>
      </c>
      <c r="F2972" s="3">
        <v>15.29</v>
      </c>
      <c r="G2972" s="3">
        <v>45.05</v>
      </c>
      <c r="H2972" s="3">
        <v>0.0</v>
      </c>
      <c r="I2972" s="3">
        <v>15.53</v>
      </c>
      <c r="J2972" s="3">
        <v>0.0</v>
      </c>
      <c r="K2972" s="4">
        <f t="shared" si="1"/>
        <v>2263.2866</v>
      </c>
      <c r="L2972" s="4">
        <f t="shared" si="2"/>
        <v>2.505246132</v>
      </c>
    </row>
    <row r="2973">
      <c r="A2973" s="3" t="s">
        <v>174</v>
      </c>
      <c r="B2973" s="3">
        <v>4.65</v>
      </c>
      <c r="C2973" s="3">
        <v>2.37</v>
      </c>
      <c r="D2973" s="3">
        <v>76.6</v>
      </c>
      <c r="E2973" s="3">
        <v>3.69</v>
      </c>
      <c r="F2973" s="3">
        <v>18.41</v>
      </c>
      <c r="G2973" s="3">
        <v>43.11</v>
      </c>
      <c r="H2973" s="3">
        <v>0.0</v>
      </c>
      <c r="I2973" s="3">
        <v>9.72</v>
      </c>
      <c r="J2973" s="3">
        <v>0.0</v>
      </c>
      <c r="K2973" s="4">
        <f t="shared" si="1"/>
        <v>2197.4002</v>
      </c>
      <c r="L2973" s="4">
        <f t="shared" si="2"/>
        <v>2.670228209</v>
      </c>
    </row>
    <row r="2974">
      <c r="A2974" s="3" t="s">
        <v>174</v>
      </c>
      <c r="B2974" s="3">
        <v>4.65</v>
      </c>
      <c r="C2974" s="3">
        <v>2.7</v>
      </c>
      <c r="D2974" s="3">
        <v>77.6</v>
      </c>
      <c r="E2974" s="3">
        <v>3.69</v>
      </c>
      <c r="F2974" s="3">
        <v>20.65</v>
      </c>
      <c r="G2974" s="3">
        <v>41.2</v>
      </c>
      <c r="H2974" s="3">
        <v>0.0</v>
      </c>
      <c r="I2974" s="3">
        <v>6.89</v>
      </c>
      <c r="J2974" s="3">
        <v>0.0</v>
      </c>
      <c r="K2974" s="4">
        <f t="shared" si="1"/>
        <v>2123.8625</v>
      </c>
      <c r="L2974" s="4">
        <f t="shared" si="2"/>
        <v>2.835287124</v>
      </c>
    </row>
    <row r="2975">
      <c r="A2975" s="3" t="s">
        <v>174</v>
      </c>
      <c r="B2975" s="3">
        <v>4.65</v>
      </c>
      <c r="C2975" s="3">
        <v>3.05</v>
      </c>
      <c r="D2975" s="3">
        <v>78.5</v>
      </c>
      <c r="E2975" s="3">
        <v>3.69</v>
      </c>
      <c r="F2975" s="3">
        <v>21.24</v>
      </c>
      <c r="G2975" s="3">
        <v>39.62</v>
      </c>
      <c r="H2975" s="3">
        <v>0.0</v>
      </c>
      <c r="I2975" s="3">
        <v>4.81</v>
      </c>
      <c r="J2975" s="3">
        <v>0.0</v>
      </c>
      <c r="K2975" s="4">
        <f t="shared" si="1"/>
        <v>2020.882</v>
      </c>
      <c r="L2975" s="4">
        <f t="shared" si="2"/>
        <v>3.04928739</v>
      </c>
    </row>
    <row r="2976">
      <c r="A2976" s="3" t="s">
        <v>174</v>
      </c>
      <c r="B2976" s="3">
        <v>4.65</v>
      </c>
      <c r="C2976" s="3">
        <v>3.38</v>
      </c>
      <c r="D2976" s="3">
        <v>78.2</v>
      </c>
      <c r="E2976" s="3">
        <v>3.69</v>
      </c>
      <c r="F2976" s="3">
        <v>22.11</v>
      </c>
      <c r="G2976" s="3">
        <v>38.18</v>
      </c>
      <c r="H2976" s="3">
        <v>0.0</v>
      </c>
      <c r="I2976" s="3">
        <v>3.48</v>
      </c>
      <c r="J2976" s="3">
        <v>0.0</v>
      </c>
      <c r="K2976" s="4">
        <f t="shared" si="1"/>
        <v>1946.5645</v>
      </c>
      <c r="L2976" s="4">
        <f t="shared" si="2"/>
        <v>3.141555289</v>
      </c>
    </row>
    <row r="2977">
      <c r="A2977" s="3" t="s">
        <v>174</v>
      </c>
      <c r="B2977" s="3">
        <v>4.65</v>
      </c>
      <c r="C2977" s="3">
        <v>3.72</v>
      </c>
      <c r="D2977" s="3">
        <v>78.8</v>
      </c>
      <c r="E2977" s="3">
        <v>3.69</v>
      </c>
      <c r="F2977" s="3">
        <v>23.77</v>
      </c>
      <c r="G2977" s="3">
        <v>36.93</v>
      </c>
      <c r="H2977" s="3">
        <v>0.0</v>
      </c>
      <c r="I2977" s="3">
        <v>2.42</v>
      </c>
      <c r="J2977" s="3">
        <v>0.0</v>
      </c>
      <c r="K2977" s="4">
        <f t="shared" si="1"/>
        <v>1928.8378</v>
      </c>
      <c r="L2977" s="4">
        <f t="shared" si="2"/>
        <v>3.21926499</v>
      </c>
    </row>
    <row r="2978">
      <c r="A2978" s="3" t="s">
        <v>174</v>
      </c>
      <c r="B2978" s="3">
        <v>4.65</v>
      </c>
      <c r="C2978" s="3">
        <v>4.06</v>
      </c>
      <c r="D2978" s="3">
        <v>79.2</v>
      </c>
      <c r="E2978" s="3">
        <v>3.69</v>
      </c>
      <c r="F2978" s="3">
        <v>25.04</v>
      </c>
      <c r="G2978" s="3">
        <v>35.68</v>
      </c>
      <c r="H2978" s="3">
        <v>0.0</v>
      </c>
      <c r="I2978" s="3">
        <v>1.42</v>
      </c>
      <c r="J2978" s="3">
        <v>0.0</v>
      </c>
      <c r="K2978" s="4">
        <f t="shared" si="1"/>
        <v>1900.064</v>
      </c>
      <c r="L2978" s="4">
        <f t="shared" si="2"/>
        <v>3.301278273</v>
      </c>
    </row>
    <row r="2979">
      <c r="A2979" s="3" t="s">
        <v>174</v>
      </c>
      <c r="B2979" s="3">
        <v>4.65</v>
      </c>
      <c r="C2979" s="3">
        <v>4.39</v>
      </c>
      <c r="D2979" s="3">
        <v>79.2</v>
      </c>
      <c r="E2979" s="3">
        <v>3.69</v>
      </c>
      <c r="F2979" s="3">
        <v>24.74</v>
      </c>
      <c r="G2979" s="3">
        <v>34.2</v>
      </c>
      <c r="H2979" s="3">
        <v>0.0</v>
      </c>
      <c r="I2979" s="3">
        <v>0.59</v>
      </c>
      <c r="J2979" s="3">
        <v>0.0</v>
      </c>
      <c r="K2979" s="4">
        <f t="shared" si="1"/>
        <v>1781.7076</v>
      </c>
      <c r="L2979" s="4">
        <f t="shared" si="2"/>
        <v>3.520577675</v>
      </c>
    </row>
    <row r="2980">
      <c r="A2980" s="3" t="s">
        <v>174</v>
      </c>
      <c r="B2980" s="3">
        <v>4.65</v>
      </c>
      <c r="C2980" s="3">
        <v>4.74</v>
      </c>
      <c r="D2980" s="3">
        <v>79.2</v>
      </c>
      <c r="E2980" s="3">
        <v>3.69</v>
      </c>
      <c r="F2980" s="3">
        <v>24.74</v>
      </c>
      <c r="G2980" s="3">
        <v>32.41</v>
      </c>
      <c r="H2980" s="3">
        <v>0.0</v>
      </c>
      <c r="I2980" s="3">
        <v>0.26</v>
      </c>
      <c r="J2980" s="3">
        <v>0.0</v>
      </c>
      <c r="K2980" s="4">
        <f t="shared" si="1"/>
        <v>1662.4757</v>
      </c>
      <c r="L2980" s="4">
        <f t="shared" si="2"/>
        <v>3.773071691</v>
      </c>
    </row>
    <row r="2981">
      <c r="A2981" s="3" t="s">
        <v>174</v>
      </c>
      <c r="B2981" s="3">
        <v>4.65</v>
      </c>
      <c r="C2981" s="3">
        <v>5.08</v>
      </c>
      <c r="D2981" s="3">
        <v>78.8</v>
      </c>
      <c r="E2981" s="3">
        <v>3.69</v>
      </c>
      <c r="F2981" s="3">
        <v>23.87</v>
      </c>
      <c r="G2981" s="3">
        <v>31.05</v>
      </c>
      <c r="H2981" s="3">
        <v>0.0</v>
      </c>
      <c r="I2981" s="3">
        <v>0.18</v>
      </c>
      <c r="J2981" s="3">
        <v>0.0</v>
      </c>
      <c r="K2981" s="4">
        <f t="shared" si="1"/>
        <v>1533.8794</v>
      </c>
      <c r="L2981" s="4">
        <f t="shared" si="2"/>
        <v>4.048193098</v>
      </c>
    </row>
    <row r="2982">
      <c r="A2982" s="3" t="s">
        <v>174</v>
      </c>
      <c r="B2982" s="3">
        <v>4.65</v>
      </c>
      <c r="C2982" s="3">
        <v>5.41</v>
      </c>
      <c r="D2982" s="3">
        <v>78.5</v>
      </c>
      <c r="E2982" s="3">
        <v>3.69</v>
      </c>
      <c r="F2982" s="3">
        <v>22.31</v>
      </c>
      <c r="G2982" s="3">
        <v>29.85</v>
      </c>
      <c r="H2982" s="3">
        <v>0.0</v>
      </c>
      <c r="I2982" s="3">
        <v>0.11</v>
      </c>
      <c r="J2982" s="3">
        <v>0.0</v>
      </c>
      <c r="K2982" s="4">
        <f t="shared" si="1"/>
        <v>1388.7586</v>
      </c>
      <c r="L2982" s="4">
        <f t="shared" si="2"/>
        <v>4.437236248</v>
      </c>
    </row>
    <row r="2983">
      <c r="A2983" s="3" t="s">
        <v>174</v>
      </c>
      <c r="B2983" s="3">
        <v>4.65</v>
      </c>
      <c r="C2983" s="3">
        <v>5.75</v>
      </c>
      <c r="D2983" s="3">
        <v>80.1</v>
      </c>
      <c r="E2983" s="3">
        <v>3.69</v>
      </c>
      <c r="F2983" s="3">
        <v>22.6</v>
      </c>
      <c r="G2983" s="3">
        <v>28.79</v>
      </c>
      <c r="H2983" s="3">
        <v>0.0</v>
      </c>
      <c r="I2983" s="3">
        <v>0.07</v>
      </c>
      <c r="J2983" s="3">
        <v>0.0</v>
      </c>
      <c r="K2983" s="4">
        <f t="shared" si="1"/>
        <v>1339.6241</v>
      </c>
      <c r="L2983" s="4">
        <f t="shared" si="2"/>
        <v>4.789410701</v>
      </c>
    </row>
    <row r="2984">
      <c r="A2984" s="3" t="s">
        <v>174</v>
      </c>
      <c r="B2984" s="3">
        <v>4.65</v>
      </c>
      <c r="C2984" s="3">
        <v>6.09</v>
      </c>
      <c r="D2984" s="3">
        <v>80.1</v>
      </c>
      <c r="E2984" s="3">
        <v>3.69</v>
      </c>
      <c r="F2984" s="3">
        <v>23.18</v>
      </c>
      <c r="G2984" s="3">
        <v>27.84</v>
      </c>
      <c r="H2984" s="3">
        <v>0.0</v>
      </c>
      <c r="I2984" s="3">
        <v>0.04</v>
      </c>
      <c r="J2984" s="3">
        <v>0.0</v>
      </c>
      <c r="K2984" s="4">
        <f t="shared" si="1"/>
        <v>1312.378</v>
      </c>
      <c r="L2984" s="4">
        <f t="shared" si="2"/>
        <v>4.888843001</v>
      </c>
    </row>
    <row r="2985">
      <c r="A2985" s="3" t="s">
        <v>174</v>
      </c>
      <c r="B2985" s="3">
        <v>4.65</v>
      </c>
      <c r="C2985" s="3">
        <v>6.42</v>
      </c>
      <c r="D2985" s="3">
        <v>80.1</v>
      </c>
      <c r="E2985" s="3">
        <v>3.69</v>
      </c>
      <c r="F2985" s="3">
        <v>22.99</v>
      </c>
      <c r="G2985" s="3">
        <v>26.98</v>
      </c>
      <c r="H2985" s="3">
        <v>0.0</v>
      </c>
      <c r="I2985" s="3">
        <v>0.02</v>
      </c>
      <c r="J2985" s="3">
        <v>0.0</v>
      </c>
      <c r="K2985" s="4">
        <f t="shared" si="1"/>
        <v>1256.4605</v>
      </c>
      <c r="L2985" s="4">
        <f t="shared" si="2"/>
        <v>5.106416</v>
      </c>
    </row>
    <row r="2986">
      <c r="A2986" s="3" t="s">
        <v>174</v>
      </c>
      <c r="B2986" s="3">
        <v>4.65</v>
      </c>
      <c r="C2986" s="3">
        <v>6.77</v>
      </c>
      <c r="D2986" s="3">
        <v>80.1</v>
      </c>
      <c r="E2986" s="3">
        <v>3.69</v>
      </c>
      <c r="F2986" s="3">
        <v>22.99</v>
      </c>
      <c r="G2986" s="3">
        <v>26.18</v>
      </c>
      <c r="H2986" s="3">
        <v>0.0</v>
      </c>
      <c r="I2986" s="3">
        <v>0.01</v>
      </c>
      <c r="J2986" s="3">
        <v>0.0</v>
      </c>
      <c r="K2986" s="4">
        <f t="shared" si="1"/>
        <v>1213.9325</v>
      </c>
      <c r="L2986" s="4">
        <f t="shared" si="2"/>
        <v>5.285310345</v>
      </c>
    </row>
    <row r="2987">
      <c r="A2987" s="3" t="s">
        <v>174</v>
      </c>
      <c r="B2987" s="3">
        <v>4.65</v>
      </c>
      <c r="C2987" s="3">
        <v>7.11</v>
      </c>
      <c r="D2987" s="3">
        <v>79.8</v>
      </c>
      <c r="E2987" s="3">
        <v>3.69</v>
      </c>
      <c r="F2987" s="3">
        <v>22.8</v>
      </c>
      <c r="G2987" s="3">
        <v>25.47</v>
      </c>
      <c r="H2987" s="3">
        <v>0.0</v>
      </c>
      <c r="I2987" s="3">
        <v>0.01</v>
      </c>
      <c r="J2987" s="3">
        <v>0.0</v>
      </c>
      <c r="K2987" s="4">
        <f t="shared" si="1"/>
        <v>1168.5609</v>
      </c>
      <c r="L2987" s="4">
        <f t="shared" si="2"/>
        <v>5.449472081</v>
      </c>
    </row>
    <row r="2988">
      <c r="A2988" s="3" t="s">
        <v>174</v>
      </c>
      <c r="B2988" s="3">
        <v>4.65</v>
      </c>
      <c r="C2988" s="3">
        <v>7.44</v>
      </c>
      <c r="D2988" s="3">
        <v>79.8</v>
      </c>
      <c r="E2988" s="3">
        <v>3.69</v>
      </c>
      <c r="F2988" s="3">
        <v>23.87</v>
      </c>
      <c r="G2988" s="3">
        <v>24.82</v>
      </c>
      <c r="H2988" s="3">
        <v>0.0</v>
      </c>
      <c r="I2988" s="3">
        <v>0.01</v>
      </c>
      <c r="J2988" s="3">
        <v>0.0</v>
      </c>
      <c r="K2988" s="4">
        <f t="shared" si="1"/>
        <v>1185.8093</v>
      </c>
      <c r="L2988" s="4">
        <f t="shared" si="2"/>
        <v>5.370205816</v>
      </c>
    </row>
    <row r="2989">
      <c r="A2989" s="3" t="s">
        <v>174</v>
      </c>
      <c r="B2989" s="3">
        <v>4.65</v>
      </c>
      <c r="C2989" s="3">
        <v>7.78</v>
      </c>
      <c r="D2989" s="3">
        <v>79.5</v>
      </c>
      <c r="E2989" s="3">
        <v>3.69</v>
      </c>
      <c r="F2989" s="3">
        <v>24.06</v>
      </c>
      <c r="G2989" s="3">
        <v>24.22</v>
      </c>
      <c r="H2989" s="3">
        <v>0.0</v>
      </c>
      <c r="I2989" s="3">
        <v>0.0</v>
      </c>
      <c r="J2989" s="3">
        <v>0.0</v>
      </c>
      <c r="K2989" s="4">
        <f t="shared" si="1"/>
        <v>1165.492</v>
      </c>
      <c r="L2989" s="4">
        <f t="shared" si="2"/>
        <v>5.422817145</v>
      </c>
    </row>
    <row r="2990">
      <c r="A2990" s="3" t="s">
        <v>174</v>
      </c>
      <c r="B2990" s="3">
        <v>4.65</v>
      </c>
      <c r="C2990" s="3">
        <v>8.12</v>
      </c>
      <c r="D2990" s="3">
        <v>79.5</v>
      </c>
      <c r="E2990" s="3">
        <v>3.69</v>
      </c>
      <c r="F2990" s="3">
        <v>22.89</v>
      </c>
      <c r="G2990" s="3">
        <v>23.66</v>
      </c>
      <c r="H2990" s="3">
        <v>0.0</v>
      </c>
      <c r="I2990" s="3">
        <v>0.0</v>
      </c>
      <c r="J2990" s="3">
        <v>0.0</v>
      </c>
      <c r="K2990" s="4">
        <f t="shared" si="1"/>
        <v>1083.7477</v>
      </c>
      <c r="L2990" s="4">
        <f t="shared" si="2"/>
        <v>5.831846287</v>
      </c>
    </row>
    <row r="2991">
      <c r="A2991" s="3" t="s">
        <v>174</v>
      </c>
      <c r="B2991" s="3">
        <v>4.65</v>
      </c>
      <c r="C2991" s="3">
        <v>8.46</v>
      </c>
      <c r="D2991" s="3">
        <v>78.8</v>
      </c>
      <c r="E2991" s="3">
        <v>3.69</v>
      </c>
      <c r="F2991" s="3">
        <v>23.09</v>
      </c>
      <c r="G2991" s="3">
        <v>23.15</v>
      </c>
      <c r="H2991" s="3">
        <v>0.0</v>
      </c>
      <c r="I2991" s="3">
        <v>0.0</v>
      </c>
      <c r="J2991" s="3">
        <v>0.0</v>
      </c>
      <c r="K2991" s="4">
        <f t="shared" si="1"/>
        <v>1069.0706</v>
      </c>
      <c r="L2991" s="4">
        <f t="shared" si="2"/>
        <v>5.808259997</v>
      </c>
    </row>
    <row r="2992">
      <c r="A2992" s="3" t="s">
        <v>174</v>
      </c>
      <c r="B2992" s="3">
        <v>4.65</v>
      </c>
      <c r="C2992" s="3">
        <v>8.8</v>
      </c>
      <c r="D2992" s="3">
        <v>77.9</v>
      </c>
      <c r="E2992" s="3">
        <v>3.69</v>
      </c>
      <c r="F2992" s="3">
        <v>23.38</v>
      </c>
      <c r="G2992" s="3">
        <v>22.65</v>
      </c>
      <c r="H2992" s="3">
        <v>0.0</v>
      </c>
      <c r="I2992" s="3">
        <v>0.0</v>
      </c>
      <c r="J2992" s="3">
        <v>0.0</v>
      </c>
      <c r="K2992" s="4">
        <f t="shared" si="1"/>
        <v>1059.6469</v>
      </c>
      <c r="L2992" s="4">
        <f t="shared" si="2"/>
        <v>5.726822775</v>
      </c>
    </row>
    <row r="2993">
      <c r="A2993" s="3" t="s">
        <v>174</v>
      </c>
      <c r="B2993" s="3">
        <v>4.65</v>
      </c>
      <c r="C2993" s="3">
        <v>9.13</v>
      </c>
      <c r="D2993" s="3">
        <v>77.2</v>
      </c>
      <c r="E2993" s="3">
        <v>3.69</v>
      </c>
      <c r="F2993" s="3">
        <v>22.8</v>
      </c>
      <c r="G2993" s="3">
        <v>22.21</v>
      </c>
      <c r="H2993" s="3">
        <v>0.0</v>
      </c>
      <c r="I2993" s="3">
        <v>0.0</v>
      </c>
      <c r="J2993" s="3">
        <v>0.0</v>
      </c>
      <c r="K2993" s="4">
        <f t="shared" si="1"/>
        <v>1013.1241</v>
      </c>
      <c r="L2993" s="4">
        <f t="shared" si="2"/>
        <v>5.882635701</v>
      </c>
    </row>
    <row r="2994">
      <c r="A2994" s="3" t="s">
        <v>174</v>
      </c>
      <c r="B2994" s="3">
        <v>4.65</v>
      </c>
      <c r="C2994" s="3">
        <v>9.47</v>
      </c>
      <c r="D2994" s="3">
        <v>77.6</v>
      </c>
      <c r="E2994" s="3">
        <v>3.69</v>
      </c>
      <c r="F2994" s="3">
        <v>22.21</v>
      </c>
      <c r="G2994" s="3">
        <v>21.79</v>
      </c>
      <c r="H2994" s="3">
        <v>0.0</v>
      </c>
      <c r="I2994" s="3">
        <v>0.0</v>
      </c>
      <c r="J2994" s="3">
        <v>0.0</v>
      </c>
      <c r="K2994" s="4">
        <f t="shared" si="1"/>
        <v>968.0882</v>
      </c>
      <c r="L2994" s="4">
        <f t="shared" si="2"/>
        <v>6.220259683</v>
      </c>
    </row>
    <row r="2995">
      <c r="A2995" s="3" t="s">
        <v>174</v>
      </c>
      <c r="B2995" s="3">
        <v>4.65</v>
      </c>
      <c r="C2995" s="3">
        <v>9.77</v>
      </c>
      <c r="D2995" s="3">
        <v>76.6</v>
      </c>
      <c r="E2995" s="3">
        <v>3.69</v>
      </c>
      <c r="F2995" s="3">
        <v>22.21</v>
      </c>
      <c r="G2995" s="3">
        <v>21.43</v>
      </c>
      <c r="H2995" s="3">
        <v>0.0</v>
      </c>
      <c r="I2995" s="3">
        <v>0.0</v>
      </c>
      <c r="J2995" s="3">
        <v>0.0</v>
      </c>
      <c r="K2995" s="4">
        <f t="shared" si="1"/>
        <v>952.529</v>
      </c>
      <c r="L2995" s="4">
        <f t="shared" si="2"/>
        <v>6.159980431</v>
      </c>
    </row>
    <row r="2996">
      <c r="A2996" s="3" t="s">
        <v>174</v>
      </c>
      <c r="B2996" s="3">
        <v>4.65</v>
      </c>
      <c r="C2996" s="3">
        <v>10.15</v>
      </c>
      <c r="D2996" s="3">
        <v>77.6</v>
      </c>
      <c r="E2996" s="3">
        <v>3.69</v>
      </c>
      <c r="F2996" s="3">
        <v>22.5</v>
      </c>
      <c r="G2996" s="3">
        <v>21.0</v>
      </c>
      <c r="H2996" s="3">
        <v>0.0</v>
      </c>
      <c r="I2996" s="3">
        <v>0.0</v>
      </c>
      <c r="J2996" s="3">
        <v>0.0</v>
      </c>
      <c r="K2996" s="4">
        <f t="shared" si="1"/>
        <v>947.25</v>
      </c>
      <c r="L2996" s="4">
        <f t="shared" si="2"/>
        <v>6.357096859</v>
      </c>
    </row>
    <row r="2997">
      <c r="A2997" s="3" t="s">
        <v>40</v>
      </c>
      <c r="B2997" s="3">
        <v>6.7</v>
      </c>
      <c r="C2997" s="3">
        <v>0.49</v>
      </c>
      <c r="D2997" s="3">
        <v>25.0</v>
      </c>
      <c r="E2997" s="3">
        <v>2.04</v>
      </c>
      <c r="F2997" s="3">
        <v>3.42</v>
      </c>
      <c r="G2997" s="3">
        <v>17.04</v>
      </c>
      <c r="H2997" s="3">
        <v>0.0</v>
      </c>
      <c r="I2997" s="3">
        <v>58.85</v>
      </c>
      <c r="J2997" s="3">
        <v>0.0</v>
      </c>
      <c r="K2997" s="4">
        <f t="shared" si="1"/>
        <v>302.058</v>
      </c>
      <c r="L2997" s="4">
        <f t="shared" si="2"/>
        <v>2.06913904</v>
      </c>
    </row>
    <row r="2998">
      <c r="A2998" s="3" t="s">
        <v>40</v>
      </c>
      <c r="B2998" s="3">
        <v>6.7</v>
      </c>
      <c r="C2998" s="3">
        <v>0.97</v>
      </c>
      <c r="D2998" s="3">
        <v>42.5</v>
      </c>
      <c r="E2998" s="3">
        <v>2.7</v>
      </c>
      <c r="F2998" s="3">
        <v>4.1</v>
      </c>
      <c r="G2998" s="3">
        <v>26.7</v>
      </c>
      <c r="H2998" s="3">
        <v>0.0</v>
      </c>
      <c r="I2998" s="3">
        <v>34.44</v>
      </c>
      <c r="J2998" s="3">
        <v>0.0</v>
      </c>
      <c r="K2998" s="4">
        <f t="shared" si="1"/>
        <v>729.7</v>
      </c>
      <c r="L2998" s="4">
        <f t="shared" si="2"/>
        <v>2.475332328</v>
      </c>
    </row>
    <row r="2999">
      <c r="A2999" s="3" t="s">
        <v>40</v>
      </c>
      <c r="B2999" s="3">
        <v>6.7</v>
      </c>
      <c r="C2999" s="3">
        <v>1.47</v>
      </c>
      <c r="D2999" s="3">
        <v>48.0</v>
      </c>
      <c r="E2999" s="3">
        <v>2.15</v>
      </c>
      <c r="F2999" s="3">
        <v>10.21</v>
      </c>
      <c r="G2999" s="3">
        <v>28.91</v>
      </c>
      <c r="H2999" s="3">
        <v>0.0</v>
      </c>
      <c r="I2999" s="3">
        <v>12.1</v>
      </c>
      <c r="J2999" s="3">
        <v>0.0</v>
      </c>
      <c r="K2999" s="4">
        <f t="shared" si="1"/>
        <v>940.0322</v>
      </c>
      <c r="L2999" s="4">
        <f t="shared" si="2"/>
        <v>2.450979871</v>
      </c>
    </row>
    <row r="3000">
      <c r="A3000" s="3" t="s">
        <v>40</v>
      </c>
      <c r="B3000" s="3">
        <v>6.7</v>
      </c>
      <c r="C3000" s="3">
        <v>1.95</v>
      </c>
      <c r="D3000" s="3">
        <v>49.2</v>
      </c>
      <c r="E3000" s="3">
        <v>2.08</v>
      </c>
      <c r="F3000" s="3">
        <v>12.59</v>
      </c>
      <c r="G3000" s="3">
        <v>27.91</v>
      </c>
      <c r="H3000" s="3">
        <v>0.0</v>
      </c>
      <c r="I3000" s="3">
        <v>4.42</v>
      </c>
      <c r="J3000" s="3">
        <v>0.0</v>
      </c>
      <c r="K3000" s="4">
        <f t="shared" si="1"/>
        <v>937.4762</v>
      </c>
      <c r="L3000" s="4">
        <f t="shared" si="2"/>
        <v>2.58208155</v>
      </c>
    </row>
    <row r="3001">
      <c r="A3001" s="3" t="s">
        <v>40</v>
      </c>
      <c r="B3001" s="3">
        <v>6.7</v>
      </c>
      <c r="C3001" s="3">
        <v>2.44</v>
      </c>
      <c r="D3001" s="3">
        <v>50.4</v>
      </c>
      <c r="E3001" s="3">
        <v>2.06</v>
      </c>
      <c r="F3001" s="3">
        <v>13.04</v>
      </c>
      <c r="G3001" s="3">
        <v>24.63</v>
      </c>
      <c r="H3001" s="3">
        <v>0.0</v>
      </c>
      <c r="I3001" s="3">
        <v>0.9</v>
      </c>
      <c r="J3001" s="3">
        <v>0.0</v>
      </c>
      <c r="K3001" s="4">
        <f t="shared" si="1"/>
        <v>776.6785</v>
      </c>
      <c r="L3001" s="4">
        <f t="shared" si="2"/>
        <v>3.270542445</v>
      </c>
    </row>
    <row r="3002">
      <c r="A3002" s="3" t="s">
        <v>40</v>
      </c>
      <c r="B3002" s="3">
        <v>6.7</v>
      </c>
      <c r="C3002" s="3">
        <v>2.92</v>
      </c>
      <c r="D3002" s="3">
        <v>51.6</v>
      </c>
      <c r="E3002" s="3">
        <v>2.04</v>
      </c>
      <c r="F3002" s="3">
        <v>12.14</v>
      </c>
      <c r="G3002" s="3">
        <v>22.08</v>
      </c>
      <c r="H3002" s="3">
        <v>0.0</v>
      </c>
      <c r="I3002" s="3">
        <v>0.36</v>
      </c>
      <c r="J3002" s="3">
        <v>0.0</v>
      </c>
      <c r="K3002" s="4">
        <f t="shared" si="1"/>
        <v>634.906</v>
      </c>
      <c r="L3002" s="4">
        <f t="shared" si="2"/>
        <v>4.193628663</v>
      </c>
    </row>
    <row r="3003">
      <c r="A3003" s="3" t="s">
        <v>40</v>
      </c>
      <c r="B3003" s="3">
        <v>6.7</v>
      </c>
      <c r="C3003" s="3">
        <v>3.41</v>
      </c>
      <c r="D3003" s="3">
        <v>53.2</v>
      </c>
      <c r="E3003" s="3">
        <v>2.0</v>
      </c>
      <c r="F3003" s="3">
        <v>13.38</v>
      </c>
      <c r="G3003" s="3">
        <v>20.22</v>
      </c>
      <c r="H3003" s="3">
        <v>0.0</v>
      </c>
      <c r="I3003" s="3">
        <v>0.14</v>
      </c>
      <c r="J3003" s="3">
        <v>0.0</v>
      </c>
      <c r="K3003" s="4">
        <f t="shared" si="1"/>
        <v>587.8728</v>
      </c>
      <c r="L3003" s="4">
        <f t="shared" si="2"/>
        <v>4.81437481</v>
      </c>
    </row>
    <row r="3004">
      <c r="A3004" s="3" t="s">
        <v>40</v>
      </c>
      <c r="B3004" s="3">
        <v>6.7</v>
      </c>
      <c r="C3004" s="3">
        <v>3.89</v>
      </c>
      <c r="D3004" s="3">
        <v>55.1</v>
      </c>
      <c r="E3004" s="3">
        <v>2.05</v>
      </c>
      <c r="F3004" s="3">
        <v>14.95</v>
      </c>
      <c r="G3004" s="3">
        <v>18.69</v>
      </c>
      <c r="H3004" s="3">
        <v>0.0</v>
      </c>
      <c r="I3004" s="3">
        <v>0.05</v>
      </c>
      <c r="J3004" s="3">
        <v>0.0</v>
      </c>
      <c r="K3004" s="4">
        <f t="shared" si="1"/>
        <v>572.8186</v>
      </c>
      <c r="L3004" s="4">
        <f t="shared" si="2"/>
        <v>5.300124682</v>
      </c>
    </row>
    <row r="3005">
      <c r="A3005" s="3" t="s">
        <v>40</v>
      </c>
      <c r="B3005" s="3">
        <v>6.7</v>
      </c>
      <c r="C3005" s="3">
        <v>4.39</v>
      </c>
      <c r="D3005" s="3">
        <v>57.8</v>
      </c>
      <c r="E3005" s="3">
        <v>2.24</v>
      </c>
      <c r="F3005" s="3">
        <v>18.33</v>
      </c>
      <c r="G3005" s="3">
        <v>17.42</v>
      </c>
      <c r="H3005" s="3">
        <v>0.0</v>
      </c>
      <c r="I3005" s="3">
        <v>0.02</v>
      </c>
      <c r="J3005" s="3">
        <v>0.0</v>
      </c>
      <c r="K3005" s="4">
        <f t="shared" si="1"/>
        <v>639.4453</v>
      </c>
      <c r="L3005" s="4">
        <f t="shared" si="2"/>
        <v>5.224590751</v>
      </c>
    </row>
    <row r="3006">
      <c r="A3006" s="3" t="s">
        <v>40</v>
      </c>
      <c r="B3006" s="3">
        <v>6.7</v>
      </c>
      <c r="C3006" s="3">
        <v>4.88</v>
      </c>
      <c r="D3006" s="3">
        <v>57.3</v>
      </c>
      <c r="E3006" s="3">
        <v>2.0</v>
      </c>
      <c r="F3006" s="3">
        <v>21.25</v>
      </c>
      <c r="G3006" s="3">
        <v>16.4</v>
      </c>
      <c r="H3006" s="3">
        <v>0.0</v>
      </c>
      <c r="I3006" s="3">
        <v>0.01</v>
      </c>
      <c r="J3006" s="3">
        <v>0.0</v>
      </c>
      <c r="K3006" s="4">
        <f t="shared" si="1"/>
        <v>720.5225</v>
      </c>
      <c r="L3006" s="4">
        <f t="shared" si="2"/>
        <v>4.556818142</v>
      </c>
    </row>
    <row r="3007">
      <c r="A3007" s="3" t="s">
        <v>40</v>
      </c>
      <c r="B3007" s="3">
        <v>6.7</v>
      </c>
      <c r="C3007" s="3">
        <v>5.36</v>
      </c>
      <c r="D3007" s="3">
        <v>57.5</v>
      </c>
      <c r="E3007" s="3">
        <v>2.0</v>
      </c>
      <c r="F3007" s="3">
        <v>22.04</v>
      </c>
      <c r="G3007" s="3">
        <v>15.57</v>
      </c>
      <c r="H3007" s="3">
        <v>0.0</v>
      </c>
      <c r="I3007" s="3">
        <v>0.0</v>
      </c>
      <c r="J3007" s="3">
        <v>0.0</v>
      </c>
      <c r="K3007" s="4">
        <f t="shared" si="1"/>
        <v>728.1865</v>
      </c>
      <c r="L3007" s="4">
        <f t="shared" si="2"/>
        <v>4.540389035</v>
      </c>
    </row>
    <row r="3008">
      <c r="A3008" s="3" t="s">
        <v>175</v>
      </c>
      <c r="B3008" s="3">
        <v>39.3</v>
      </c>
      <c r="C3008" s="3">
        <v>0.22</v>
      </c>
      <c r="D3008" s="3">
        <v>152.0</v>
      </c>
      <c r="E3008" s="3">
        <v>39.4</v>
      </c>
      <c r="F3008" s="3">
        <v>0.62</v>
      </c>
      <c r="G3008" s="3">
        <v>26.39</v>
      </c>
      <c r="H3008" s="3">
        <v>158.03</v>
      </c>
      <c r="I3008" s="3">
        <v>1284.41</v>
      </c>
      <c r="J3008" s="3">
        <v>17156.5</v>
      </c>
      <c r="K3008" s="4">
        <f t="shared" si="1"/>
        <v>696.8165</v>
      </c>
      <c r="L3008" s="4">
        <f t="shared" si="2"/>
        <v>33.15650534</v>
      </c>
    </row>
    <row r="3009">
      <c r="A3009" s="3" t="s">
        <v>175</v>
      </c>
      <c r="B3009" s="3">
        <v>39.3</v>
      </c>
      <c r="C3009" s="3">
        <v>0.43</v>
      </c>
      <c r="D3009" s="3">
        <v>167.0</v>
      </c>
      <c r="E3009" s="3">
        <v>32.9</v>
      </c>
      <c r="F3009" s="3">
        <v>1.83</v>
      </c>
      <c r="G3009" s="3">
        <v>47.21</v>
      </c>
      <c r="H3009" s="3">
        <v>231.8</v>
      </c>
      <c r="I3009" s="3">
        <v>1125.76</v>
      </c>
      <c r="J3009" s="3">
        <v>7720.07</v>
      </c>
      <c r="K3009" s="4">
        <f t="shared" si="1"/>
        <v>2232.133</v>
      </c>
      <c r="L3009" s="4">
        <f t="shared" si="2"/>
        <v>12.49432717</v>
      </c>
    </row>
    <row r="3010">
      <c r="A3010" s="3" t="s">
        <v>175</v>
      </c>
      <c r="B3010" s="3">
        <v>39.3</v>
      </c>
      <c r="C3010" s="3">
        <v>0.65</v>
      </c>
      <c r="D3010" s="3">
        <v>179.0</v>
      </c>
      <c r="E3010" s="3">
        <v>20.9</v>
      </c>
      <c r="F3010" s="3">
        <v>2.76</v>
      </c>
      <c r="G3010" s="3">
        <v>65.47</v>
      </c>
      <c r="H3010" s="3">
        <v>250.59</v>
      </c>
      <c r="I3010" s="3">
        <v>980.53</v>
      </c>
      <c r="J3010" s="3">
        <v>2738.14</v>
      </c>
      <c r="K3010" s="4">
        <f t="shared" si="1"/>
        <v>4293.9385</v>
      </c>
      <c r="L3010" s="4">
        <f t="shared" si="2"/>
        <v>7.461914045</v>
      </c>
    </row>
    <row r="3011">
      <c r="A3011" s="3" t="s">
        <v>175</v>
      </c>
      <c r="B3011" s="3">
        <v>39.3</v>
      </c>
      <c r="C3011" s="3">
        <v>0.87</v>
      </c>
      <c r="D3011" s="3">
        <v>188.0</v>
      </c>
      <c r="E3011" s="3">
        <v>15.7</v>
      </c>
      <c r="F3011" s="3">
        <v>3.59</v>
      </c>
      <c r="G3011" s="3">
        <v>80.81</v>
      </c>
      <c r="H3011" s="3">
        <v>244.02</v>
      </c>
      <c r="I3011" s="3">
        <v>854.03</v>
      </c>
      <c r="J3011" s="3">
        <v>1058.7</v>
      </c>
      <c r="K3011" s="4">
        <f t="shared" si="1"/>
        <v>6543.1442</v>
      </c>
      <c r="L3011" s="4">
        <f t="shared" si="2"/>
        <v>5.401684407</v>
      </c>
    </row>
    <row r="3012">
      <c r="A3012" s="3" t="s">
        <v>175</v>
      </c>
      <c r="B3012" s="3">
        <v>39.3</v>
      </c>
      <c r="C3012" s="3">
        <v>1.08</v>
      </c>
      <c r="D3012" s="3">
        <v>195.0</v>
      </c>
      <c r="E3012" s="3">
        <v>10.6</v>
      </c>
      <c r="F3012" s="3">
        <v>4.38</v>
      </c>
      <c r="G3012" s="3">
        <v>93.2</v>
      </c>
      <c r="H3012" s="3">
        <v>231.39</v>
      </c>
      <c r="I3012" s="3">
        <v>748.54</v>
      </c>
      <c r="J3012" s="3">
        <v>443.76</v>
      </c>
      <c r="K3012" s="4">
        <f t="shared" si="1"/>
        <v>8705.4244</v>
      </c>
      <c r="L3012" s="4">
        <f t="shared" si="2"/>
        <v>4.367966253</v>
      </c>
    </row>
    <row r="3013">
      <c r="A3013" s="3" t="s">
        <v>175</v>
      </c>
      <c r="B3013" s="3">
        <v>39.3</v>
      </c>
      <c r="C3013" s="3">
        <v>1.31</v>
      </c>
      <c r="D3013" s="3">
        <v>199.0</v>
      </c>
      <c r="E3013" s="3">
        <v>8.88</v>
      </c>
      <c r="F3013" s="3">
        <v>5.12</v>
      </c>
      <c r="G3013" s="3">
        <v>104.66</v>
      </c>
      <c r="H3013" s="3">
        <v>217.32</v>
      </c>
      <c r="I3013" s="3">
        <v>647.89</v>
      </c>
      <c r="J3013" s="3">
        <v>128.19</v>
      </c>
      <c r="K3013" s="4">
        <f t="shared" si="1"/>
        <v>10979.93</v>
      </c>
      <c r="L3013" s="4">
        <f t="shared" si="2"/>
        <v>3.606671445</v>
      </c>
    </row>
    <row r="3014">
      <c r="A3014" s="3" t="s">
        <v>175</v>
      </c>
      <c r="B3014" s="3">
        <v>39.3</v>
      </c>
      <c r="C3014" s="3">
        <v>1.52</v>
      </c>
      <c r="D3014" s="3">
        <v>202.0</v>
      </c>
      <c r="E3014" s="3">
        <v>4.4</v>
      </c>
      <c r="F3014" s="3">
        <v>5.84</v>
      </c>
      <c r="G3014" s="3">
        <v>113.51</v>
      </c>
      <c r="H3014" s="3">
        <v>203.82</v>
      </c>
      <c r="I3014" s="3">
        <v>567.07</v>
      </c>
      <c r="J3014" s="3">
        <v>14.44</v>
      </c>
      <c r="K3014" s="4">
        <f t="shared" si="1"/>
        <v>12918.6257</v>
      </c>
      <c r="L3014" s="4">
        <f t="shared" si="2"/>
        <v>3.158540308</v>
      </c>
    </row>
    <row r="3015">
      <c r="A3015" s="3" t="s">
        <v>175</v>
      </c>
      <c r="B3015" s="3">
        <v>39.3</v>
      </c>
      <c r="C3015" s="3">
        <v>1.73</v>
      </c>
      <c r="D3015" s="3">
        <v>202.0</v>
      </c>
      <c r="E3015" s="3">
        <v>2.3</v>
      </c>
      <c r="F3015" s="3">
        <v>6.53</v>
      </c>
      <c r="G3015" s="3">
        <v>120.8</v>
      </c>
      <c r="H3015" s="3">
        <v>191.4</v>
      </c>
      <c r="I3015" s="3">
        <v>494.29</v>
      </c>
      <c r="J3015" s="3">
        <v>1.36</v>
      </c>
      <c r="K3015" s="4">
        <f t="shared" si="1"/>
        <v>14635.2809</v>
      </c>
      <c r="L3015" s="4">
        <f t="shared" si="2"/>
        <v>2.78805718</v>
      </c>
    </row>
    <row r="3016">
      <c r="A3016" s="3" t="s">
        <v>175</v>
      </c>
      <c r="B3016" s="3">
        <v>39.3</v>
      </c>
      <c r="C3016" s="3">
        <v>1.96</v>
      </c>
      <c r="D3016" s="3">
        <v>202.0</v>
      </c>
      <c r="E3016" s="3">
        <v>3.38</v>
      </c>
      <c r="F3016" s="3">
        <v>7.2</v>
      </c>
      <c r="G3016" s="3">
        <v>127.95</v>
      </c>
      <c r="H3016" s="3">
        <v>179.83</v>
      </c>
      <c r="I3016" s="3">
        <v>433.23</v>
      </c>
      <c r="J3016" s="3">
        <v>0.1</v>
      </c>
      <c r="K3016" s="4">
        <f t="shared" si="1"/>
        <v>16423.0425</v>
      </c>
      <c r="L3016" s="4">
        <f t="shared" si="2"/>
        <v>2.484557901</v>
      </c>
    </row>
    <row r="3017">
      <c r="A3017" s="3" t="s">
        <v>175</v>
      </c>
      <c r="B3017" s="3">
        <v>39.3</v>
      </c>
      <c r="C3017" s="3">
        <v>2.17</v>
      </c>
      <c r="D3017" s="3">
        <v>200.0</v>
      </c>
      <c r="E3017" s="3">
        <v>4.47</v>
      </c>
      <c r="F3017" s="3">
        <v>7.85</v>
      </c>
      <c r="G3017" s="3">
        <v>133.72</v>
      </c>
      <c r="H3017" s="3">
        <v>170.88</v>
      </c>
      <c r="I3017" s="3">
        <v>374.57</v>
      </c>
      <c r="J3017" s="3">
        <v>0.01</v>
      </c>
      <c r="K3017" s="4">
        <f t="shared" si="1"/>
        <v>17942.6609</v>
      </c>
      <c r="L3017" s="4">
        <f t="shared" si="2"/>
        <v>2.229323745</v>
      </c>
    </row>
    <row r="3018">
      <c r="A3018" s="3" t="s">
        <v>175</v>
      </c>
      <c r="B3018" s="3">
        <v>39.3</v>
      </c>
      <c r="C3018" s="3">
        <v>2.39</v>
      </c>
      <c r="D3018" s="3">
        <v>196.0</v>
      </c>
      <c r="E3018" s="3">
        <v>2.88</v>
      </c>
      <c r="F3018" s="3">
        <v>8.49</v>
      </c>
      <c r="G3018" s="3">
        <v>138.13</v>
      </c>
      <c r="H3018" s="3">
        <v>162.54</v>
      </c>
      <c r="I3018" s="3">
        <v>305.03</v>
      </c>
      <c r="J3018" s="3">
        <v>0.0</v>
      </c>
      <c r="K3018" s="4">
        <f t="shared" si="1"/>
        <v>19151.977</v>
      </c>
      <c r="L3018" s="4">
        <f t="shared" si="2"/>
        <v>2.005850362</v>
      </c>
    </row>
    <row r="3019">
      <c r="A3019" s="3" t="s">
        <v>175</v>
      </c>
      <c r="B3019" s="3">
        <v>39.3</v>
      </c>
      <c r="C3019" s="3">
        <v>2.6</v>
      </c>
      <c r="D3019" s="3">
        <v>193.0</v>
      </c>
      <c r="E3019" s="3">
        <v>3.32</v>
      </c>
      <c r="F3019" s="3">
        <v>9.1</v>
      </c>
      <c r="G3019" s="3">
        <v>140.07</v>
      </c>
      <c r="H3019" s="3">
        <v>156.06</v>
      </c>
      <c r="I3019" s="3">
        <v>243.47</v>
      </c>
      <c r="J3019" s="3">
        <v>0.0</v>
      </c>
      <c r="K3019" s="4">
        <f t="shared" si="1"/>
        <v>19702.4149</v>
      </c>
      <c r="L3019" s="4">
        <f t="shared" si="2"/>
        <v>1.890580428</v>
      </c>
    </row>
    <row r="3020">
      <c r="A3020" s="3" t="s">
        <v>175</v>
      </c>
      <c r="B3020" s="3">
        <v>39.3</v>
      </c>
      <c r="C3020" s="3">
        <v>2.83</v>
      </c>
      <c r="D3020" s="3">
        <v>189.0</v>
      </c>
      <c r="E3020" s="3">
        <v>2.21</v>
      </c>
      <c r="F3020" s="3">
        <v>9.69</v>
      </c>
      <c r="G3020" s="3">
        <v>139.86</v>
      </c>
      <c r="H3020" s="3">
        <v>149.58</v>
      </c>
      <c r="I3020" s="3">
        <v>190.61</v>
      </c>
      <c r="J3020" s="3">
        <v>0.0</v>
      </c>
      <c r="K3020" s="4">
        <f t="shared" si="1"/>
        <v>19654.7157</v>
      </c>
      <c r="L3020" s="4">
        <f t="shared" si="2"/>
        <v>1.817426441</v>
      </c>
    </row>
    <row r="3021">
      <c r="A3021" s="3" t="s">
        <v>175</v>
      </c>
      <c r="B3021" s="3">
        <v>39.3</v>
      </c>
      <c r="C3021" s="3">
        <v>3.04</v>
      </c>
      <c r="D3021" s="3">
        <v>184.0</v>
      </c>
      <c r="E3021" s="3">
        <v>14.0</v>
      </c>
      <c r="F3021" s="3">
        <v>10.26</v>
      </c>
      <c r="G3021" s="3">
        <v>138.24</v>
      </c>
      <c r="H3021" s="3">
        <v>144.32</v>
      </c>
      <c r="I3021" s="3">
        <v>155.5</v>
      </c>
      <c r="J3021" s="3">
        <v>0.0</v>
      </c>
      <c r="K3021" s="4">
        <f t="shared" si="1"/>
        <v>19215.5652</v>
      </c>
      <c r="L3021" s="4">
        <f t="shared" si="2"/>
        <v>1.761904979</v>
      </c>
    </row>
    <row r="3022">
      <c r="A3022" s="3" t="s">
        <v>175</v>
      </c>
      <c r="B3022" s="3">
        <v>39.3</v>
      </c>
      <c r="C3022" s="3">
        <v>5.87</v>
      </c>
      <c r="D3022" s="3">
        <v>170.0</v>
      </c>
      <c r="E3022" s="3">
        <v>5.45</v>
      </c>
      <c r="F3022" s="3">
        <v>16.97</v>
      </c>
      <c r="G3022" s="3">
        <v>124.36</v>
      </c>
      <c r="H3022" s="3">
        <v>103.86</v>
      </c>
      <c r="I3022" s="3">
        <v>85.65</v>
      </c>
      <c r="J3022" s="3">
        <v>0.0</v>
      </c>
      <c r="K3022" s="4">
        <f t="shared" si="1"/>
        <v>15753.3905</v>
      </c>
      <c r="L3022" s="4">
        <f t="shared" si="2"/>
        <v>1.834525717</v>
      </c>
    </row>
    <row r="3023">
      <c r="A3023" s="3" t="s">
        <v>175</v>
      </c>
      <c r="B3023" s="3">
        <v>39.3</v>
      </c>
      <c r="C3023" s="3">
        <v>6.08</v>
      </c>
      <c r="D3023" s="3">
        <v>172.0</v>
      </c>
      <c r="E3023" s="3">
        <v>6.66</v>
      </c>
      <c r="F3023" s="3">
        <v>17.59</v>
      </c>
      <c r="G3023" s="3">
        <v>125.28</v>
      </c>
      <c r="H3023" s="3">
        <v>102.05</v>
      </c>
      <c r="I3023" s="3">
        <v>83.33</v>
      </c>
      <c r="J3023" s="3">
        <v>0.0</v>
      </c>
      <c r="K3023" s="4">
        <f t="shared" si="1"/>
        <v>16004.4865</v>
      </c>
      <c r="L3023" s="4">
        <f t="shared" si="2"/>
        <v>1.848481674</v>
      </c>
    </row>
    <row r="3024">
      <c r="A3024" s="3" t="s">
        <v>175</v>
      </c>
      <c r="B3024" s="3">
        <v>39.3</v>
      </c>
      <c r="C3024" s="3">
        <v>6.3</v>
      </c>
      <c r="D3024" s="3">
        <v>174.0</v>
      </c>
      <c r="E3024" s="3">
        <v>3.96</v>
      </c>
      <c r="F3024" s="3">
        <v>18.32</v>
      </c>
      <c r="G3024" s="3">
        <v>126.27</v>
      </c>
      <c r="H3024" s="3">
        <v>100.25</v>
      </c>
      <c r="I3024" s="3">
        <v>80.59</v>
      </c>
      <c r="J3024" s="3">
        <v>0.0</v>
      </c>
      <c r="K3024" s="4">
        <f t="shared" si="1"/>
        <v>16279.7353</v>
      </c>
      <c r="L3024" s="4">
        <f t="shared" si="2"/>
        <v>1.859735398</v>
      </c>
    </row>
    <row r="3025">
      <c r="A3025" s="3" t="s">
        <v>175</v>
      </c>
      <c r="B3025" s="3">
        <v>39.3</v>
      </c>
      <c r="C3025" s="3">
        <v>6.52</v>
      </c>
      <c r="D3025" s="3">
        <v>176.0</v>
      </c>
      <c r="E3025" s="3">
        <v>5.18</v>
      </c>
      <c r="F3025" s="3">
        <v>18.94</v>
      </c>
      <c r="G3025" s="3">
        <v>127.31</v>
      </c>
      <c r="H3025" s="3">
        <v>98.55</v>
      </c>
      <c r="I3025" s="3">
        <v>77.61</v>
      </c>
      <c r="J3025" s="3">
        <v>0.0</v>
      </c>
      <c r="K3025" s="4">
        <f t="shared" si="1"/>
        <v>16566.5597</v>
      </c>
      <c r="L3025" s="4">
        <f t="shared" si="2"/>
        <v>1.869790745</v>
      </c>
    </row>
    <row r="3026">
      <c r="A3026" s="3" t="s">
        <v>175</v>
      </c>
      <c r="B3026" s="3">
        <v>39.3</v>
      </c>
      <c r="C3026" s="3">
        <v>6.74</v>
      </c>
      <c r="D3026" s="3">
        <v>178.0</v>
      </c>
      <c r="E3026" s="3">
        <v>3.04</v>
      </c>
      <c r="F3026" s="3">
        <v>19.56</v>
      </c>
      <c r="G3026" s="3">
        <v>128.27</v>
      </c>
      <c r="H3026" s="3">
        <v>96.92</v>
      </c>
      <c r="I3026" s="3">
        <v>74.35</v>
      </c>
      <c r="J3026" s="3">
        <v>0.0</v>
      </c>
      <c r="K3026" s="4">
        <f t="shared" si="1"/>
        <v>16835.7865</v>
      </c>
      <c r="L3026" s="4">
        <f t="shared" si="2"/>
        <v>1.881943561</v>
      </c>
    </row>
    <row r="3027">
      <c r="A3027" s="3" t="s">
        <v>175</v>
      </c>
      <c r="B3027" s="3">
        <v>39.3</v>
      </c>
      <c r="C3027" s="3">
        <v>6.95</v>
      </c>
      <c r="D3027" s="3">
        <v>180.0</v>
      </c>
      <c r="E3027" s="3">
        <v>2.75</v>
      </c>
      <c r="F3027" s="3">
        <v>20.18</v>
      </c>
      <c r="G3027" s="3">
        <v>129.11</v>
      </c>
      <c r="H3027" s="3">
        <v>95.45</v>
      </c>
      <c r="I3027" s="3">
        <v>71.73</v>
      </c>
      <c r="J3027" s="3">
        <v>0.0</v>
      </c>
      <c r="K3027" s="4">
        <f t="shared" si="1"/>
        <v>17076.6245</v>
      </c>
      <c r="L3027" s="4">
        <f t="shared" si="2"/>
        <v>1.897330471</v>
      </c>
    </row>
    <row r="3028">
      <c r="A3028" s="3" t="s">
        <v>175</v>
      </c>
      <c r="B3028" s="3">
        <v>39.3</v>
      </c>
      <c r="C3028" s="3">
        <v>7.16</v>
      </c>
      <c r="D3028" s="3">
        <v>182.0</v>
      </c>
      <c r="E3028" s="3">
        <v>2.34</v>
      </c>
      <c r="F3028" s="3">
        <v>20.9</v>
      </c>
      <c r="G3028" s="3">
        <v>130.08</v>
      </c>
      <c r="H3028" s="3">
        <v>94.04</v>
      </c>
      <c r="I3028" s="3">
        <v>69.78</v>
      </c>
      <c r="J3028" s="3">
        <v>0.0</v>
      </c>
      <c r="K3028" s="4">
        <f t="shared" si="1"/>
        <v>17357.6164</v>
      </c>
      <c r="L3028" s="4">
        <f t="shared" si="2"/>
        <v>1.908326537</v>
      </c>
    </row>
    <row r="3029">
      <c r="A3029" s="3" t="s">
        <v>175</v>
      </c>
      <c r="B3029" s="3">
        <v>39.3</v>
      </c>
      <c r="C3029" s="3">
        <v>7.39</v>
      </c>
      <c r="D3029" s="3">
        <v>183.0</v>
      </c>
      <c r="E3029" s="3">
        <v>3.39</v>
      </c>
      <c r="F3029" s="3">
        <v>21.52</v>
      </c>
      <c r="G3029" s="3">
        <v>131.37</v>
      </c>
      <c r="H3029" s="3">
        <v>92.56</v>
      </c>
      <c r="I3029" s="3">
        <v>68.08</v>
      </c>
      <c r="J3029" s="3">
        <v>0.0</v>
      </c>
      <c r="K3029" s="4">
        <f t="shared" si="1"/>
        <v>17721.1873</v>
      </c>
      <c r="L3029" s="4">
        <f t="shared" si="2"/>
        <v>1.889771799</v>
      </c>
    </row>
    <row r="3030">
      <c r="A3030" s="3" t="s">
        <v>175</v>
      </c>
      <c r="B3030" s="3">
        <v>39.3</v>
      </c>
      <c r="C3030" s="3">
        <v>7.6</v>
      </c>
      <c r="D3030" s="3">
        <v>184.0</v>
      </c>
      <c r="E3030" s="3">
        <v>7.58</v>
      </c>
      <c r="F3030" s="3">
        <v>22.25</v>
      </c>
      <c r="G3030" s="3">
        <v>132.89</v>
      </c>
      <c r="H3030" s="3">
        <v>91.28</v>
      </c>
      <c r="I3030" s="3">
        <v>66.23</v>
      </c>
      <c r="J3030" s="3">
        <v>0.0</v>
      </c>
      <c r="K3030" s="4">
        <f t="shared" si="1"/>
        <v>18154.8146</v>
      </c>
      <c r="L3030" s="4">
        <f t="shared" si="2"/>
        <v>1.864849669</v>
      </c>
    </row>
    <row r="3031">
      <c r="A3031" s="3" t="s">
        <v>175</v>
      </c>
      <c r="B3031" s="3">
        <v>39.3</v>
      </c>
      <c r="C3031" s="3">
        <v>7.82</v>
      </c>
      <c r="D3031" s="3">
        <v>185.0</v>
      </c>
      <c r="E3031" s="3">
        <v>6.08</v>
      </c>
      <c r="F3031" s="3">
        <v>22.97</v>
      </c>
      <c r="G3031" s="3">
        <v>134.56</v>
      </c>
      <c r="H3031" s="3">
        <v>89.98</v>
      </c>
      <c r="I3031" s="3">
        <v>63.37</v>
      </c>
      <c r="J3031" s="3">
        <v>0.0</v>
      </c>
      <c r="K3031" s="4">
        <f t="shared" si="1"/>
        <v>18634.0145</v>
      </c>
      <c r="L3031" s="4">
        <f t="shared" si="2"/>
        <v>1.836694932</v>
      </c>
    </row>
    <row r="3032">
      <c r="A3032" s="3" t="s">
        <v>175</v>
      </c>
      <c r="B3032" s="3">
        <v>39.3</v>
      </c>
      <c r="C3032" s="3">
        <v>8.03</v>
      </c>
      <c r="D3032" s="3">
        <v>186.0</v>
      </c>
      <c r="E3032" s="3">
        <v>6.73</v>
      </c>
      <c r="F3032" s="3">
        <v>23.7</v>
      </c>
      <c r="G3032" s="3">
        <v>136.18</v>
      </c>
      <c r="H3032" s="3">
        <v>88.8</v>
      </c>
      <c r="I3032" s="3">
        <v>60.28</v>
      </c>
      <c r="J3032" s="3">
        <v>0.0</v>
      </c>
      <c r="K3032" s="4">
        <f t="shared" si="1"/>
        <v>19106.6824</v>
      </c>
      <c r="L3032" s="4">
        <f t="shared" si="2"/>
        <v>1.810675411</v>
      </c>
    </row>
    <row r="3033">
      <c r="A3033" s="3" t="s">
        <v>175</v>
      </c>
      <c r="B3033" s="3">
        <v>39.3</v>
      </c>
      <c r="C3033" s="3">
        <v>8.26</v>
      </c>
      <c r="D3033" s="3">
        <v>187.0</v>
      </c>
      <c r="E3033" s="3">
        <v>6.83</v>
      </c>
      <c r="F3033" s="3">
        <v>24.42</v>
      </c>
      <c r="G3033" s="3">
        <v>137.94</v>
      </c>
      <c r="H3033" s="3">
        <v>87.55</v>
      </c>
      <c r="I3033" s="3">
        <v>56.45</v>
      </c>
      <c r="J3033" s="3">
        <v>0.0</v>
      </c>
      <c r="K3033" s="4">
        <f t="shared" si="1"/>
        <v>19623.78</v>
      </c>
      <c r="L3033" s="4">
        <f t="shared" si="2"/>
        <v>1.78197065</v>
      </c>
    </row>
    <row r="3034">
      <c r="A3034" s="3" t="s">
        <v>175</v>
      </c>
      <c r="B3034" s="3">
        <v>39.3</v>
      </c>
      <c r="C3034" s="3">
        <v>8.47</v>
      </c>
      <c r="D3034" s="3">
        <v>187.0</v>
      </c>
      <c r="E3034" s="3">
        <v>6.11</v>
      </c>
      <c r="F3034" s="3">
        <v>25.15</v>
      </c>
      <c r="G3034" s="3">
        <v>139.4</v>
      </c>
      <c r="H3034" s="3">
        <v>86.46</v>
      </c>
      <c r="I3034" s="3">
        <v>52.04</v>
      </c>
      <c r="J3034" s="3">
        <v>0.0</v>
      </c>
      <c r="K3034" s="4">
        <f t="shared" si="1"/>
        <v>20064.8825</v>
      </c>
      <c r="L3034" s="4">
        <f t="shared" si="2"/>
        <v>1.742796151</v>
      </c>
    </row>
    <row r="3035">
      <c r="A3035" s="3" t="s">
        <v>175</v>
      </c>
      <c r="B3035" s="3">
        <v>39.3</v>
      </c>
      <c r="C3035" s="3">
        <v>8.68</v>
      </c>
      <c r="D3035" s="3">
        <v>188.0</v>
      </c>
      <c r="E3035" s="3">
        <v>4.78</v>
      </c>
      <c r="F3035" s="3">
        <v>25.77</v>
      </c>
      <c r="G3035" s="3">
        <v>140.55</v>
      </c>
      <c r="H3035" s="3">
        <v>85.41</v>
      </c>
      <c r="I3035" s="3">
        <v>47.02</v>
      </c>
      <c r="J3035" s="3">
        <v>0.0</v>
      </c>
      <c r="K3035" s="4">
        <f t="shared" si="1"/>
        <v>20418.3954</v>
      </c>
      <c r="L3035" s="4">
        <f t="shared" si="2"/>
        <v>1.730988127</v>
      </c>
    </row>
    <row r="3036">
      <c r="A3036" s="3" t="s">
        <v>175</v>
      </c>
      <c r="B3036" s="3">
        <v>39.3</v>
      </c>
      <c r="C3036" s="3">
        <v>8.91</v>
      </c>
      <c r="D3036" s="3">
        <v>188.0</v>
      </c>
      <c r="E3036" s="3">
        <v>4.14</v>
      </c>
      <c r="F3036" s="3">
        <v>26.49</v>
      </c>
      <c r="G3036" s="3">
        <v>141.3</v>
      </c>
      <c r="H3036" s="3">
        <v>84.3</v>
      </c>
      <c r="I3036" s="3">
        <v>40.84</v>
      </c>
      <c r="J3036" s="3">
        <v>0.0</v>
      </c>
      <c r="K3036" s="4">
        <f t="shared" si="1"/>
        <v>20667.4101</v>
      </c>
      <c r="L3036" s="4">
        <f t="shared" si="2"/>
        <v>1.710132031</v>
      </c>
    </row>
    <row r="3037">
      <c r="A3037" s="3" t="s">
        <v>175</v>
      </c>
      <c r="B3037" s="3">
        <v>39.3</v>
      </c>
      <c r="C3037" s="3">
        <v>9.53</v>
      </c>
      <c r="D3037" s="3">
        <v>187.0</v>
      </c>
      <c r="E3037" s="3">
        <v>5.93</v>
      </c>
      <c r="F3037" s="3">
        <v>28.25</v>
      </c>
      <c r="G3037" s="3">
        <v>140.15</v>
      </c>
      <c r="H3037" s="3">
        <v>81.51</v>
      </c>
      <c r="I3037" s="3">
        <v>26.78</v>
      </c>
      <c r="J3037" s="3">
        <v>0.0</v>
      </c>
      <c r="K3037" s="4">
        <f t="shared" si="1"/>
        <v>20440.085</v>
      </c>
      <c r="L3037" s="4">
        <f t="shared" si="2"/>
        <v>1.710805019</v>
      </c>
    </row>
    <row r="3038">
      <c r="A3038" s="3" t="s">
        <v>175</v>
      </c>
      <c r="B3038" s="3">
        <v>39.3</v>
      </c>
      <c r="C3038" s="3">
        <v>9.78</v>
      </c>
      <c r="D3038" s="3">
        <v>187.0</v>
      </c>
      <c r="E3038" s="3">
        <v>7.63</v>
      </c>
      <c r="F3038" s="3">
        <v>28.97</v>
      </c>
      <c r="G3038" s="3">
        <v>138.99</v>
      </c>
      <c r="H3038" s="3">
        <v>80.46</v>
      </c>
      <c r="I3038" s="3">
        <v>22.33</v>
      </c>
      <c r="J3038" s="3">
        <v>0.0</v>
      </c>
      <c r="K3038" s="4">
        <f t="shared" si="1"/>
        <v>20157.481</v>
      </c>
      <c r="L3038" s="4">
        <f t="shared" si="2"/>
        <v>1.734790175</v>
      </c>
    </row>
    <row r="3039">
      <c r="A3039" s="3" t="s">
        <v>175</v>
      </c>
      <c r="B3039" s="3">
        <v>39.3</v>
      </c>
      <c r="C3039" s="3">
        <v>9.99</v>
      </c>
      <c r="D3039" s="3">
        <v>186.0</v>
      </c>
      <c r="E3039" s="3">
        <v>7.89</v>
      </c>
      <c r="F3039" s="3">
        <v>29.6</v>
      </c>
      <c r="G3039" s="3">
        <v>137.71</v>
      </c>
      <c r="H3039" s="3">
        <v>79.61</v>
      </c>
      <c r="I3039" s="3">
        <v>18.95</v>
      </c>
      <c r="J3039" s="3">
        <v>0.0</v>
      </c>
      <c r="K3039" s="4">
        <f t="shared" si="1"/>
        <v>19840.2041</v>
      </c>
      <c r="L3039" s="4">
        <f t="shared" si="2"/>
        <v>1.743732062</v>
      </c>
    </row>
    <row r="3040">
      <c r="A3040" s="3" t="s">
        <v>175</v>
      </c>
      <c r="B3040" s="3">
        <v>39.3</v>
      </c>
      <c r="C3040" s="3">
        <v>10.21</v>
      </c>
      <c r="D3040" s="3">
        <v>186.0</v>
      </c>
      <c r="E3040" s="3">
        <v>9.86</v>
      </c>
      <c r="F3040" s="3">
        <v>30.11</v>
      </c>
      <c r="G3040" s="3">
        <v>136.12</v>
      </c>
      <c r="H3040" s="3">
        <v>78.75</v>
      </c>
      <c r="I3040" s="3">
        <v>16.15</v>
      </c>
      <c r="J3040" s="3">
        <v>0.0</v>
      </c>
      <c r="K3040" s="4">
        <f t="shared" si="1"/>
        <v>19435.2665</v>
      </c>
      <c r="L3040" s="4">
        <f t="shared" si="2"/>
        <v>1.780063062</v>
      </c>
    </row>
    <row r="3041">
      <c r="A3041" s="3" t="s">
        <v>175</v>
      </c>
      <c r="B3041" s="3">
        <v>39.3</v>
      </c>
      <c r="C3041" s="3">
        <v>11.46</v>
      </c>
      <c r="D3041" s="3">
        <v>182.0</v>
      </c>
      <c r="E3041" s="3">
        <v>2.51</v>
      </c>
      <c r="F3041" s="3">
        <v>33.53</v>
      </c>
      <c r="G3041" s="3">
        <v>126.5</v>
      </c>
      <c r="H3041" s="3">
        <v>74.33</v>
      </c>
      <c r="I3041" s="3">
        <v>7.76</v>
      </c>
      <c r="J3041" s="3">
        <v>0.0</v>
      </c>
      <c r="K3041" s="4">
        <f t="shared" si="1"/>
        <v>17126.5109</v>
      </c>
      <c r="L3041" s="4">
        <f t="shared" si="2"/>
        <v>1.934077536</v>
      </c>
    </row>
    <row r="3042">
      <c r="A3042" s="3" t="s">
        <v>175</v>
      </c>
      <c r="B3042" s="3">
        <v>39.3</v>
      </c>
      <c r="C3042" s="3">
        <v>13.39</v>
      </c>
      <c r="D3042" s="3">
        <v>177.0</v>
      </c>
      <c r="E3042" s="3">
        <v>3.62</v>
      </c>
      <c r="F3042" s="3">
        <v>37.77</v>
      </c>
      <c r="G3042" s="3">
        <v>114.46</v>
      </c>
      <c r="H3042" s="3">
        <v>68.77</v>
      </c>
      <c r="I3042" s="3">
        <v>4.2</v>
      </c>
      <c r="J3042" s="3">
        <v>0.0</v>
      </c>
      <c r="K3042" s="4">
        <f t="shared" si="1"/>
        <v>14527.6645</v>
      </c>
      <c r="L3042" s="4">
        <f t="shared" si="2"/>
        <v>2.156506299</v>
      </c>
    </row>
    <row r="3043">
      <c r="A3043" s="3" t="s">
        <v>175</v>
      </c>
      <c r="B3043" s="3">
        <v>39.3</v>
      </c>
      <c r="C3043" s="3">
        <v>15.21</v>
      </c>
      <c r="D3043" s="3">
        <v>175.0</v>
      </c>
      <c r="E3043" s="3">
        <v>6.71</v>
      </c>
      <c r="F3043" s="3">
        <v>39.12</v>
      </c>
      <c r="G3043" s="3">
        <v>106.58</v>
      </c>
      <c r="H3043" s="3">
        <v>64.52</v>
      </c>
      <c r="I3043" s="3">
        <v>2.6</v>
      </c>
      <c r="J3043" s="3">
        <v>0.0</v>
      </c>
      <c r="K3043" s="4">
        <f t="shared" si="1"/>
        <v>12889.6708</v>
      </c>
      <c r="L3043" s="4">
        <f t="shared" si="2"/>
        <v>2.375933449</v>
      </c>
    </row>
    <row r="3044">
      <c r="A3044" s="3" t="s">
        <v>175</v>
      </c>
      <c r="B3044" s="3">
        <v>39.3</v>
      </c>
      <c r="C3044" s="3">
        <v>17.13</v>
      </c>
      <c r="D3044" s="3">
        <v>177.0</v>
      </c>
      <c r="E3044" s="3">
        <v>6.13</v>
      </c>
      <c r="F3044" s="3">
        <v>39.12</v>
      </c>
      <c r="G3044" s="3">
        <v>99.72</v>
      </c>
      <c r="H3044" s="3">
        <v>60.8</v>
      </c>
      <c r="I3044" s="3">
        <v>1.56</v>
      </c>
      <c r="J3044" s="3">
        <v>0.0</v>
      </c>
      <c r="K3044" s="4">
        <f t="shared" si="1"/>
        <v>11474.4528</v>
      </c>
      <c r="L3044" s="4">
        <f t="shared" si="2"/>
        <v>2.730326278</v>
      </c>
    </row>
    <row r="3045">
      <c r="A3045" s="3" t="s">
        <v>175</v>
      </c>
      <c r="B3045" s="3">
        <v>39.3</v>
      </c>
      <c r="C3045" s="3">
        <v>19.06</v>
      </c>
      <c r="D3045" s="3">
        <v>180.0</v>
      </c>
      <c r="E3045" s="3">
        <v>3.95</v>
      </c>
      <c r="F3045" s="3">
        <v>39.01</v>
      </c>
      <c r="G3045" s="3">
        <v>94.0</v>
      </c>
      <c r="H3045" s="3">
        <v>57.64</v>
      </c>
      <c r="I3045" s="3">
        <v>1.03</v>
      </c>
      <c r="J3045" s="3">
        <v>0.0</v>
      </c>
      <c r="K3045" s="4">
        <f t="shared" si="1"/>
        <v>10357.7801</v>
      </c>
      <c r="L3045" s="4">
        <f t="shared" si="2"/>
        <v>3.128083401</v>
      </c>
    </row>
    <row r="3046">
      <c r="A3046" s="3" t="s">
        <v>175</v>
      </c>
      <c r="B3046" s="3">
        <v>39.3</v>
      </c>
      <c r="C3046" s="3">
        <v>20.99</v>
      </c>
      <c r="D3046" s="3">
        <v>181.0</v>
      </c>
      <c r="E3046" s="3">
        <v>4.46</v>
      </c>
      <c r="F3046" s="3">
        <v>38.7</v>
      </c>
      <c r="G3046" s="3">
        <v>89.28</v>
      </c>
      <c r="H3046" s="3">
        <v>54.92</v>
      </c>
      <c r="I3046" s="3">
        <v>0.79</v>
      </c>
      <c r="J3046" s="3">
        <v>0.0</v>
      </c>
      <c r="K3046" s="4">
        <f t="shared" si="1"/>
        <v>9468.6084</v>
      </c>
      <c r="L3046" s="4">
        <f t="shared" si="2"/>
        <v>3.459959333</v>
      </c>
    </row>
    <row r="3047">
      <c r="A3047" s="3" t="s">
        <v>175</v>
      </c>
      <c r="B3047" s="3">
        <v>39.3</v>
      </c>
      <c r="C3047" s="3">
        <v>22.92</v>
      </c>
      <c r="D3047" s="3">
        <v>182.0</v>
      </c>
      <c r="E3047" s="3">
        <v>7.09</v>
      </c>
      <c r="F3047" s="3">
        <v>37.05</v>
      </c>
      <c r="G3047" s="3">
        <v>85.64</v>
      </c>
      <c r="H3047" s="3">
        <v>52.56</v>
      </c>
      <c r="I3047" s="3">
        <v>0.5</v>
      </c>
      <c r="J3047" s="3">
        <v>0.0</v>
      </c>
      <c r="K3047" s="4">
        <f t="shared" si="1"/>
        <v>8706.9121</v>
      </c>
      <c r="L3047" s="4">
        <f t="shared" si="2"/>
        <v>3.8043338</v>
      </c>
    </row>
    <row r="3048">
      <c r="A3048" s="3" t="s">
        <v>175</v>
      </c>
      <c r="B3048" s="3">
        <v>39.3</v>
      </c>
      <c r="C3048" s="3">
        <v>25.7</v>
      </c>
      <c r="D3048" s="3">
        <v>183.0</v>
      </c>
      <c r="E3048" s="3">
        <v>7.49</v>
      </c>
      <c r="F3048" s="3">
        <v>34.05</v>
      </c>
      <c r="G3048" s="3">
        <v>80.57</v>
      </c>
      <c r="H3048" s="3">
        <v>49.64</v>
      </c>
      <c r="I3048" s="3">
        <v>0.18</v>
      </c>
      <c r="J3048" s="3">
        <v>0.0</v>
      </c>
      <c r="K3048" s="4">
        <f t="shared" si="1"/>
        <v>7650.9274</v>
      </c>
      <c r="L3048" s="4">
        <f t="shared" si="2"/>
        <v>4.377116426</v>
      </c>
    </row>
    <row r="3049">
      <c r="A3049" s="3" t="s">
        <v>41</v>
      </c>
      <c r="B3049" s="3">
        <v>7.21</v>
      </c>
      <c r="C3049" s="3">
        <v>0.52</v>
      </c>
      <c r="D3049" s="3">
        <v>7.31</v>
      </c>
      <c r="E3049" s="3">
        <v>2.12</v>
      </c>
      <c r="F3049" s="3">
        <v>-3.67</v>
      </c>
      <c r="G3049" s="3">
        <v>11.19</v>
      </c>
      <c r="H3049" s="3">
        <v>0.0</v>
      </c>
      <c r="I3049" s="3">
        <v>32.26</v>
      </c>
      <c r="J3049" s="3">
        <v>0.0</v>
      </c>
      <c r="K3049" s="4">
        <f t="shared" si="1"/>
        <v>138.685</v>
      </c>
      <c r="L3049" s="4">
        <f t="shared" si="2"/>
        <v>0.3853055485</v>
      </c>
    </row>
    <row r="3050">
      <c r="A3050" s="3" t="s">
        <v>41</v>
      </c>
      <c r="B3050" s="3">
        <v>7.21</v>
      </c>
      <c r="C3050" s="3">
        <v>1.05</v>
      </c>
      <c r="D3050" s="3">
        <v>14.6</v>
      </c>
      <c r="E3050" s="3">
        <v>2.05</v>
      </c>
      <c r="F3050" s="3">
        <v>-4.64</v>
      </c>
      <c r="G3050" s="3">
        <v>16.58</v>
      </c>
      <c r="H3050" s="3">
        <v>0.0</v>
      </c>
      <c r="I3050" s="3">
        <v>21.96</v>
      </c>
      <c r="J3050" s="3">
        <v>0.0</v>
      </c>
      <c r="K3050" s="4">
        <f t="shared" si="1"/>
        <v>296.426</v>
      </c>
      <c r="L3050" s="4">
        <f t="shared" si="2"/>
        <v>0.7191002139</v>
      </c>
    </row>
    <row r="3051">
      <c r="A3051" s="3" t="s">
        <v>41</v>
      </c>
      <c r="B3051" s="3">
        <v>7.21</v>
      </c>
      <c r="C3051" s="3">
        <v>1.57</v>
      </c>
      <c r="D3051" s="3">
        <v>21.0</v>
      </c>
      <c r="E3051" s="3">
        <v>2.05</v>
      </c>
      <c r="F3051" s="3">
        <v>2.4</v>
      </c>
      <c r="G3051" s="3">
        <v>20.63</v>
      </c>
      <c r="H3051" s="3">
        <v>0.0</v>
      </c>
      <c r="I3051" s="3">
        <v>16.46</v>
      </c>
      <c r="J3051" s="3">
        <v>0.0</v>
      </c>
      <c r="K3051" s="4">
        <f t="shared" si="1"/>
        <v>431.3569</v>
      </c>
      <c r="L3051" s="4">
        <f t="shared" si="2"/>
        <v>1.02235527</v>
      </c>
    </row>
    <row r="3052">
      <c r="A3052" s="3" t="s">
        <v>41</v>
      </c>
      <c r="B3052" s="3">
        <v>7.21</v>
      </c>
      <c r="C3052" s="3">
        <v>2.09</v>
      </c>
      <c r="D3052" s="3">
        <v>28.1</v>
      </c>
      <c r="E3052" s="3">
        <v>2.06</v>
      </c>
      <c r="F3052" s="3">
        <v>12.6</v>
      </c>
      <c r="G3052" s="3">
        <v>23.82</v>
      </c>
      <c r="H3052" s="3">
        <v>0.0</v>
      </c>
      <c r="I3052" s="3">
        <v>11.7</v>
      </c>
      <c r="J3052" s="3">
        <v>0.0</v>
      </c>
      <c r="K3052" s="4">
        <f t="shared" si="1"/>
        <v>726.1524</v>
      </c>
      <c r="L3052" s="4">
        <f t="shared" si="2"/>
        <v>1.087388818</v>
      </c>
    </row>
    <row r="3053">
      <c r="A3053" s="3" t="s">
        <v>41</v>
      </c>
      <c r="B3053" s="3">
        <v>7.21</v>
      </c>
      <c r="C3053" s="3">
        <v>2.63</v>
      </c>
      <c r="D3053" s="3">
        <v>35.3</v>
      </c>
      <c r="E3053" s="3">
        <v>2.5</v>
      </c>
      <c r="F3053" s="3">
        <v>16.76</v>
      </c>
      <c r="G3053" s="3">
        <v>25.79</v>
      </c>
      <c r="H3053" s="3">
        <v>0.0</v>
      </c>
      <c r="I3053" s="3">
        <v>8.74</v>
      </c>
      <c r="J3053" s="3">
        <v>0.0</v>
      </c>
      <c r="K3053" s="4">
        <f t="shared" si="1"/>
        <v>946.0217</v>
      </c>
      <c r="L3053" s="4">
        <f t="shared" si="2"/>
        <v>1.317189659</v>
      </c>
    </row>
    <row r="3054">
      <c r="A3054" s="3" t="s">
        <v>41</v>
      </c>
      <c r="B3054" s="3">
        <v>7.21</v>
      </c>
      <c r="C3054" s="3">
        <v>3.15</v>
      </c>
      <c r="D3054" s="3">
        <v>43.0</v>
      </c>
      <c r="E3054" s="3">
        <v>3.38</v>
      </c>
      <c r="F3054" s="3">
        <v>17.12</v>
      </c>
      <c r="G3054" s="3">
        <v>27.83</v>
      </c>
      <c r="H3054" s="3">
        <v>0.0</v>
      </c>
      <c r="I3054" s="3">
        <v>5.69</v>
      </c>
      <c r="J3054" s="3">
        <v>0.0</v>
      </c>
      <c r="K3054" s="4">
        <f t="shared" si="1"/>
        <v>1067.6033</v>
      </c>
      <c r="L3054" s="4">
        <f t="shared" si="2"/>
        <v>1.731916715</v>
      </c>
    </row>
    <row r="3055">
      <c r="A3055" s="3" t="s">
        <v>41</v>
      </c>
      <c r="B3055" s="3">
        <v>7.21</v>
      </c>
      <c r="C3055" s="3">
        <v>3.68</v>
      </c>
      <c r="D3055" s="3">
        <v>46.6</v>
      </c>
      <c r="E3055" s="3">
        <v>3.15</v>
      </c>
      <c r="F3055" s="3">
        <v>20.09</v>
      </c>
      <c r="G3055" s="3">
        <v>26.92</v>
      </c>
      <c r="H3055" s="3">
        <v>0.0</v>
      </c>
      <c r="I3055" s="3">
        <v>2.58</v>
      </c>
      <c r="J3055" s="3">
        <v>0.0</v>
      </c>
      <c r="K3055" s="4">
        <f t="shared" si="1"/>
        <v>1128.2945</v>
      </c>
      <c r="L3055" s="4">
        <f t="shared" si="2"/>
        <v>1.924639356</v>
      </c>
    </row>
    <row r="3056">
      <c r="A3056" s="3" t="s">
        <v>41</v>
      </c>
      <c r="B3056" s="3">
        <v>7.21</v>
      </c>
      <c r="C3056" s="3">
        <v>4.2</v>
      </c>
      <c r="D3056" s="3">
        <v>48.0</v>
      </c>
      <c r="E3056" s="3">
        <v>3.0</v>
      </c>
      <c r="F3056" s="3">
        <v>22.95</v>
      </c>
      <c r="G3056" s="3">
        <v>25.81</v>
      </c>
      <c r="H3056" s="3">
        <v>0.0</v>
      </c>
      <c r="I3056" s="3">
        <v>1.25</v>
      </c>
      <c r="J3056" s="3">
        <v>0.0</v>
      </c>
      <c r="K3056" s="4">
        <f t="shared" si="1"/>
        <v>1192.8586</v>
      </c>
      <c r="L3056" s="4">
        <f t="shared" si="2"/>
        <v>1.931494647</v>
      </c>
    </row>
    <row r="3057">
      <c r="A3057" s="3" t="s">
        <v>176</v>
      </c>
      <c r="B3057" s="3">
        <v>83.6</v>
      </c>
      <c r="C3057" s="3">
        <v>2.43</v>
      </c>
      <c r="D3057" s="3">
        <v>62.2</v>
      </c>
      <c r="E3057" s="3">
        <v>5.69</v>
      </c>
      <c r="F3057" s="3">
        <v>10.89</v>
      </c>
      <c r="G3057" s="3">
        <v>136.53</v>
      </c>
      <c r="H3057" s="3">
        <v>0.0</v>
      </c>
      <c r="I3057" s="3">
        <v>402.36</v>
      </c>
      <c r="J3057" s="3">
        <v>0.0</v>
      </c>
      <c r="K3057" s="4">
        <f t="shared" si="1"/>
        <v>18759.033</v>
      </c>
      <c r="L3057" s="4">
        <f t="shared" si="2"/>
        <v>0.2062387757</v>
      </c>
    </row>
    <row r="3058">
      <c r="A3058" s="3" t="s">
        <v>176</v>
      </c>
      <c r="B3058" s="3">
        <v>83.6</v>
      </c>
      <c r="C3058" s="3">
        <v>3.65</v>
      </c>
      <c r="D3058" s="3">
        <v>88.2</v>
      </c>
      <c r="E3058" s="3">
        <v>3.85</v>
      </c>
      <c r="F3058" s="3">
        <v>14.29</v>
      </c>
      <c r="G3058" s="3">
        <v>148.1</v>
      </c>
      <c r="H3058" s="3">
        <v>0.0</v>
      </c>
      <c r="I3058" s="3">
        <v>235.2</v>
      </c>
      <c r="J3058" s="3">
        <v>0.0</v>
      </c>
      <c r="K3058" s="4">
        <f t="shared" si="1"/>
        <v>22137.8141</v>
      </c>
      <c r="L3058" s="4">
        <f t="shared" si="2"/>
        <v>0.3514005477</v>
      </c>
    </row>
    <row r="3059">
      <c r="A3059" s="3" t="s">
        <v>176</v>
      </c>
      <c r="B3059" s="3">
        <v>83.6</v>
      </c>
      <c r="C3059" s="3">
        <v>4.86</v>
      </c>
      <c r="D3059" s="3">
        <v>107.0</v>
      </c>
      <c r="E3059" s="3">
        <v>4.42</v>
      </c>
      <c r="F3059" s="3">
        <v>16.72</v>
      </c>
      <c r="G3059" s="3">
        <v>150.72</v>
      </c>
      <c r="H3059" s="3">
        <v>0.0</v>
      </c>
      <c r="I3059" s="3">
        <v>147.3</v>
      </c>
      <c r="J3059" s="3">
        <v>0.0</v>
      </c>
      <c r="K3059" s="4">
        <f t="shared" si="1"/>
        <v>22996.0768</v>
      </c>
      <c r="L3059" s="4">
        <f t="shared" si="2"/>
        <v>0.4978675319</v>
      </c>
    </row>
    <row r="3060">
      <c r="A3060" s="3" t="s">
        <v>176</v>
      </c>
      <c r="B3060" s="3">
        <v>83.6</v>
      </c>
      <c r="C3060" s="3">
        <v>6.08</v>
      </c>
      <c r="D3060" s="3">
        <v>120.0</v>
      </c>
      <c r="E3060" s="3">
        <v>3.93</v>
      </c>
      <c r="F3060" s="3">
        <v>25.95</v>
      </c>
      <c r="G3060" s="3">
        <v>151.05</v>
      </c>
      <c r="H3060" s="3">
        <v>0.0</v>
      </c>
      <c r="I3060" s="3">
        <v>121.61</v>
      </c>
      <c r="J3060" s="3">
        <v>0.0</v>
      </c>
      <c r="K3060" s="4">
        <f t="shared" si="1"/>
        <v>23489.505</v>
      </c>
      <c r="L3060" s="4">
        <f t="shared" si="2"/>
        <v>0.6130397384</v>
      </c>
    </row>
    <row r="3061">
      <c r="A3061" s="3" t="s">
        <v>176</v>
      </c>
      <c r="B3061" s="3">
        <v>83.6</v>
      </c>
      <c r="C3061" s="3">
        <v>7.29</v>
      </c>
      <c r="D3061" s="3">
        <v>124.0</v>
      </c>
      <c r="E3061" s="3">
        <v>5.15</v>
      </c>
      <c r="F3061" s="3">
        <v>32.85</v>
      </c>
      <c r="G3061" s="3">
        <v>157.64</v>
      </c>
      <c r="H3061" s="3">
        <v>0.0</v>
      </c>
      <c r="I3061" s="3">
        <v>90.72</v>
      </c>
      <c r="J3061" s="3">
        <v>0.0</v>
      </c>
      <c r="K3061" s="4">
        <f t="shared" si="1"/>
        <v>25929.4921</v>
      </c>
      <c r="L3061" s="4">
        <f t="shared" si="2"/>
        <v>0.5929927181</v>
      </c>
    </row>
    <row r="3062">
      <c r="A3062" s="3" t="s">
        <v>176</v>
      </c>
      <c r="B3062" s="3">
        <v>83.6</v>
      </c>
      <c r="C3062" s="3">
        <v>8.51</v>
      </c>
      <c r="D3062" s="3">
        <v>128.0</v>
      </c>
      <c r="E3062" s="3">
        <v>4.29</v>
      </c>
      <c r="F3062" s="3">
        <v>38.2</v>
      </c>
      <c r="G3062" s="3">
        <v>155.32</v>
      </c>
      <c r="H3062" s="3">
        <v>0.0</v>
      </c>
      <c r="I3062" s="3">
        <v>62.19</v>
      </c>
      <c r="J3062" s="3">
        <v>0.0</v>
      </c>
      <c r="K3062" s="4">
        <f t="shared" si="1"/>
        <v>25583.5424</v>
      </c>
      <c r="L3062" s="4">
        <f t="shared" si="2"/>
        <v>0.6404117047</v>
      </c>
    </row>
    <row r="3063">
      <c r="A3063" s="3" t="s">
        <v>176</v>
      </c>
      <c r="B3063" s="3">
        <v>83.6</v>
      </c>
      <c r="C3063" s="3">
        <v>9.73</v>
      </c>
      <c r="D3063" s="3">
        <v>133.0</v>
      </c>
      <c r="E3063" s="3">
        <v>5.36</v>
      </c>
      <c r="F3063" s="3">
        <v>40.33</v>
      </c>
      <c r="G3063" s="3">
        <v>153.04</v>
      </c>
      <c r="H3063" s="3">
        <v>0.0</v>
      </c>
      <c r="I3063" s="3">
        <v>48.99</v>
      </c>
      <c r="J3063" s="3">
        <v>0.0</v>
      </c>
      <c r="K3063" s="4">
        <f t="shared" si="1"/>
        <v>25047.7505</v>
      </c>
      <c r="L3063" s="4">
        <f t="shared" si="2"/>
        <v>0.7062111226</v>
      </c>
    </row>
    <row r="3064">
      <c r="A3064" s="3" t="s">
        <v>176</v>
      </c>
      <c r="B3064" s="3">
        <v>83.6</v>
      </c>
      <c r="C3064" s="3">
        <v>10.96</v>
      </c>
      <c r="D3064" s="3">
        <v>138.0</v>
      </c>
      <c r="E3064" s="3">
        <v>6.78</v>
      </c>
      <c r="F3064" s="3">
        <v>39.17</v>
      </c>
      <c r="G3064" s="3">
        <v>152.74</v>
      </c>
      <c r="H3064" s="3">
        <v>0.0</v>
      </c>
      <c r="I3064" s="3">
        <v>39.66</v>
      </c>
      <c r="J3064" s="3">
        <v>0.0</v>
      </c>
      <c r="K3064" s="4">
        <f t="shared" si="1"/>
        <v>24863.7965</v>
      </c>
      <c r="L3064" s="4">
        <f t="shared" si="2"/>
        <v>0.7659329097</v>
      </c>
    </row>
    <row r="3065">
      <c r="A3065" s="3" t="s">
        <v>176</v>
      </c>
      <c r="B3065" s="3">
        <v>83.6</v>
      </c>
      <c r="C3065" s="3">
        <v>12.19</v>
      </c>
      <c r="D3065" s="3">
        <v>143.0</v>
      </c>
      <c r="E3065" s="3">
        <v>6.42</v>
      </c>
      <c r="F3065" s="3">
        <v>46.36</v>
      </c>
      <c r="G3065" s="3">
        <v>150.89</v>
      </c>
      <c r="H3065" s="3">
        <v>0.0</v>
      </c>
      <c r="I3065" s="3">
        <v>25.26</v>
      </c>
      <c r="J3065" s="3">
        <v>0.0</v>
      </c>
      <c r="K3065" s="4">
        <f t="shared" si="1"/>
        <v>24917.0417</v>
      </c>
      <c r="L3065" s="4">
        <f t="shared" si="2"/>
        <v>0.8206832997</v>
      </c>
    </row>
    <row r="3066">
      <c r="A3066" s="3" t="s">
        <v>176</v>
      </c>
      <c r="B3066" s="3">
        <v>83.6</v>
      </c>
      <c r="C3066" s="3">
        <v>13.41</v>
      </c>
      <c r="D3066" s="3">
        <v>146.0</v>
      </c>
      <c r="E3066" s="3">
        <v>5.4</v>
      </c>
      <c r="F3066" s="3">
        <v>53.75</v>
      </c>
      <c r="G3066" s="3">
        <v>145.59</v>
      </c>
      <c r="H3066" s="3">
        <v>0.0</v>
      </c>
      <c r="I3066" s="3">
        <v>18.66</v>
      </c>
      <c r="J3066" s="3">
        <v>0.0</v>
      </c>
      <c r="K3066" s="4">
        <f t="shared" si="1"/>
        <v>24085.5106</v>
      </c>
      <c r="L3066" s="4">
        <f t="shared" si="2"/>
        <v>0.8850134155</v>
      </c>
    </row>
    <row r="3067">
      <c r="A3067" s="3" t="s">
        <v>176</v>
      </c>
      <c r="B3067" s="3">
        <v>83.6</v>
      </c>
      <c r="C3067" s="3">
        <v>14.55</v>
      </c>
      <c r="D3067" s="3">
        <v>148.0</v>
      </c>
      <c r="E3067" s="3">
        <v>4.5</v>
      </c>
      <c r="F3067" s="3">
        <v>56.66</v>
      </c>
      <c r="G3067" s="3">
        <v>141.61</v>
      </c>
      <c r="H3067" s="3">
        <v>0.0</v>
      </c>
      <c r="I3067" s="3">
        <v>14.96</v>
      </c>
      <c r="J3067" s="3">
        <v>0.0</v>
      </c>
      <c r="K3067" s="4">
        <f t="shared" si="1"/>
        <v>23263.7477</v>
      </c>
      <c r="L3067" s="4">
        <f t="shared" si="2"/>
        <v>0.9415507889</v>
      </c>
    </row>
    <row r="3068">
      <c r="A3068" s="3" t="s">
        <v>176</v>
      </c>
      <c r="B3068" s="3">
        <v>83.6</v>
      </c>
      <c r="C3068" s="3">
        <v>15.78</v>
      </c>
      <c r="D3068" s="3">
        <v>154.0</v>
      </c>
      <c r="E3068" s="3">
        <v>4.46</v>
      </c>
      <c r="F3068" s="3">
        <v>60.84</v>
      </c>
      <c r="G3068" s="3">
        <v>137.81</v>
      </c>
      <c r="H3068" s="3">
        <v>0.0</v>
      </c>
      <c r="I3068" s="3">
        <v>10.66</v>
      </c>
      <c r="J3068" s="3">
        <v>0.0</v>
      </c>
      <c r="K3068" s="4">
        <f t="shared" si="1"/>
        <v>22693.1017</v>
      </c>
      <c r="L3068" s="4">
        <f t="shared" si="2"/>
        <v>1.045075297</v>
      </c>
    </row>
    <row r="3069">
      <c r="A3069" s="3" t="s">
        <v>176</v>
      </c>
      <c r="B3069" s="3">
        <v>83.6</v>
      </c>
      <c r="C3069" s="3">
        <v>17.0</v>
      </c>
      <c r="D3069" s="3">
        <v>158.0</v>
      </c>
      <c r="E3069" s="3">
        <v>4.02</v>
      </c>
      <c r="F3069" s="3">
        <v>62.11</v>
      </c>
      <c r="G3069" s="3">
        <v>133.01</v>
      </c>
      <c r="H3069" s="3">
        <v>0.0</v>
      </c>
      <c r="I3069" s="3">
        <v>7.68</v>
      </c>
      <c r="J3069" s="3">
        <v>0.0</v>
      </c>
      <c r="K3069" s="4">
        <f t="shared" si="1"/>
        <v>21549.3122</v>
      </c>
      <c r="L3069" s="4">
        <f t="shared" si="2"/>
        <v>1.158459248</v>
      </c>
    </row>
    <row r="3070">
      <c r="A3070" s="3" t="s">
        <v>176</v>
      </c>
      <c r="B3070" s="3">
        <v>83.6</v>
      </c>
      <c r="C3070" s="3">
        <v>18.23</v>
      </c>
      <c r="D3070" s="3">
        <v>159.0</v>
      </c>
      <c r="E3070" s="3">
        <v>5.07</v>
      </c>
      <c r="F3070" s="3">
        <v>60.94</v>
      </c>
      <c r="G3070" s="3">
        <v>128.36</v>
      </c>
      <c r="H3070" s="3">
        <v>0.0</v>
      </c>
      <c r="I3070" s="3">
        <v>5.88</v>
      </c>
      <c r="J3070" s="3">
        <v>0.0</v>
      </c>
      <c r="K3070" s="4">
        <f t="shared" si="1"/>
        <v>20189.9732</v>
      </c>
      <c r="L3070" s="4">
        <f t="shared" si="2"/>
        <v>1.252156194</v>
      </c>
    </row>
    <row r="3071">
      <c r="A3071" s="3" t="s">
        <v>176</v>
      </c>
      <c r="B3071" s="3">
        <v>83.6</v>
      </c>
      <c r="C3071" s="3">
        <v>19.46</v>
      </c>
      <c r="D3071" s="3">
        <v>160.0</v>
      </c>
      <c r="E3071" s="3">
        <v>7.33</v>
      </c>
      <c r="F3071" s="3">
        <v>60.06</v>
      </c>
      <c r="G3071" s="3">
        <v>123.99</v>
      </c>
      <c r="H3071" s="3">
        <v>0.0</v>
      </c>
      <c r="I3071" s="3">
        <v>4.69</v>
      </c>
      <c r="J3071" s="3">
        <v>0.0</v>
      </c>
      <c r="K3071" s="4">
        <f t="shared" si="1"/>
        <v>18980.7237</v>
      </c>
      <c r="L3071" s="4">
        <f t="shared" si="2"/>
        <v>1.348736771</v>
      </c>
    </row>
    <row r="3072">
      <c r="A3072" s="3" t="s">
        <v>176</v>
      </c>
      <c r="B3072" s="3">
        <v>83.6</v>
      </c>
      <c r="C3072" s="3">
        <v>20.69</v>
      </c>
      <c r="D3072" s="3">
        <v>158.0</v>
      </c>
      <c r="E3072" s="3">
        <v>7.82</v>
      </c>
      <c r="F3072" s="3">
        <v>64.05</v>
      </c>
      <c r="G3072" s="3">
        <v>120.09</v>
      </c>
      <c r="H3072" s="3">
        <v>0.0</v>
      </c>
      <c r="I3072" s="3">
        <v>3.96</v>
      </c>
      <c r="J3072" s="3">
        <v>0.0</v>
      </c>
      <c r="K3072" s="4">
        <f t="shared" si="1"/>
        <v>18524.0106</v>
      </c>
      <c r="L3072" s="4">
        <f t="shared" si="2"/>
        <v>1.347656322</v>
      </c>
    </row>
    <row r="3073">
      <c r="A3073" s="3" t="s">
        <v>176</v>
      </c>
      <c r="B3073" s="3">
        <v>83.6</v>
      </c>
      <c r="C3073" s="3">
        <v>21.92</v>
      </c>
      <c r="D3073" s="3">
        <v>155.0</v>
      </c>
      <c r="E3073" s="3">
        <v>8.07</v>
      </c>
      <c r="F3073" s="3">
        <v>63.17</v>
      </c>
      <c r="G3073" s="3">
        <v>117.0</v>
      </c>
      <c r="H3073" s="3">
        <v>0.0</v>
      </c>
      <c r="I3073" s="3">
        <v>3.38</v>
      </c>
      <c r="J3073" s="3">
        <v>0.0</v>
      </c>
      <c r="K3073" s="4">
        <f t="shared" si="1"/>
        <v>17679.4489</v>
      </c>
      <c r="L3073" s="4">
        <f t="shared" si="2"/>
        <v>1.358922449</v>
      </c>
    </row>
    <row r="3074">
      <c r="A3074" s="3" t="s">
        <v>176</v>
      </c>
      <c r="B3074" s="3">
        <v>83.6</v>
      </c>
      <c r="C3074" s="3">
        <v>23.14</v>
      </c>
      <c r="D3074" s="3">
        <v>156.0</v>
      </c>
      <c r="E3074" s="3">
        <v>7.93</v>
      </c>
      <c r="F3074" s="3">
        <v>61.23</v>
      </c>
      <c r="G3074" s="3">
        <v>113.92</v>
      </c>
      <c r="H3074" s="3">
        <v>0.0</v>
      </c>
      <c r="I3074" s="3">
        <v>2.58</v>
      </c>
      <c r="J3074" s="3">
        <v>0.0</v>
      </c>
      <c r="K3074" s="4">
        <f t="shared" si="1"/>
        <v>16726.8793</v>
      </c>
      <c r="L3074" s="4">
        <f t="shared" si="2"/>
        <v>1.454903785</v>
      </c>
    </row>
    <row r="3075">
      <c r="A3075" s="3" t="s">
        <v>176</v>
      </c>
      <c r="B3075" s="3">
        <v>83.6</v>
      </c>
      <c r="C3075" s="3">
        <v>24.28</v>
      </c>
      <c r="D3075" s="3">
        <v>154.0</v>
      </c>
      <c r="E3075" s="3">
        <v>9.09</v>
      </c>
      <c r="F3075" s="3">
        <v>62.4</v>
      </c>
      <c r="G3075" s="3">
        <v>110.72</v>
      </c>
      <c r="H3075" s="3">
        <v>0.0</v>
      </c>
      <c r="I3075" s="3">
        <v>2.11</v>
      </c>
      <c r="J3075" s="3">
        <v>0.0</v>
      </c>
      <c r="K3075" s="4">
        <f t="shared" si="1"/>
        <v>16152.6784</v>
      </c>
      <c r="L3075" s="4">
        <f t="shared" si="2"/>
        <v>1.468239472</v>
      </c>
    </row>
    <row r="3076">
      <c r="A3076" s="3" t="s">
        <v>176</v>
      </c>
      <c r="B3076" s="3">
        <v>83.6</v>
      </c>
      <c r="C3076" s="3">
        <v>25.51</v>
      </c>
      <c r="D3076" s="3">
        <v>150.0</v>
      </c>
      <c r="E3076" s="3">
        <v>13.4</v>
      </c>
      <c r="F3076" s="3">
        <v>60.16</v>
      </c>
      <c r="G3076" s="3">
        <v>107.64</v>
      </c>
      <c r="H3076" s="3">
        <v>0.0</v>
      </c>
      <c r="I3076" s="3">
        <v>1.93</v>
      </c>
      <c r="J3076" s="3">
        <v>0.0</v>
      </c>
      <c r="K3076" s="4">
        <f t="shared" si="1"/>
        <v>15205.5952</v>
      </c>
      <c r="L3076" s="4">
        <f t="shared" si="2"/>
        <v>1.479718466</v>
      </c>
    </row>
    <row r="3077">
      <c r="A3077" s="3" t="s">
        <v>176</v>
      </c>
      <c r="B3077" s="3">
        <v>83.6</v>
      </c>
      <c r="C3077" s="3">
        <v>26.73</v>
      </c>
      <c r="D3077" s="3">
        <v>141.0</v>
      </c>
      <c r="E3077" s="3">
        <v>20.1</v>
      </c>
      <c r="F3077" s="3">
        <v>64.54</v>
      </c>
      <c r="G3077" s="3">
        <v>105.08</v>
      </c>
      <c r="H3077" s="3">
        <v>0.0</v>
      </c>
      <c r="I3077" s="3">
        <v>1.77</v>
      </c>
      <c r="J3077" s="3">
        <v>0.0</v>
      </c>
      <c r="K3077" s="4">
        <f t="shared" si="1"/>
        <v>15207.218</v>
      </c>
      <c r="L3077" s="4">
        <f t="shared" si="2"/>
        <v>1.307339712</v>
      </c>
    </row>
    <row r="3078">
      <c r="A3078" s="3" t="s">
        <v>176</v>
      </c>
      <c r="B3078" s="3">
        <v>83.6</v>
      </c>
      <c r="C3078" s="3">
        <v>27.96</v>
      </c>
      <c r="D3078" s="3">
        <v>152.0</v>
      </c>
      <c r="E3078" s="3">
        <v>16.0</v>
      </c>
      <c r="F3078" s="3">
        <v>66.58</v>
      </c>
      <c r="G3078" s="3">
        <v>102.79</v>
      </c>
      <c r="H3078" s="3">
        <v>0.0</v>
      </c>
      <c r="I3078" s="3">
        <v>1.67</v>
      </c>
      <c r="J3078" s="3">
        <v>0.0</v>
      </c>
      <c r="K3078" s="4">
        <f t="shared" si="1"/>
        <v>14998.6805</v>
      </c>
      <c r="L3078" s="4">
        <f t="shared" si="2"/>
        <v>1.540402171</v>
      </c>
    </row>
    <row r="3079">
      <c r="A3079" s="3" t="s">
        <v>177</v>
      </c>
      <c r="B3079" s="3">
        <v>57.1</v>
      </c>
      <c r="C3079" s="3">
        <v>0.32</v>
      </c>
      <c r="D3079" s="3">
        <v>284.0</v>
      </c>
      <c r="E3079" s="3">
        <v>34.7</v>
      </c>
      <c r="F3079" s="3">
        <v>-3.24</v>
      </c>
      <c r="G3079" s="3">
        <v>26.79</v>
      </c>
      <c r="H3079" s="3">
        <v>189.88</v>
      </c>
      <c r="I3079" s="3">
        <v>1402.59</v>
      </c>
      <c r="J3079" s="3">
        <v>19827.42</v>
      </c>
      <c r="K3079" s="4">
        <f t="shared" si="1"/>
        <v>728.2017</v>
      </c>
      <c r="L3079" s="4">
        <f t="shared" si="2"/>
        <v>110.7605214</v>
      </c>
    </row>
    <row r="3080">
      <c r="A3080" s="3" t="s">
        <v>177</v>
      </c>
      <c r="B3080" s="3">
        <v>57.1</v>
      </c>
      <c r="C3080" s="3">
        <v>0.63</v>
      </c>
      <c r="D3080" s="3">
        <v>282.0</v>
      </c>
      <c r="E3080" s="3">
        <v>18.8</v>
      </c>
      <c r="F3080" s="3">
        <v>-2.41</v>
      </c>
      <c r="G3080" s="3">
        <v>50.47</v>
      </c>
      <c r="H3080" s="3">
        <v>292.13</v>
      </c>
      <c r="I3080" s="3">
        <v>1303.47</v>
      </c>
      <c r="J3080" s="3">
        <v>10165.91</v>
      </c>
      <c r="K3080" s="4">
        <f t="shared" si="1"/>
        <v>2553.029</v>
      </c>
      <c r="L3080" s="4">
        <f t="shared" si="2"/>
        <v>31.14888237</v>
      </c>
    </row>
    <row r="3081">
      <c r="A3081" s="3" t="s">
        <v>177</v>
      </c>
      <c r="B3081" s="3">
        <v>57.1</v>
      </c>
      <c r="C3081" s="3">
        <v>0.95</v>
      </c>
      <c r="D3081" s="3">
        <v>281.0</v>
      </c>
      <c r="E3081" s="3">
        <v>12.6</v>
      </c>
      <c r="F3081" s="3">
        <v>-0.21</v>
      </c>
      <c r="G3081" s="3">
        <v>72.14</v>
      </c>
      <c r="H3081" s="3">
        <v>320.6</v>
      </c>
      <c r="I3081" s="3">
        <v>1208.5</v>
      </c>
      <c r="J3081" s="3">
        <v>5354.8</v>
      </c>
      <c r="K3081" s="4">
        <f t="shared" si="1"/>
        <v>5204.2237</v>
      </c>
      <c r="L3081" s="4">
        <f t="shared" si="2"/>
        <v>15.17248384</v>
      </c>
    </row>
    <row r="3082">
      <c r="A3082" s="3" t="s">
        <v>177</v>
      </c>
      <c r="B3082" s="3">
        <v>57.1</v>
      </c>
      <c r="C3082" s="3">
        <v>1.26</v>
      </c>
      <c r="D3082" s="3">
        <v>280.0</v>
      </c>
      <c r="E3082" s="3">
        <v>10.6</v>
      </c>
      <c r="F3082" s="3">
        <v>2.45</v>
      </c>
      <c r="G3082" s="3">
        <v>90.82</v>
      </c>
      <c r="H3082" s="3">
        <v>326.59</v>
      </c>
      <c r="I3082" s="3">
        <v>1123.1</v>
      </c>
      <c r="J3082" s="3">
        <v>3300.36</v>
      </c>
      <c r="K3082" s="4">
        <f t="shared" si="1"/>
        <v>8254.2749</v>
      </c>
      <c r="L3082" s="4">
        <f t="shared" si="2"/>
        <v>9.498108671</v>
      </c>
    </row>
    <row r="3083">
      <c r="A3083" s="3" t="s">
        <v>177</v>
      </c>
      <c r="B3083" s="3">
        <v>57.1</v>
      </c>
      <c r="C3083" s="3">
        <v>1.58</v>
      </c>
      <c r="D3083" s="3">
        <v>280.0</v>
      </c>
      <c r="E3083" s="3">
        <v>10.8</v>
      </c>
      <c r="F3083" s="3">
        <v>3.54</v>
      </c>
      <c r="G3083" s="3">
        <v>108.12</v>
      </c>
      <c r="H3083" s="3">
        <v>325.9</v>
      </c>
      <c r="I3083" s="3">
        <v>1041.27</v>
      </c>
      <c r="J3083" s="3">
        <v>2103.94</v>
      </c>
      <c r="K3083" s="4">
        <f t="shared" si="1"/>
        <v>11702.466</v>
      </c>
      <c r="L3083" s="4">
        <f t="shared" si="2"/>
        <v>6.699442664</v>
      </c>
    </row>
    <row r="3084">
      <c r="A3084" s="3" t="s">
        <v>177</v>
      </c>
      <c r="B3084" s="3">
        <v>57.1</v>
      </c>
      <c r="C3084" s="3">
        <v>1.89</v>
      </c>
      <c r="D3084" s="3">
        <v>279.0</v>
      </c>
      <c r="E3084" s="3">
        <v>7.67</v>
      </c>
      <c r="F3084" s="3">
        <v>4.4</v>
      </c>
      <c r="G3084" s="3">
        <v>123.29</v>
      </c>
      <c r="H3084" s="3">
        <v>320.4</v>
      </c>
      <c r="I3084" s="3">
        <v>967.69</v>
      </c>
      <c r="J3084" s="3">
        <v>1429.43</v>
      </c>
      <c r="K3084" s="4">
        <f t="shared" si="1"/>
        <v>15219.7841</v>
      </c>
      <c r="L3084" s="4">
        <f t="shared" si="2"/>
        <v>5.114461512</v>
      </c>
    </row>
    <row r="3085">
      <c r="A3085" s="3" t="s">
        <v>177</v>
      </c>
      <c r="B3085" s="3">
        <v>57.1</v>
      </c>
      <c r="C3085" s="3">
        <v>2.21</v>
      </c>
      <c r="D3085" s="3">
        <v>279.0</v>
      </c>
      <c r="E3085" s="3">
        <v>11.2</v>
      </c>
      <c r="F3085" s="3">
        <v>5.23</v>
      </c>
      <c r="G3085" s="3">
        <v>137.43</v>
      </c>
      <c r="H3085" s="3">
        <v>313.32</v>
      </c>
      <c r="I3085" s="3">
        <v>897.18</v>
      </c>
      <c r="J3085" s="3">
        <v>1006.49</v>
      </c>
      <c r="K3085" s="4">
        <f t="shared" si="1"/>
        <v>18914.3578</v>
      </c>
      <c r="L3085" s="4">
        <f t="shared" si="2"/>
        <v>4.11544504</v>
      </c>
    </row>
    <row r="3086">
      <c r="A3086" s="3" t="s">
        <v>177</v>
      </c>
      <c r="B3086" s="3">
        <v>57.1</v>
      </c>
      <c r="C3086" s="3">
        <v>2.52</v>
      </c>
      <c r="D3086" s="3">
        <v>279.0</v>
      </c>
      <c r="E3086" s="3">
        <v>4.45</v>
      </c>
      <c r="F3086" s="3">
        <v>6.01</v>
      </c>
      <c r="G3086" s="3">
        <v>149.84</v>
      </c>
      <c r="H3086" s="3">
        <v>305.5</v>
      </c>
      <c r="I3086" s="3">
        <v>833.78</v>
      </c>
      <c r="J3086" s="3">
        <v>748.35</v>
      </c>
      <c r="K3086" s="4">
        <f t="shared" si="1"/>
        <v>22488.1457</v>
      </c>
      <c r="L3086" s="4">
        <f t="shared" si="2"/>
        <v>3.461423678</v>
      </c>
    </row>
    <row r="3087">
      <c r="A3087" s="3" t="s">
        <v>177</v>
      </c>
      <c r="B3087" s="3">
        <v>57.1</v>
      </c>
      <c r="C3087" s="3">
        <v>2.84</v>
      </c>
      <c r="D3087" s="3">
        <v>279.0</v>
      </c>
      <c r="E3087" s="3">
        <v>5.03</v>
      </c>
      <c r="F3087" s="3">
        <v>6.75</v>
      </c>
      <c r="G3087" s="3">
        <v>161.33</v>
      </c>
      <c r="H3087" s="3">
        <v>297.22</v>
      </c>
      <c r="I3087" s="3">
        <v>773.03</v>
      </c>
      <c r="J3087" s="3">
        <v>612.35</v>
      </c>
      <c r="K3087" s="4">
        <f t="shared" si="1"/>
        <v>26072.9314</v>
      </c>
      <c r="L3087" s="4">
        <f t="shared" si="2"/>
        <v>2.985510099</v>
      </c>
    </row>
    <row r="3088">
      <c r="A3088" s="3" t="s">
        <v>177</v>
      </c>
      <c r="B3088" s="3">
        <v>57.1</v>
      </c>
      <c r="C3088" s="3">
        <v>3.15</v>
      </c>
      <c r="D3088" s="3">
        <v>279.0</v>
      </c>
      <c r="E3088" s="3">
        <v>4.26</v>
      </c>
      <c r="F3088" s="3">
        <v>7.48</v>
      </c>
      <c r="G3088" s="3">
        <v>171.56</v>
      </c>
      <c r="H3088" s="3">
        <v>290.7</v>
      </c>
      <c r="I3088" s="3">
        <v>718.39</v>
      </c>
      <c r="J3088" s="3">
        <v>534.72</v>
      </c>
      <c r="K3088" s="4">
        <f t="shared" si="1"/>
        <v>29488.784</v>
      </c>
      <c r="L3088" s="4">
        <f t="shared" si="2"/>
        <v>2.639681582</v>
      </c>
    </row>
    <row r="3089">
      <c r="A3089" s="3" t="s">
        <v>177</v>
      </c>
      <c r="B3089" s="3">
        <v>57.1</v>
      </c>
      <c r="C3089" s="3">
        <v>3.47</v>
      </c>
      <c r="D3089" s="3">
        <v>279.0</v>
      </c>
      <c r="E3089" s="3">
        <v>4.14</v>
      </c>
      <c r="F3089" s="3">
        <v>8.19</v>
      </c>
      <c r="G3089" s="3">
        <v>181.11</v>
      </c>
      <c r="H3089" s="3">
        <v>286.88</v>
      </c>
      <c r="I3089" s="3">
        <v>666.05</v>
      </c>
      <c r="J3089" s="3">
        <v>422.4</v>
      </c>
      <c r="K3089" s="4">
        <f t="shared" si="1"/>
        <v>32867.9082</v>
      </c>
      <c r="L3089" s="4">
        <f t="shared" si="2"/>
        <v>2.368297962</v>
      </c>
    </row>
    <row r="3090">
      <c r="A3090" s="3" t="s">
        <v>177</v>
      </c>
      <c r="B3090" s="3">
        <v>57.1</v>
      </c>
      <c r="C3090" s="3">
        <v>3.79</v>
      </c>
      <c r="D3090" s="3">
        <v>279.0</v>
      </c>
      <c r="E3090" s="3">
        <v>5.73</v>
      </c>
      <c r="F3090" s="3">
        <v>8.9</v>
      </c>
      <c r="G3090" s="3">
        <v>189.8</v>
      </c>
      <c r="H3090" s="3">
        <v>283.42</v>
      </c>
      <c r="I3090" s="3">
        <v>617.52</v>
      </c>
      <c r="J3090" s="3">
        <v>288.59</v>
      </c>
      <c r="K3090" s="4">
        <f t="shared" si="1"/>
        <v>36103.25</v>
      </c>
      <c r="L3090" s="4">
        <f t="shared" si="2"/>
        <v>2.156066282</v>
      </c>
    </row>
    <row r="3091">
      <c r="A3091" s="3" t="s">
        <v>177</v>
      </c>
      <c r="B3091" s="3">
        <v>57.1</v>
      </c>
      <c r="C3091" s="3">
        <v>4.1</v>
      </c>
      <c r="D3091" s="3">
        <v>280.0</v>
      </c>
      <c r="E3091" s="3">
        <v>4.52</v>
      </c>
      <c r="F3091" s="3">
        <v>9.6</v>
      </c>
      <c r="G3091" s="3">
        <v>197.34</v>
      </c>
      <c r="H3091" s="3">
        <v>279.37</v>
      </c>
      <c r="I3091" s="3">
        <v>573.89</v>
      </c>
      <c r="J3091" s="3">
        <v>189.15</v>
      </c>
      <c r="K3091" s="4">
        <f t="shared" si="1"/>
        <v>39035.2356</v>
      </c>
      <c r="L3091" s="4">
        <f t="shared" si="2"/>
        <v>2.008441829</v>
      </c>
    </row>
    <row r="3092">
      <c r="A3092" s="3" t="s">
        <v>177</v>
      </c>
      <c r="B3092" s="3">
        <v>57.1</v>
      </c>
      <c r="C3092" s="3">
        <v>4.42</v>
      </c>
      <c r="D3092" s="3">
        <v>280.0</v>
      </c>
      <c r="E3092" s="3">
        <v>4.86</v>
      </c>
      <c r="F3092" s="3">
        <v>10.25</v>
      </c>
      <c r="G3092" s="3">
        <v>204.41</v>
      </c>
      <c r="H3092" s="3">
        <v>274.03</v>
      </c>
      <c r="I3092" s="3">
        <v>532.06</v>
      </c>
      <c r="J3092" s="3">
        <v>95.7</v>
      </c>
      <c r="K3092" s="4">
        <f t="shared" si="1"/>
        <v>41888.5106</v>
      </c>
      <c r="L3092" s="4">
        <f t="shared" si="2"/>
        <v>1.871634939</v>
      </c>
    </row>
    <row r="3093">
      <c r="A3093" s="3" t="s">
        <v>177</v>
      </c>
      <c r="B3093" s="3">
        <v>57.1</v>
      </c>
      <c r="C3093" s="3">
        <v>4.73</v>
      </c>
      <c r="D3093" s="3">
        <v>280.0</v>
      </c>
      <c r="E3093" s="3">
        <v>1.59</v>
      </c>
      <c r="F3093" s="3">
        <v>10.97</v>
      </c>
      <c r="G3093" s="3">
        <v>210.6</v>
      </c>
      <c r="H3093" s="3">
        <v>267.5</v>
      </c>
      <c r="I3093" s="3">
        <v>487.58</v>
      </c>
      <c r="J3093" s="3">
        <v>49.26</v>
      </c>
      <c r="K3093" s="4">
        <f t="shared" si="1"/>
        <v>44472.7009</v>
      </c>
      <c r="L3093" s="4">
        <f t="shared" si="2"/>
        <v>1.762879214</v>
      </c>
    </row>
    <row r="3094">
      <c r="A3094" s="3" t="s">
        <v>177</v>
      </c>
      <c r="B3094" s="3">
        <v>57.1</v>
      </c>
      <c r="C3094" s="3">
        <v>5.05</v>
      </c>
      <c r="D3094" s="3">
        <v>281.0</v>
      </c>
      <c r="E3094" s="3">
        <v>1.85</v>
      </c>
      <c r="F3094" s="3">
        <v>11.69</v>
      </c>
      <c r="G3094" s="3">
        <v>215.35</v>
      </c>
      <c r="H3094" s="3">
        <v>260.4</v>
      </c>
      <c r="I3094" s="3">
        <v>441.24</v>
      </c>
      <c r="J3094" s="3">
        <v>24.96</v>
      </c>
      <c r="K3094" s="4">
        <f t="shared" si="1"/>
        <v>46512.2786</v>
      </c>
      <c r="L3094" s="4">
        <f t="shared" si="2"/>
        <v>1.69763775</v>
      </c>
    </row>
    <row r="3095">
      <c r="A3095" s="3" t="s">
        <v>177</v>
      </c>
      <c r="B3095" s="3">
        <v>57.1</v>
      </c>
      <c r="C3095" s="3">
        <v>5.36</v>
      </c>
      <c r="D3095" s="3">
        <v>282.0</v>
      </c>
      <c r="E3095" s="3">
        <v>4.81</v>
      </c>
      <c r="F3095" s="3">
        <v>12.31</v>
      </c>
      <c r="G3095" s="3">
        <v>218.91</v>
      </c>
      <c r="H3095" s="3">
        <v>253.49</v>
      </c>
      <c r="I3095" s="3">
        <v>408.32</v>
      </c>
      <c r="J3095" s="3">
        <v>12.96</v>
      </c>
      <c r="K3095" s="4">
        <f t="shared" si="1"/>
        <v>48073.1242</v>
      </c>
      <c r="L3095" s="4">
        <f t="shared" si="2"/>
        <v>1.654229912</v>
      </c>
    </row>
    <row r="3096">
      <c r="A3096" s="3" t="s">
        <v>177</v>
      </c>
      <c r="B3096" s="3">
        <v>57.1</v>
      </c>
      <c r="C3096" s="3">
        <v>5.68</v>
      </c>
      <c r="D3096" s="3">
        <v>282.0</v>
      </c>
      <c r="E3096" s="3">
        <v>20.3</v>
      </c>
      <c r="F3096" s="3">
        <v>13.02</v>
      </c>
      <c r="G3096" s="3">
        <v>222.04</v>
      </c>
      <c r="H3096" s="3">
        <v>246.69</v>
      </c>
      <c r="I3096" s="3">
        <v>380.67</v>
      </c>
      <c r="J3096" s="3">
        <v>6.52</v>
      </c>
      <c r="K3096" s="4">
        <f t="shared" si="1"/>
        <v>49471.282</v>
      </c>
      <c r="L3096" s="4">
        <f t="shared" si="2"/>
        <v>1.607478052</v>
      </c>
    </row>
    <row r="3097">
      <c r="A3097" s="3" t="s">
        <v>177</v>
      </c>
      <c r="B3097" s="3">
        <v>57.1</v>
      </c>
      <c r="C3097" s="3">
        <v>5.99</v>
      </c>
      <c r="D3097" s="3">
        <v>283.0</v>
      </c>
      <c r="E3097" s="3">
        <v>12.8</v>
      </c>
      <c r="F3097" s="3">
        <v>13.74</v>
      </c>
      <c r="G3097" s="3">
        <v>224.98</v>
      </c>
      <c r="H3097" s="3">
        <v>240.45</v>
      </c>
      <c r="I3097" s="3">
        <v>359.58</v>
      </c>
      <c r="J3097" s="3">
        <v>3.4</v>
      </c>
      <c r="K3097" s="4">
        <f t="shared" si="1"/>
        <v>50804.788</v>
      </c>
      <c r="L3097" s="4">
        <f t="shared" si="2"/>
        <v>1.576406539</v>
      </c>
    </row>
    <row r="3098">
      <c r="A3098" s="3" t="s">
        <v>177</v>
      </c>
      <c r="B3098" s="3">
        <v>57.1</v>
      </c>
      <c r="C3098" s="3">
        <v>6.31</v>
      </c>
      <c r="D3098" s="3">
        <v>284.0</v>
      </c>
      <c r="E3098" s="3">
        <v>8.08</v>
      </c>
      <c r="F3098" s="3">
        <v>14.46</v>
      </c>
      <c r="G3098" s="3">
        <v>228.22</v>
      </c>
      <c r="H3098" s="3">
        <v>234.35</v>
      </c>
      <c r="I3098" s="3">
        <v>341.54</v>
      </c>
      <c r="J3098" s="3">
        <v>1.71</v>
      </c>
      <c r="K3098" s="4">
        <f t="shared" si="1"/>
        <v>52293.46</v>
      </c>
      <c r="L3098" s="4">
        <f t="shared" si="2"/>
        <v>1.542372603</v>
      </c>
    </row>
    <row r="3099">
      <c r="A3099" s="3" t="s">
        <v>177</v>
      </c>
      <c r="B3099" s="3">
        <v>57.1</v>
      </c>
      <c r="C3099" s="3">
        <v>6.62</v>
      </c>
      <c r="D3099" s="3">
        <v>284.0</v>
      </c>
      <c r="E3099" s="3">
        <v>7.81</v>
      </c>
      <c r="F3099" s="3">
        <v>15.07</v>
      </c>
      <c r="G3099" s="3">
        <v>231.93</v>
      </c>
      <c r="H3099" s="3">
        <v>228.92</v>
      </c>
      <c r="I3099" s="3">
        <v>326.7</v>
      </c>
      <c r="J3099" s="3">
        <v>0.89</v>
      </c>
      <c r="K3099" s="4">
        <f t="shared" si="1"/>
        <v>54018.6298</v>
      </c>
      <c r="L3099" s="4">
        <f t="shared" si="2"/>
        <v>1.493114511</v>
      </c>
    </row>
    <row r="3100">
      <c r="A3100" s="3" t="s">
        <v>177</v>
      </c>
      <c r="B3100" s="3">
        <v>57.1</v>
      </c>
      <c r="C3100" s="3">
        <v>6.94</v>
      </c>
      <c r="D3100" s="3">
        <v>285.0</v>
      </c>
      <c r="E3100" s="3">
        <v>10.4</v>
      </c>
      <c r="F3100" s="3">
        <v>15.79</v>
      </c>
      <c r="G3100" s="3">
        <v>235.94</v>
      </c>
      <c r="H3100" s="3">
        <v>223.68</v>
      </c>
      <c r="I3100" s="3">
        <v>306.23</v>
      </c>
      <c r="J3100" s="3">
        <v>0.45</v>
      </c>
      <c r="K3100" s="4">
        <f t="shared" si="1"/>
        <v>55917.0077</v>
      </c>
      <c r="L3100" s="4">
        <f t="shared" si="2"/>
        <v>1.452599188</v>
      </c>
    </row>
    <row r="3101">
      <c r="A3101" s="3" t="s">
        <v>177</v>
      </c>
      <c r="B3101" s="3">
        <v>57.1</v>
      </c>
      <c r="C3101" s="3">
        <v>7.57</v>
      </c>
      <c r="D3101" s="3">
        <v>286.0</v>
      </c>
      <c r="E3101" s="3">
        <v>6.82</v>
      </c>
      <c r="F3101" s="3">
        <v>17.23</v>
      </c>
      <c r="G3101" s="3">
        <v>242.45</v>
      </c>
      <c r="H3101" s="3">
        <v>214.14</v>
      </c>
      <c r="I3101" s="3">
        <v>257.47</v>
      </c>
      <c r="J3101" s="3">
        <v>0.12</v>
      </c>
      <c r="K3101" s="4">
        <f t="shared" si="1"/>
        <v>59078.8754</v>
      </c>
      <c r="L3101" s="4">
        <f t="shared" si="2"/>
        <v>1.384521954</v>
      </c>
    </row>
    <row r="3102">
      <c r="A3102" s="3" t="s">
        <v>177</v>
      </c>
      <c r="B3102" s="3">
        <v>57.1</v>
      </c>
      <c r="C3102" s="3">
        <v>7.89</v>
      </c>
      <c r="D3102" s="3">
        <v>287.0</v>
      </c>
      <c r="E3102" s="3">
        <v>13.4</v>
      </c>
      <c r="F3102" s="3">
        <v>17.95</v>
      </c>
      <c r="G3102" s="3">
        <v>243.91</v>
      </c>
      <c r="H3102" s="3">
        <v>209.75</v>
      </c>
      <c r="I3102" s="3">
        <v>227.66</v>
      </c>
      <c r="J3102" s="3">
        <v>0.06</v>
      </c>
      <c r="K3102" s="4">
        <f t="shared" si="1"/>
        <v>59814.2906</v>
      </c>
      <c r="L3102" s="4">
        <f t="shared" si="2"/>
        <v>1.377078942</v>
      </c>
    </row>
    <row r="3103">
      <c r="A3103" s="3" t="s">
        <v>177</v>
      </c>
      <c r="B3103" s="3">
        <v>57.1</v>
      </c>
      <c r="C3103" s="3">
        <v>8.2</v>
      </c>
      <c r="D3103" s="3">
        <v>287.0</v>
      </c>
      <c r="E3103" s="3">
        <v>10.5</v>
      </c>
      <c r="F3103" s="3">
        <v>18.77</v>
      </c>
      <c r="G3103" s="3">
        <v>244.06</v>
      </c>
      <c r="H3103" s="3">
        <v>205.73</v>
      </c>
      <c r="I3103" s="3">
        <v>209.07</v>
      </c>
      <c r="J3103" s="3">
        <v>0.03</v>
      </c>
      <c r="K3103" s="4">
        <f t="shared" si="1"/>
        <v>59917.5965</v>
      </c>
      <c r="L3103" s="4">
        <f t="shared" si="2"/>
        <v>1.374704675</v>
      </c>
    </row>
    <row r="3104">
      <c r="A3104" s="3" t="s">
        <v>177</v>
      </c>
      <c r="B3104" s="3">
        <v>57.1</v>
      </c>
      <c r="C3104" s="3">
        <v>8.31</v>
      </c>
      <c r="D3104" s="3">
        <v>288.0</v>
      </c>
      <c r="E3104" s="3">
        <v>2.93</v>
      </c>
      <c r="F3104" s="3">
        <v>18.97</v>
      </c>
      <c r="G3104" s="3">
        <v>244.14</v>
      </c>
      <c r="H3104" s="3">
        <v>204.35</v>
      </c>
      <c r="I3104" s="3">
        <v>204.24</v>
      </c>
      <c r="J3104" s="3">
        <v>0.02</v>
      </c>
      <c r="K3104" s="4">
        <f t="shared" si="1"/>
        <v>59964.2005</v>
      </c>
      <c r="L3104" s="4">
        <f t="shared" si="2"/>
        <v>1.383225313</v>
      </c>
    </row>
    <row r="3105">
      <c r="A3105" s="3" t="s">
        <v>177</v>
      </c>
      <c r="B3105" s="3">
        <v>57.1</v>
      </c>
      <c r="C3105" s="3">
        <v>8.52</v>
      </c>
      <c r="D3105" s="3">
        <v>288.0</v>
      </c>
      <c r="E3105" s="3">
        <v>5.58</v>
      </c>
      <c r="F3105" s="3">
        <v>19.59</v>
      </c>
      <c r="G3105" s="3">
        <v>244.43</v>
      </c>
      <c r="H3105" s="3">
        <v>201.86</v>
      </c>
      <c r="I3105" s="3">
        <v>197.13</v>
      </c>
      <c r="J3105" s="3">
        <v>0.02</v>
      </c>
      <c r="K3105" s="4">
        <f t="shared" si="1"/>
        <v>60129.793</v>
      </c>
      <c r="L3105" s="4">
        <f t="shared" si="2"/>
        <v>1.379416024</v>
      </c>
    </row>
    <row r="3106">
      <c r="A3106" s="3" t="s">
        <v>177</v>
      </c>
      <c r="B3106" s="3">
        <v>57.1</v>
      </c>
      <c r="C3106" s="3">
        <v>8.83</v>
      </c>
      <c r="D3106" s="3">
        <v>288.0</v>
      </c>
      <c r="E3106" s="3">
        <v>5.74</v>
      </c>
      <c r="F3106" s="3">
        <v>20.3</v>
      </c>
      <c r="G3106" s="3">
        <v>245.34</v>
      </c>
      <c r="H3106" s="3">
        <v>198.26</v>
      </c>
      <c r="I3106" s="3">
        <v>187.41</v>
      </c>
      <c r="J3106" s="3">
        <v>0.01</v>
      </c>
      <c r="K3106" s="4">
        <f t="shared" si="1"/>
        <v>60603.8056</v>
      </c>
      <c r="L3106" s="4">
        <f t="shared" si="2"/>
        <v>1.368626923</v>
      </c>
    </row>
    <row r="3107">
      <c r="A3107" s="3" t="s">
        <v>177</v>
      </c>
      <c r="B3107" s="3">
        <v>57.1</v>
      </c>
      <c r="C3107" s="3">
        <v>9.15</v>
      </c>
      <c r="D3107" s="3">
        <v>288.0</v>
      </c>
      <c r="E3107" s="3">
        <v>7.0</v>
      </c>
      <c r="F3107" s="3">
        <v>21.12</v>
      </c>
      <c r="G3107" s="3">
        <v>245.9</v>
      </c>
      <c r="H3107" s="3">
        <v>194.78</v>
      </c>
      <c r="I3107" s="3">
        <v>171.33</v>
      </c>
      <c r="J3107" s="3">
        <v>0.0</v>
      </c>
      <c r="K3107" s="4">
        <f t="shared" si="1"/>
        <v>60912.8644</v>
      </c>
      <c r="L3107" s="4">
        <f t="shared" si="2"/>
        <v>1.361682804</v>
      </c>
    </row>
    <row r="3108">
      <c r="A3108" s="3" t="s">
        <v>177</v>
      </c>
      <c r="B3108" s="3">
        <v>57.1</v>
      </c>
      <c r="C3108" s="3">
        <v>9.78</v>
      </c>
      <c r="D3108" s="3">
        <v>289.0</v>
      </c>
      <c r="E3108" s="3">
        <v>12.7</v>
      </c>
      <c r="F3108" s="3">
        <v>22.56</v>
      </c>
      <c r="G3108" s="3">
        <v>245.25</v>
      </c>
      <c r="H3108" s="3">
        <v>188.37</v>
      </c>
      <c r="I3108" s="3">
        <v>138.98</v>
      </c>
      <c r="J3108" s="3">
        <v>0.0</v>
      </c>
      <c r="K3108" s="4">
        <f t="shared" si="1"/>
        <v>60656.5161</v>
      </c>
      <c r="L3108" s="4">
        <f t="shared" si="2"/>
        <v>1.376950167</v>
      </c>
    </row>
    <row r="3109">
      <c r="A3109" s="3" t="s">
        <v>177</v>
      </c>
      <c r="B3109" s="3">
        <v>57.1</v>
      </c>
      <c r="C3109" s="3">
        <v>10.1</v>
      </c>
      <c r="D3109" s="3">
        <v>289.0</v>
      </c>
      <c r="E3109" s="3">
        <v>3.89</v>
      </c>
      <c r="F3109" s="3">
        <v>23.18</v>
      </c>
      <c r="G3109" s="3">
        <v>244.0</v>
      </c>
      <c r="H3109" s="3">
        <v>185.3</v>
      </c>
      <c r="I3109" s="3">
        <v>127.27</v>
      </c>
      <c r="J3109" s="3">
        <v>0.0</v>
      </c>
      <c r="K3109" s="4">
        <f t="shared" si="1"/>
        <v>60073.3124</v>
      </c>
      <c r="L3109" s="4">
        <f t="shared" si="2"/>
        <v>1.390317874</v>
      </c>
    </row>
    <row r="3110">
      <c r="A3110" s="3" t="s">
        <v>177</v>
      </c>
      <c r="B3110" s="3">
        <v>57.1</v>
      </c>
      <c r="C3110" s="3">
        <v>11.04</v>
      </c>
      <c r="D3110" s="3">
        <v>288.0</v>
      </c>
      <c r="E3110" s="3">
        <v>5.02</v>
      </c>
      <c r="F3110" s="3">
        <v>25.23</v>
      </c>
      <c r="G3110" s="3">
        <v>239.18</v>
      </c>
      <c r="H3110" s="3">
        <v>177.32</v>
      </c>
      <c r="I3110" s="3">
        <v>102.81</v>
      </c>
      <c r="J3110" s="3">
        <v>0.0</v>
      </c>
      <c r="K3110" s="4">
        <f t="shared" si="1"/>
        <v>57843.6253</v>
      </c>
      <c r="L3110" s="4">
        <f t="shared" si="2"/>
        <v>1.43393502</v>
      </c>
    </row>
    <row r="3111">
      <c r="A3111" s="3" t="s">
        <v>177</v>
      </c>
      <c r="B3111" s="3">
        <v>57.1</v>
      </c>
      <c r="C3111" s="3">
        <v>11.36</v>
      </c>
      <c r="D3111" s="3">
        <v>288.0</v>
      </c>
      <c r="E3111" s="3">
        <v>3.39</v>
      </c>
      <c r="F3111" s="3">
        <v>25.74</v>
      </c>
      <c r="G3111" s="3">
        <v>237.64</v>
      </c>
      <c r="H3111" s="3">
        <v>174.8</v>
      </c>
      <c r="I3111" s="3">
        <v>97.25</v>
      </c>
      <c r="J3111" s="3">
        <v>0.0</v>
      </c>
      <c r="K3111" s="4">
        <f t="shared" si="1"/>
        <v>57135.3172</v>
      </c>
      <c r="L3111" s="4">
        <f t="shared" si="2"/>
        <v>1.451711552</v>
      </c>
    </row>
    <row r="3112">
      <c r="A3112" s="3" t="s">
        <v>177</v>
      </c>
      <c r="B3112" s="3">
        <v>57.1</v>
      </c>
      <c r="C3112" s="3">
        <v>11.67</v>
      </c>
      <c r="D3112" s="3">
        <v>288.0</v>
      </c>
      <c r="E3112" s="3">
        <v>10.7</v>
      </c>
      <c r="F3112" s="3">
        <v>26.35</v>
      </c>
      <c r="G3112" s="3">
        <v>236.26</v>
      </c>
      <c r="H3112" s="3">
        <v>172.47</v>
      </c>
      <c r="I3112" s="3">
        <v>92.94</v>
      </c>
      <c r="J3112" s="3">
        <v>0.0</v>
      </c>
      <c r="K3112" s="4">
        <f t="shared" si="1"/>
        <v>56513.1101</v>
      </c>
      <c r="L3112" s="4">
        <f t="shared" si="2"/>
        <v>1.467694838</v>
      </c>
    </row>
    <row r="3113">
      <c r="A3113" s="3" t="s">
        <v>177</v>
      </c>
      <c r="B3113" s="3">
        <v>57.1</v>
      </c>
      <c r="C3113" s="3">
        <v>13.57</v>
      </c>
      <c r="D3113" s="3">
        <v>285.0</v>
      </c>
      <c r="E3113" s="3">
        <v>4.07</v>
      </c>
      <c r="F3113" s="3">
        <v>29.02</v>
      </c>
      <c r="G3113" s="3">
        <v>230.28</v>
      </c>
      <c r="H3113" s="3">
        <v>159.94</v>
      </c>
      <c r="I3113" s="3">
        <v>69.68</v>
      </c>
      <c r="J3113" s="3">
        <v>0.0</v>
      </c>
      <c r="K3113" s="4">
        <f t="shared" si="1"/>
        <v>53871.0388</v>
      </c>
      <c r="L3113" s="4">
        <f t="shared" si="2"/>
        <v>1.507767472</v>
      </c>
    </row>
    <row r="3114">
      <c r="A3114" s="3" t="s">
        <v>177</v>
      </c>
      <c r="B3114" s="3">
        <v>57.1</v>
      </c>
      <c r="C3114" s="3">
        <v>13.88</v>
      </c>
      <c r="D3114" s="3">
        <v>284.0</v>
      </c>
      <c r="E3114" s="3">
        <v>8.92</v>
      </c>
      <c r="F3114" s="3">
        <v>29.38</v>
      </c>
      <c r="G3114" s="3">
        <v>229.01</v>
      </c>
      <c r="H3114" s="3">
        <v>158.15</v>
      </c>
      <c r="I3114" s="3">
        <v>65.64</v>
      </c>
      <c r="J3114" s="3">
        <v>0.0</v>
      </c>
      <c r="K3114" s="4">
        <f t="shared" si="1"/>
        <v>53308.7645</v>
      </c>
      <c r="L3114" s="4">
        <f t="shared" si="2"/>
        <v>1.512996986</v>
      </c>
    </row>
    <row r="3115">
      <c r="A3115" s="3" t="s">
        <v>177</v>
      </c>
      <c r="B3115" s="3">
        <v>57.1</v>
      </c>
      <c r="C3115" s="3">
        <v>14.2</v>
      </c>
      <c r="D3115" s="3">
        <v>284.0</v>
      </c>
      <c r="E3115" s="3">
        <v>5.69</v>
      </c>
      <c r="F3115" s="3">
        <v>29.84</v>
      </c>
      <c r="G3115" s="3">
        <v>228.03</v>
      </c>
      <c r="H3115" s="3">
        <v>156.35</v>
      </c>
      <c r="I3115" s="3">
        <v>61.84</v>
      </c>
      <c r="J3115" s="3">
        <v>0.0</v>
      </c>
      <c r="K3115" s="4">
        <f t="shared" si="1"/>
        <v>52888.1065</v>
      </c>
      <c r="L3115" s="4">
        <f t="shared" si="2"/>
        <v>1.525030963</v>
      </c>
    </row>
    <row r="3116">
      <c r="A3116" s="3" t="s">
        <v>177</v>
      </c>
      <c r="B3116" s="3">
        <v>57.1</v>
      </c>
      <c r="C3116" s="3">
        <v>16.61</v>
      </c>
      <c r="D3116" s="3">
        <v>278.0</v>
      </c>
      <c r="E3116" s="3">
        <v>9.14</v>
      </c>
      <c r="F3116" s="3">
        <v>32.61</v>
      </c>
      <c r="G3116" s="3">
        <v>219.86</v>
      </c>
      <c r="H3116" s="3">
        <v>144.57</v>
      </c>
      <c r="I3116" s="3">
        <v>45.35</v>
      </c>
      <c r="J3116" s="3">
        <v>0.0</v>
      </c>
      <c r="K3116" s="4">
        <f t="shared" si="1"/>
        <v>49401.8317</v>
      </c>
      <c r="L3116" s="4">
        <f t="shared" si="2"/>
        <v>1.564395435</v>
      </c>
    </row>
    <row r="3117">
      <c r="A3117" s="3" t="s">
        <v>177</v>
      </c>
      <c r="B3117" s="3">
        <v>57.1</v>
      </c>
      <c r="C3117" s="3">
        <v>19.35</v>
      </c>
      <c r="D3117" s="3">
        <v>273.0</v>
      </c>
      <c r="E3117" s="3">
        <v>6.1</v>
      </c>
      <c r="F3117" s="3">
        <v>35.69</v>
      </c>
      <c r="G3117" s="3">
        <v>212.46</v>
      </c>
      <c r="H3117" s="3">
        <v>133.94</v>
      </c>
      <c r="I3117" s="3">
        <v>26.39</v>
      </c>
      <c r="J3117" s="3">
        <v>0.0</v>
      </c>
      <c r="K3117" s="4">
        <f t="shared" si="1"/>
        <v>46413.0277</v>
      </c>
      <c r="L3117" s="4">
        <f t="shared" si="2"/>
        <v>1.605777595</v>
      </c>
    </row>
    <row r="3118">
      <c r="A3118" s="3" t="s">
        <v>177</v>
      </c>
      <c r="B3118" s="3">
        <v>57.1</v>
      </c>
      <c r="C3118" s="3">
        <v>22.19</v>
      </c>
      <c r="D3118" s="3">
        <v>269.0</v>
      </c>
      <c r="E3118" s="3">
        <v>2.26</v>
      </c>
      <c r="F3118" s="3">
        <v>39.89</v>
      </c>
      <c r="G3118" s="3">
        <v>201.82</v>
      </c>
      <c r="H3118" s="3">
        <v>125.08</v>
      </c>
      <c r="I3118" s="3">
        <v>19.6</v>
      </c>
      <c r="J3118" s="3">
        <v>0.0</v>
      </c>
      <c r="K3118" s="4">
        <f t="shared" si="1"/>
        <v>42322.5245</v>
      </c>
      <c r="L3118" s="4">
        <f t="shared" si="2"/>
        <v>1.709751506</v>
      </c>
    </row>
    <row r="3119">
      <c r="A3119" s="3" t="s">
        <v>177</v>
      </c>
      <c r="B3119" s="3">
        <v>57.1</v>
      </c>
      <c r="C3119" s="3">
        <v>24.92</v>
      </c>
      <c r="D3119" s="3">
        <v>265.0</v>
      </c>
      <c r="E3119" s="3">
        <v>1.32</v>
      </c>
      <c r="F3119" s="3">
        <v>44.61</v>
      </c>
      <c r="G3119" s="3">
        <v>194.49</v>
      </c>
      <c r="H3119" s="3">
        <v>118.03</v>
      </c>
      <c r="I3119" s="3">
        <v>14.04</v>
      </c>
      <c r="J3119" s="3">
        <v>0.0</v>
      </c>
      <c r="K3119" s="4">
        <f t="shared" si="1"/>
        <v>39816.4122</v>
      </c>
      <c r="L3119" s="4">
        <f t="shared" si="2"/>
        <v>1.763719937</v>
      </c>
    </row>
    <row r="3120">
      <c r="A3120" s="3" t="s">
        <v>177</v>
      </c>
      <c r="B3120" s="3">
        <v>57.1</v>
      </c>
      <c r="C3120" s="3">
        <v>27.66</v>
      </c>
      <c r="D3120" s="3">
        <v>262.0</v>
      </c>
      <c r="E3120" s="3">
        <v>3.15</v>
      </c>
      <c r="F3120" s="3">
        <v>49.22</v>
      </c>
      <c r="G3120" s="3">
        <v>187.22</v>
      </c>
      <c r="H3120" s="3">
        <v>112.03</v>
      </c>
      <c r="I3120" s="3">
        <v>9.81</v>
      </c>
      <c r="J3120" s="3">
        <v>0.0</v>
      </c>
      <c r="K3120" s="4">
        <f t="shared" si="1"/>
        <v>37473.9368</v>
      </c>
      <c r="L3120" s="4">
        <f t="shared" si="2"/>
        <v>1.831779788</v>
      </c>
    </row>
    <row r="3121">
      <c r="A3121" s="3" t="s">
        <v>177</v>
      </c>
      <c r="B3121" s="3">
        <v>57.1</v>
      </c>
      <c r="C3121" s="3">
        <v>30.5</v>
      </c>
      <c r="D3121" s="3">
        <v>257.0</v>
      </c>
      <c r="E3121" s="3">
        <v>4.71</v>
      </c>
      <c r="F3121" s="3">
        <v>51.48</v>
      </c>
      <c r="G3121" s="3">
        <v>179.93</v>
      </c>
      <c r="H3121" s="3">
        <v>106.69</v>
      </c>
      <c r="I3121" s="3">
        <v>6.71</v>
      </c>
      <c r="J3121" s="3">
        <v>0.0</v>
      </c>
      <c r="K3121" s="4">
        <f t="shared" si="1"/>
        <v>35024.9953</v>
      </c>
      <c r="L3121" s="4">
        <f t="shared" si="2"/>
        <v>1.885767562</v>
      </c>
    </row>
    <row r="3122">
      <c r="A3122" s="3" t="s">
        <v>177</v>
      </c>
      <c r="B3122" s="3">
        <v>57.1</v>
      </c>
      <c r="C3122" s="3">
        <v>33.23</v>
      </c>
      <c r="D3122" s="3">
        <v>252.0</v>
      </c>
      <c r="E3122" s="3">
        <v>4.96</v>
      </c>
      <c r="F3122" s="3">
        <v>51.89</v>
      </c>
      <c r="G3122" s="3">
        <v>173.14</v>
      </c>
      <c r="H3122" s="3">
        <v>102.21</v>
      </c>
      <c r="I3122" s="3">
        <v>4.38</v>
      </c>
      <c r="J3122" s="3">
        <v>0.0</v>
      </c>
      <c r="K3122" s="4">
        <f t="shared" si="1"/>
        <v>32670.0317</v>
      </c>
      <c r="L3122" s="4">
        <f t="shared" si="2"/>
        <v>1.943799767</v>
      </c>
    </row>
    <row r="3123">
      <c r="A3123" s="3" t="s">
        <v>177</v>
      </c>
      <c r="B3123" s="3">
        <v>57.1</v>
      </c>
      <c r="C3123" s="3">
        <v>35.96</v>
      </c>
      <c r="D3123" s="3">
        <v>247.0</v>
      </c>
      <c r="E3123" s="3">
        <v>2.58</v>
      </c>
      <c r="F3123" s="3">
        <v>50.25</v>
      </c>
      <c r="G3123" s="3">
        <v>166.11</v>
      </c>
      <c r="H3123" s="3">
        <v>98.25</v>
      </c>
      <c r="I3123" s="3">
        <v>2.89</v>
      </c>
      <c r="J3123" s="3">
        <v>0.0</v>
      </c>
      <c r="K3123" s="4">
        <f t="shared" si="1"/>
        <v>30117.5946</v>
      </c>
      <c r="L3123" s="4">
        <f t="shared" si="2"/>
        <v>2.025692981</v>
      </c>
    </row>
    <row r="3124">
      <c r="A3124" s="3" t="s">
        <v>177</v>
      </c>
      <c r="B3124" s="3">
        <v>57.1</v>
      </c>
      <c r="C3124" s="3">
        <v>38.8</v>
      </c>
      <c r="D3124" s="3">
        <v>242.0</v>
      </c>
      <c r="E3124" s="3">
        <v>2.52</v>
      </c>
      <c r="F3124" s="3">
        <v>48.3</v>
      </c>
      <c r="G3124" s="3">
        <v>159.33</v>
      </c>
      <c r="H3124" s="3">
        <v>94.59</v>
      </c>
      <c r="I3124" s="3">
        <v>1.9</v>
      </c>
      <c r="J3124" s="3">
        <v>0.0</v>
      </c>
      <c r="K3124" s="4">
        <f t="shared" si="1"/>
        <v>27718.9389</v>
      </c>
      <c r="L3124" s="4">
        <f t="shared" si="2"/>
        <v>2.112779288</v>
      </c>
    </row>
    <row r="3125">
      <c r="A3125" s="3" t="s">
        <v>177</v>
      </c>
      <c r="B3125" s="3">
        <v>57.1</v>
      </c>
      <c r="C3125" s="3">
        <v>41.54</v>
      </c>
      <c r="D3125" s="3">
        <v>238.0</v>
      </c>
      <c r="E3125" s="3">
        <v>2.3</v>
      </c>
      <c r="F3125" s="3">
        <v>47.17</v>
      </c>
      <c r="G3125" s="3">
        <v>153.43</v>
      </c>
      <c r="H3125" s="3">
        <v>91.42</v>
      </c>
      <c r="I3125" s="3">
        <v>1.28</v>
      </c>
      <c r="J3125" s="3">
        <v>0.0</v>
      </c>
      <c r="K3125" s="4">
        <f t="shared" si="1"/>
        <v>25765.7738</v>
      </c>
      <c r="L3125" s="4">
        <f t="shared" si="2"/>
        <v>2.198420294</v>
      </c>
    </row>
    <row r="3126">
      <c r="A3126" s="3" t="s">
        <v>177</v>
      </c>
      <c r="B3126" s="3">
        <v>57.1</v>
      </c>
      <c r="C3126" s="3">
        <v>44.27</v>
      </c>
      <c r="D3126" s="3">
        <v>235.0</v>
      </c>
      <c r="E3126" s="3">
        <v>0.63</v>
      </c>
      <c r="F3126" s="3">
        <v>47.68</v>
      </c>
      <c r="G3126" s="3">
        <v>147.95</v>
      </c>
      <c r="H3126" s="3">
        <v>88.55</v>
      </c>
      <c r="I3126" s="3">
        <v>0.87</v>
      </c>
      <c r="J3126" s="3">
        <v>0.0</v>
      </c>
      <c r="K3126" s="4">
        <f t="shared" si="1"/>
        <v>24162.5849</v>
      </c>
      <c r="L3126" s="4">
        <f t="shared" si="2"/>
        <v>2.285558446</v>
      </c>
    </row>
    <row r="3127">
      <c r="A3127" s="3" t="s">
        <v>177</v>
      </c>
      <c r="B3127" s="3">
        <v>57.1</v>
      </c>
      <c r="C3127" s="3">
        <v>47.11</v>
      </c>
      <c r="D3127" s="3">
        <v>236.0</v>
      </c>
      <c r="E3127" s="3">
        <v>1.4</v>
      </c>
      <c r="F3127" s="3">
        <v>49.73</v>
      </c>
      <c r="G3127" s="3">
        <v>142.73</v>
      </c>
      <c r="H3127" s="3">
        <v>85.84</v>
      </c>
      <c r="I3127" s="3">
        <v>0.58</v>
      </c>
      <c r="J3127" s="3">
        <v>0.0</v>
      </c>
      <c r="K3127" s="4">
        <f t="shared" si="1"/>
        <v>22844.9258</v>
      </c>
      <c r="L3127" s="4">
        <f t="shared" si="2"/>
        <v>2.438003104</v>
      </c>
    </row>
    <row r="3128">
      <c r="A3128" s="3" t="s">
        <v>177</v>
      </c>
      <c r="B3128" s="3">
        <v>57.1</v>
      </c>
      <c r="C3128" s="3">
        <v>49.84</v>
      </c>
      <c r="D3128" s="3">
        <v>239.0</v>
      </c>
      <c r="E3128" s="3">
        <v>2.07</v>
      </c>
      <c r="F3128" s="3">
        <v>50.56</v>
      </c>
      <c r="G3128" s="3">
        <v>138.21</v>
      </c>
      <c r="H3128" s="3">
        <v>83.46</v>
      </c>
      <c r="I3128" s="3">
        <v>0.39</v>
      </c>
      <c r="J3128" s="3">
        <v>0.0</v>
      </c>
      <c r="K3128" s="4">
        <f t="shared" si="1"/>
        <v>21658.3177</v>
      </c>
      <c r="L3128" s="4">
        <f t="shared" si="2"/>
        <v>2.637370122</v>
      </c>
    </row>
    <row r="3129">
      <c r="A3129" s="3" t="s">
        <v>177</v>
      </c>
      <c r="B3129" s="3">
        <v>57.1</v>
      </c>
      <c r="C3129" s="3">
        <v>52.58</v>
      </c>
      <c r="D3129" s="3">
        <v>242.0</v>
      </c>
      <c r="E3129" s="3">
        <v>2.63</v>
      </c>
      <c r="F3129" s="3">
        <v>49.43</v>
      </c>
      <c r="G3129" s="3">
        <v>133.98</v>
      </c>
      <c r="H3129" s="3">
        <v>81.25</v>
      </c>
      <c r="I3129" s="3">
        <v>0.26</v>
      </c>
      <c r="J3129" s="3">
        <v>0.0</v>
      </c>
      <c r="K3129" s="4">
        <f t="shared" si="1"/>
        <v>20393.9653</v>
      </c>
      <c r="L3129" s="4">
        <f t="shared" si="2"/>
        <v>2.871633796</v>
      </c>
    </row>
    <row r="3130">
      <c r="A3130" s="3" t="s">
        <v>177</v>
      </c>
      <c r="B3130" s="3">
        <v>57.1</v>
      </c>
      <c r="C3130" s="3">
        <v>55.42</v>
      </c>
      <c r="D3130" s="3">
        <v>245.0</v>
      </c>
      <c r="E3130" s="3">
        <v>1.64</v>
      </c>
      <c r="F3130" s="3">
        <v>49.12</v>
      </c>
      <c r="G3130" s="3">
        <v>129.96</v>
      </c>
      <c r="H3130" s="3">
        <v>79.14</v>
      </c>
      <c r="I3130" s="3">
        <v>0.18</v>
      </c>
      <c r="J3130" s="3">
        <v>0.0</v>
      </c>
      <c r="K3130" s="4">
        <f t="shared" si="1"/>
        <v>19302.376</v>
      </c>
      <c r="L3130" s="4">
        <f t="shared" si="2"/>
        <v>3.109720793</v>
      </c>
    </row>
    <row r="3131">
      <c r="A3131" s="3" t="s">
        <v>177</v>
      </c>
      <c r="B3131" s="3">
        <v>57.1</v>
      </c>
      <c r="C3131" s="3">
        <v>58.15</v>
      </c>
      <c r="D3131" s="3">
        <v>247.0</v>
      </c>
      <c r="E3131" s="3">
        <v>1.31</v>
      </c>
      <c r="F3131" s="3">
        <v>50.56</v>
      </c>
      <c r="G3131" s="3">
        <v>126.43</v>
      </c>
      <c r="H3131" s="3">
        <v>77.26</v>
      </c>
      <c r="I3131" s="3">
        <v>0.12</v>
      </c>
      <c r="J3131" s="3">
        <v>0.0</v>
      </c>
      <c r="K3131" s="4">
        <f t="shared" si="1"/>
        <v>18540.8585</v>
      </c>
      <c r="L3131" s="4">
        <f t="shared" si="2"/>
        <v>3.290516456</v>
      </c>
    </row>
    <row r="3132">
      <c r="A3132" s="3" t="s">
        <v>177</v>
      </c>
      <c r="B3132" s="3">
        <v>57.1</v>
      </c>
      <c r="C3132" s="3">
        <v>60.89</v>
      </c>
      <c r="D3132" s="3">
        <v>246.0</v>
      </c>
      <c r="E3132" s="3">
        <v>2.14</v>
      </c>
      <c r="F3132" s="3">
        <v>53.22</v>
      </c>
      <c r="G3132" s="3">
        <v>123.2</v>
      </c>
      <c r="H3132" s="3">
        <v>75.51</v>
      </c>
      <c r="I3132" s="3">
        <v>0.08</v>
      </c>
      <c r="J3132" s="3">
        <v>0.0</v>
      </c>
      <c r="K3132" s="4">
        <f t="shared" si="1"/>
        <v>18010.6084</v>
      </c>
      <c r="L3132" s="4">
        <f t="shared" si="2"/>
        <v>3.360019754</v>
      </c>
    </row>
    <row r="3133">
      <c r="A3133" s="3" t="s">
        <v>177</v>
      </c>
      <c r="B3133" s="3">
        <v>57.1</v>
      </c>
      <c r="C3133" s="3">
        <v>63.62</v>
      </c>
      <c r="D3133" s="3">
        <v>243.0</v>
      </c>
      <c r="E3133" s="3">
        <v>4.0</v>
      </c>
      <c r="F3133" s="3">
        <v>53.84</v>
      </c>
      <c r="G3133" s="3">
        <v>120.17</v>
      </c>
      <c r="H3133" s="3">
        <v>73.87</v>
      </c>
      <c r="I3133" s="3">
        <v>0.05</v>
      </c>
      <c r="J3133" s="3">
        <v>0.0</v>
      </c>
      <c r="K3133" s="4">
        <f t="shared" si="1"/>
        <v>17339.5745</v>
      </c>
      <c r="L3133" s="4">
        <f t="shared" si="2"/>
        <v>3.405446887</v>
      </c>
    </row>
    <row r="3134">
      <c r="A3134" s="3" t="s">
        <v>177</v>
      </c>
      <c r="B3134" s="3">
        <v>57.1</v>
      </c>
      <c r="C3134" s="3">
        <v>66.46</v>
      </c>
      <c r="D3134" s="3">
        <v>239.0</v>
      </c>
      <c r="E3134" s="3">
        <v>4.67</v>
      </c>
      <c r="F3134" s="3">
        <v>53.63</v>
      </c>
      <c r="G3134" s="3">
        <v>117.27</v>
      </c>
      <c r="H3134" s="3">
        <v>72.27</v>
      </c>
      <c r="I3134" s="3">
        <v>0.04</v>
      </c>
      <c r="J3134" s="3">
        <v>0.0</v>
      </c>
      <c r="K3134" s="4">
        <f t="shared" si="1"/>
        <v>16628.4298</v>
      </c>
      <c r="L3134" s="4">
        <f t="shared" si="2"/>
        <v>3.435140942</v>
      </c>
    </row>
    <row r="3135">
      <c r="A3135" s="3" t="s">
        <v>177</v>
      </c>
      <c r="B3135" s="3">
        <v>57.1</v>
      </c>
      <c r="C3135" s="3">
        <v>69.19</v>
      </c>
      <c r="D3135" s="3">
        <v>234.0</v>
      </c>
      <c r="E3135" s="3">
        <v>5.12</v>
      </c>
      <c r="F3135" s="3">
        <v>53.12</v>
      </c>
      <c r="G3135" s="3">
        <v>114.7</v>
      </c>
      <c r="H3135" s="3">
        <v>70.83</v>
      </c>
      <c r="I3135" s="3">
        <v>0.02</v>
      </c>
      <c r="J3135" s="3">
        <v>0.0</v>
      </c>
      <c r="K3135" s="4">
        <f t="shared" si="1"/>
        <v>15977.8244</v>
      </c>
      <c r="L3135" s="4">
        <f t="shared" si="2"/>
        <v>3.426999736</v>
      </c>
    </row>
    <row r="3136">
      <c r="A3136" s="3" t="s">
        <v>177</v>
      </c>
      <c r="B3136" s="3">
        <v>57.1</v>
      </c>
      <c r="C3136" s="3">
        <v>71.93</v>
      </c>
      <c r="D3136" s="3">
        <v>230.0</v>
      </c>
      <c r="E3136" s="3">
        <v>2.1</v>
      </c>
      <c r="F3136" s="3">
        <v>53.02</v>
      </c>
      <c r="G3136" s="3">
        <v>112.26</v>
      </c>
      <c r="H3136" s="3">
        <v>69.47</v>
      </c>
      <c r="I3136" s="3">
        <v>0.02</v>
      </c>
      <c r="J3136" s="3">
        <v>0.0</v>
      </c>
      <c r="K3136" s="4">
        <f t="shared" si="1"/>
        <v>15413.428</v>
      </c>
      <c r="L3136" s="4">
        <f t="shared" si="2"/>
        <v>3.432072346</v>
      </c>
    </row>
    <row r="3137">
      <c r="A3137" s="3" t="s">
        <v>177</v>
      </c>
      <c r="B3137" s="3">
        <v>57.1</v>
      </c>
      <c r="C3137" s="3">
        <v>74.77</v>
      </c>
      <c r="D3137" s="3">
        <v>228.0</v>
      </c>
      <c r="E3137" s="3">
        <v>1.32</v>
      </c>
      <c r="F3137" s="3">
        <v>53.32</v>
      </c>
      <c r="G3137" s="3">
        <v>109.91</v>
      </c>
      <c r="H3137" s="3">
        <v>68.14</v>
      </c>
      <c r="I3137" s="3">
        <v>0.01</v>
      </c>
      <c r="J3137" s="3">
        <v>0.0</v>
      </c>
      <c r="K3137" s="4">
        <f t="shared" si="1"/>
        <v>14923.2305</v>
      </c>
      <c r="L3137" s="4">
        <f t="shared" si="2"/>
        <v>3.483428069</v>
      </c>
    </row>
    <row r="3138">
      <c r="A3138" s="3" t="s">
        <v>177</v>
      </c>
      <c r="B3138" s="3">
        <v>57.1</v>
      </c>
      <c r="C3138" s="3">
        <v>77.5</v>
      </c>
      <c r="D3138" s="3">
        <v>228.0</v>
      </c>
      <c r="E3138" s="3">
        <v>1.6</v>
      </c>
      <c r="F3138" s="3">
        <v>54.04</v>
      </c>
      <c r="G3138" s="3">
        <v>107.81</v>
      </c>
      <c r="H3138" s="3">
        <v>66.93</v>
      </c>
      <c r="I3138" s="3">
        <v>0.01</v>
      </c>
      <c r="J3138" s="3">
        <v>0.0</v>
      </c>
      <c r="K3138" s="4">
        <f t="shared" si="1"/>
        <v>14543.3177</v>
      </c>
      <c r="L3138" s="4">
        <f t="shared" si="2"/>
        <v>3.574425112</v>
      </c>
    </row>
    <row r="3139">
      <c r="A3139" s="3" t="s">
        <v>177</v>
      </c>
      <c r="B3139" s="3">
        <v>57.1</v>
      </c>
      <c r="C3139" s="3">
        <v>80.23</v>
      </c>
      <c r="D3139" s="3">
        <v>227.0</v>
      </c>
      <c r="E3139" s="3">
        <v>3.16</v>
      </c>
      <c r="F3139" s="3">
        <v>54.66</v>
      </c>
      <c r="G3139" s="3">
        <v>105.81</v>
      </c>
      <c r="H3139" s="3">
        <v>65.78</v>
      </c>
      <c r="I3139" s="3">
        <v>0.01</v>
      </c>
      <c r="J3139" s="3">
        <v>0.0</v>
      </c>
      <c r="K3139" s="4">
        <f t="shared" si="1"/>
        <v>14183.4717</v>
      </c>
      <c r="L3139" s="4">
        <f t="shared" si="2"/>
        <v>3.633031538</v>
      </c>
    </row>
    <row r="3140">
      <c r="A3140" s="3" t="s">
        <v>177</v>
      </c>
      <c r="B3140" s="3">
        <v>57.1</v>
      </c>
      <c r="C3140" s="3">
        <v>83.07</v>
      </c>
      <c r="D3140" s="3">
        <v>226.0</v>
      </c>
      <c r="E3140" s="3">
        <v>3.48</v>
      </c>
      <c r="F3140" s="3">
        <v>54.96</v>
      </c>
      <c r="G3140" s="3">
        <v>103.86</v>
      </c>
      <c r="H3140" s="3">
        <v>64.64</v>
      </c>
      <c r="I3140" s="3">
        <v>0.0</v>
      </c>
      <c r="J3140" s="3">
        <v>0.0</v>
      </c>
      <c r="K3140" s="4">
        <f t="shared" si="1"/>
        <v>13807.5012</v>
      </c>
      <c r="L3140" s="4">
        <f t="shared" si="2"/>
        <v>3.699148692</v>
      </c>
    </row>
    <row r="3141">
      <c r="A3141" s="3" t="s">
        <v>177</v>
      </c>
      <c r="B3141" s="3">
        <v>57.1</v>
      </c>
      <c r="C3141" s="3">
        <v>85.81</v>
      </c>
      <c r="D3141" s="3">
        <v>224.0</v>
      </c>
      <c r="E3141" s="3">
        <v>3.71</v>
      </c>
      <c r="F3141" s="3">
        <v>54.86</v>
      </c>
      <c r="G3141" s="3">
        <v>102.09</v>
      </c>
      <c r="H3141" s="3">
        <v>63.6</v>
      </c>
      <c r="I3141" s="3">
        <v>0.0</v>
      </c>
      <c r="J3141" s="3">
        <v>0.0</v>
      </c>
      <c r="K3141" s="4">
        <f t="shared" si="1"/>
        <v>13431.9877</v>
      </c>
      <c r="L3141" s="4">
        <f t="shared" si="2"/>
        <v>3.7355603</v>
      </c>
    </row>
    <row r="3142">
      <c r="A3142" s="3" t="s">
        <v>177</v>
      </c>
      <c r="B3142" s="3">
        <v>57.1</v>
      </c>
      <c r="C3142" s="3">
        <v>88.54</v>
      </c>
      <c r="D3142" s="3">
        <v>222.0</v>
      </c>
      <c r="E3142" s="3">
        <v>1.49</v>
      </c>
      <c r="F3142" s="3">
        <v>54.35</v>
      </c>
      <c r="G3142" s="3">
        <v>100.4</v>
      </c>
      <c r="H3142" s="3">
        <v>62.62</v>
      </c>
      <c r="I3142" s="3">
        <v>0.0</v>
      </c>
      <c r="J3142" s="3">
        <v>0.0</v>
      </c>
      <c r="K3142" s="4">
        <f t="shared" si="1"/>
        <v>13034.0825</v>
      </c>
      <c r="L3142" s="4">
        <f t="shared" si="2"/>
        <v>3.78116373</v>
      </c>
    </row>
    <row r="3143">
      <c r="A3143" s="3" t="s">
        <v>177</v>
      </c>
      <c r="B3143" s="3">
        <v>57.1</v>
      </c>
      <c r="C3143" s="3">
        <v>91.38</v>
      </c>
      <c r="D3143" s="3">
        <v>222.0</v>
      </c>
      <c r="E3143" s="3">
        <v>1.18</v>
      </c>
      <c r="F3143" s="3">
        <v>53.73</v>
      </c>
      <c r="G3143" s="3">
        <v>98.74</v>
      </c>
      <c r="H3143" s="3">
        <v>61.64</v>
      </c>
      <c r="I3143" s="3">
        <v>0.0</v>
      </c>
      <c r="J3143" s="3">
        <v>0.0</v>
      </c>
      <c r="K3143" s="4">
        <f t="shared" si="1"/>
        <v>12636.5005</v>
      </c>
      <c r="L3143" s="4">
        <f t="shared" si="2"/>
        <v>3.90013042</v>
      </c>
    </row>
    <row r="3144">
      <c r="A3144" s="3" t="s">
        <v>177</v>
      </c>
      <c r="B3144" s="3">
        <v>57.1</v>
      </c>
      <c r="C3144" s="3">
        <v>94.12</v>
      </c>
      <c r="D3144" s="3">
        <v>224.0</v>
      </c>
      <c r="E3144" s="3">
        <v>1.22</v>
      </c>
      <c r="F3144" s="3">
        <v>53.22</v>
      </c>
      <c r="G3144" s="3">
        <v>97.22</v>
      </c>
      <c r="H3144" s="3">
        <v>60.73</v>
      </c>
      <c r="I3144" s="3">
        <v>0.0</v>
      </c>
      <c r="J3144" s="3">
        <v>0.0</v>
      </c>
      <c r="K3144" s="4">
        <f t="shared" si="1"/>
        <v>12284.0968</v>
      </c>
      <c r="L3144" s="4">
        <f t="shared" si="2"/>
        <v>4.084630789</v>
      </c>
    </row>
    <row r="3145">
      <c r="A3145" s="3" t="s">
        <v>177</v>
      </c>
      <c r="B3145" s="3">
        <v>57.1</v>
      </c>
      <c r="C3145" s="3">
        <v>99.69</v>
      </c>
      <c r="D3145" s="3">
        <v>227.0</v>
      </c>
      <c r="E3145" s="3">
        <v>2.8</v>
      </c>
      <c r="F3145" s="3">
        <v>52.91</v>
      </c>
      <c r="G3145" s="3">
        <v>94.34</v>
      </c>
      <c r="H3145" s="3">
        <v>59.01</v>
      </c>
      <c r="I3145" s="3">
        <v>0.0</v>
      </c>
      <c r="J3145" s="3">
        <v>0.0</v>
      </c>
      <c r="K3145" s="4">
        <f t="shared" si="1"/>
        <v>11699.5037</v>
      </c>
      <c r="L3145" s="4">
        <f t="shared" si="2"/>
        <v>4.404374862</v>
      </c>
    </row>
    <row r="3146">
      <c r="A3146" s="3" t="s">
        <v>177</v>
      </c>
      <c r="B3146" s="3">
        <v>57.1</v>
      </c>
      <c r="C3146" s="3">
        <v>108.31</v>
      </c>
      <c r="D3146" s="3">
        <v>229.0</v>
      </c>
      <c r="E3146" s="3">
        <v>4.12</v>
      </c>
      <c r="F3146" s="3">
        <v>51.38</v>
      </c>
      <c r="G3146" s="3">
        <v>90.37</v>
      </c>
      <c r="H3146" s="3">
        <v>56.61</v>
      </c>
      <c r="I3146" s="3">
        <v>0.0</v>
      </c>
      <c r="J3146" s="3">
        <v>0.0</v>
      </c>
      <c r="K3146" s="4">
        <f t="shared" si="1"/>
        <v>10806.6413</v>
      </c>
      <c r="L3146" s="4">
        <f t="shared" si="2"/>
        <v>4.852664074</v>
      </c>
    </row>
    <row r="3147">
      <c r="A3147" s="3" t="s">
        <v>42</v>
      </c>
      <c r="B3147" s="3">
        <v>10.7</v>
      </c>
      <c r="C3147" s="3">
        <v>0.78</v>
      </c>
      <c r="D3147" s="3">
        <v>28.1</v>
      </c>
      <c r="E3147" s="3">
        <v>5.66</v>
      </c>
      <c r="F3147" s="3">
        <v>6.39</v>
      </c>
      <c r="G3147" s="3">
        <v>20.31</v>
      </c>
      <c r="H3147" s="3">
        <v>0.0</v>
      </c>
      <c r="I3147" s="3">
        <v>36.38</v>
      </c>
      <c r="J3147" s="3">
        <v>0.0</v>
      </c>
      <c r="K3147" s="4">
        <f t="shared" si="1"/>
        <v>453.3282</v>
      </c>
      <c r="L3147" s="4">
        <f t="shared" si="2"/>
        <v>1.741806488</v>
      </c>
    </row>
    <row r="3148">
      <c r="A3148" s="3" t="s">
        <v>42</v>
      </c>
      <c r="B3148" s="3">
        <v>10.7</v>
      </c>
      <c r="C3148" s="3">
        <v>1.55</v>
      </c>
      <c r="D3148" s="3">
        <v>31.3</v>
      </c>
      <c r="E3148" s="3">
        <v>5.66</v>
      </c>
      <c r="F3148" s="3">
        <v>10.35</v>
      </c>
      <c r="G3148" s="3">
        <v>23.49</v>
      </c>
      <c r="H3148" s="3">
        <v>0.0</v>
      </c>
      <c r="I3148" s="3">
        <v>10.22</v>
      </c>
      <c r="J3148" s="3">
        <v>0.0</v>
      </c>
      <c r="K3148" s="4">
        <f t="shared" si="1"/>
        <v>658.9026</v>
      </c>
      <c r="L3148" s="4">
        <f t="shared" si="2"/>
        <v>1.486851016</v>
      </c>
    </row>
    <row r="3149">
      <c r="A3149" s="3" t="s">
        <v>42</v>
      </c>
      <c r="B3149" s="3">
        <v>10.7</v>
      </c>
      <c r="C3149" s="3">
        <v>2.34</v>
      </c>
      <c r="D3149" s="3">
        <v>33.0</v>
      </c>
      <c r="E3149" s="3">
        <v>5.66</v>
      </c>
      <c r="F3149" s="3">
        <v>14.5</v>
      </c>
      <c r="G3149" s="3">
        <v>22.94</v>
      </c>
      <c r="H3149" s="3">
        <v>0.0</v>
      </c>
      <c r="I3149" s="3">
        <v>4.68</v>
      </c>
      <c r="J3149" s="3">
        <v>0.0</v>
      </c>
      <c r="K3149" s="4">
        <f t="shared" si="1"/>
        <v>736.4936</v>
      </c>
      <c r="L3149" s="4">
        <f t="shared" si="2"/>
        <v>1.47862792</v>
      </c>
    </row>
    <row r="3150">
      <c r="A3150" s="3" t="s">
        <v>42</v>
      </c>
      <c r="B3150" s="3">
        <v>10.7</v>
      </c>
      <c r="C3150" s="3">
        <v>3.12</v>
      </c>
      <c r="D3150" s="3">
        <v>33.4</v>
      </c>
      <c r="E3150" s="3">
        <v>5.66</v>
      </c>
      <c r="F3150" s="3">
        <v>17.55</v>
      </c>
      <c r="G3150" s="3">
        <v>22.52</v>
      </c>
      <c r="H3150" s="3">
        <v>0.0</v>
      </c>
      <c r="I3150" s="3">
        <v>2.51</v>
      </c>
      <c r="J3150" s="3">
        <v>0.0</v>
      </c>
      <c r="K3150" s="4">
        <f t="shared" si="1"/>
        <v>815.1529</v>
      </c>
      <c r="L3150" s="4">
        <f t="shared" si="2"/>
        <v>1.36852853</v>
      </c>
    </row>
    <row r="3151">
      <c r="A3151" s="3" t="s">
        <v>42</v>
      </c>
      <c r="B3151" s="3">
        <v>10.7</v>
      </c>
      <c r="C3151" s="3">
        <v>3.89</v>
      </c>
      <c r="D3151" s="3">
        <v>34.3</v>
      </c>
      <c r="E3151" s="3">
        <v>5.66</v>
      </c>
      <c r="F3151" s="3">
        <v>17.55</v>
      </c>
      <c r="G3151" s="3">
        <v>22.05</v>
      </c>
      <c r="H3151" s="3">
        <v>0.0</v>
      </c>
      <c r="I3151" s="3">
        <v>1.24</v>
      </c>
      <c r="J3151" s="3">
        <v>0.0</v>
      </c>
      <c r="K3151" s="4">
        <f t="shared" si="1"/>
        <v>794.205</v>
      </c>
      <c r="L3151" s="4">
        <f t="shared" si="2"/>
        <v>1.481342978</v>
      </c>
    </row>
    <row r="3152">
      <c r="A3152" s="3" t="s">
        <v>178</v>
      </c>
      <c r="B3152" s="3">
        <v>15.2</v>
      </c>
      <c r="C3152" s="3">
        <v>1.1</v>
      </c>
      <c r="D3152" s="3">
        <v>33.2</v>
      </c>
      <c r="E3152" s="3">
        <v>5.06</v>
      </c>
      <c r="F3152" s="3">
        <v>3.45</v>
      </c>
      <c r="G3152" s="3">
        <v>21.28</v>
      </c>
      <c r="H3152" s="3">
        <v>0.0</v>
      </c>
      <c r="I3152" s="3">
        <v>48.94</v>
      </c>
      <c r="J3152" s="3">
        <v>0.0</v>
      </c>
      <c r="K3152" s="4">
        <f t="shared" si="1"/>
        <v>464.7409</v>
      </c>
      <c r="L3152" s="4">
        <f t="shared" si="2"/>
        <v>2.37173014</v>
      </c>
    </row>
    <row r="3153">
      <c r="A3153" s="3" t="s">
        <v>178</v>
      </c>
      <c r="B3153" s="3">
        <v>15.2</v>
      </c>
      <c r="C3153" s="3">
        <v>2.21</v>
      </c>
      <c r="D3153" s="3">
        <v>54.6</v>
      </c>
      <c r="E3153" s="3">
        <v>5.06</v>
      </c>
      <c r="F3153" s="3">
        <v>6.51</v>
      </c>
      <c r="G3153" s="3">
        <v>35.54</v>
      </c>
      <c r="H3153" s="3">
        <v>0.0</v>
      </c>
      <c r="I3153" s="3">
        <v>27.59</v>
      </c>
      <c r="J3153" s="3">
        <v>0.0</v>
      </c>
      <c r="K3153" s="4">
        <f t="shared" si="1"/>
        <v>1305.4717</v>
      </c>
      <c r="L3153" s="4">
        <f t="shared" si="2"/>
        <v>2.283588377</v>
      </c>
    </row>
    <row r="3154">
      <c r="A3154" s="3" t="s">
        <v>178</v>
      </c>
      <c r="B3154" s="3">
        <v>15.2</v>
      </c>
      <c r="C3154" s="3">
        <v>3.31</v>
      </c>
      <c r="D3154" s="3">
        <v>65.7</v>
      </c>
      <c r="E3154" s="3">
        <v>5.06</v>
      </c>
      <c r="F3154" s="3">
        <v>11.85</v>
      </c>
      <c r="G3154" s="3">
        <v>39.59</v>
      </c>
      <c r="H3154" s="3">
        <v>0.0</v>
      </c>
      <c r="I3154" s="3">
        <v>15.03</v>
      </c>
      <c r="J3154" s="3">
        <v>0.0</v>
      </c>
      <c r="K3154" s="4">
        <f t="shared" si="1"/>
        <v>1707.7906</v>
      </c>
      <c r="L3154" s="4">
        <f t="shared" si="2"/>
        <v>2.527528843</v>
      </c>
    </row>
    <row r="3155">
      <c r="A3155" s="3" t="s">
        <v>178</v>
      </c>
      <c r="B3155" s="3">
        <v>15.2</v>
      </c>
      <c r="C3155" s="3">
        <v>4.42</v>
      </c>
      <c r="D3155" s="3">
        <v>69.2</v>
      </c>
      <c r="E3155" s="3">
        <v>5.06</v>
      </c>
      <c r="F3155" s="3">
        <v>18.75</v>
      </c>
      <c r="G3155" s="3">
        <v>38.75</v>
      </c>
      <c r="H3155" s="3">
        <v>0.0</v>
      </c>
      <c r="I3155" s="3">
        <v>7.39</v>
      </c>
      <c r="J3155" s="3">
        <v>0.0</v>
      </c>
      <c r="K3155" s="4">
        <f t="shared" si="1"/>
        <v>1853.125</v>
      </c>
      <c r="L3155" s="4">
        <f t="shared" si="2"/>
        <v>2.584089039</v>
      </c>
    </row>
    <row r="3156">
      <c r="A3156" s="3" t="s">
        <v>178</v>
      </c>
      <c r="B3156" s="3">
        <v>15.2</v>
      </c>
      <c r="C3156" s="3">
        <v>5.52</v>
      </c>
      <c r="D3156" s="3">
        <v>70.9</v>
      </c>
      <c r="E3156" s="3">
        <v>5.06</v>
      </c>
      <c r="F3156" s="3">
        <v>26.75</v>
      </c>
      <c r="G3156" s="3">
        <v>39.1</v>
      </c>
      <c r="H3156" s="3">
        <v>0.0</v>
      </c>
      <c r="I3156" s="3">
        <v>4.76</v>
      </c>
      <c r="J3156" s="3">
        <v>0.0</v>
      </c>
      <c r="K3156" s="4">
        <f t="shared" si="1"/>
        <v>2244.3725</v>
      </c>
      <c r="L3156" s="4">
        <f t="shared" si="2"/>
        <v>2.239739615</v>
      </c>
    </row>
    <row r="3157">
      <c r="A3157" s="3" t="s">
        <v>178</v>
      </c>
      <c r="B3157" s="3">
        <v>15.2</v>
      </c>
      <c r="C3157" s="3">
        <v>6.64</v>
      </c>
      <c r="D3157" s="3">
        <v>72.4</v>
      </c>
      <c r="E3157" s="3">
        <v>5.06</v>
      </c>
      <c r="F3157" s="3">
        <v>30.8</v>
      </c>
      <c r="G3157" s="3">
        <v>37.98</v>
      </c>
      <c r="H3157" s="3">
        <v>0.0</v>
      </c>
      <c r="I3157" s="3">
        <v>2.41</v>
      </c>
      <c r="J3157" s="3">
        <v>0.0</v>
      </c>
      <c r="K3157" s="4">
        <f t="shared" si="1"/>
        <v>2391.1204</v>
      </c>
      <c r="L3157" s="4">
        <f t="shared" si="2"/>
        <v>2.192177358</v>
      </c>
    </row>
    <row r="3158">
      <c r="A3158" s="3" t="s">
        <v>178</v>
      </c>
      <c r="B3158" s="3">
        <v>15.2</v>
      </c>
      <c r="C3158" s="3">
        <v>7.74</v>
      </c>
      <c r="D3158" s="3">
        <v>73.2</v>
      </c>
      <c r="E3158" s="3">
        <v>5.06</v>
      </c>
      <c r="F3158" s="3">
        <v>30.9</v>
      </c>
      <c r="G3158" s="3">
        <v>35.45</v>
      </c>
      <c r="H3158" s="3">
        <v>0.0</v>
      </c>
      <c r="I3158" s="3">
        <v>0.0</v>
      </c>
      <c r="J3158" s="3">
        <v>0.0</v>
      </c>
      <c r="K3158" s="4">
        <f t="shared" si="1"/>
        <v>2211.5125</v>
      </c>
      <c r="L3158" s="4">
        <f t="shared" si="2"/>
        <v>2.42288479</v>
      </c>
    </row>
    <row r="3159">
      <c r="A3159" s="3" t="s">
        <v>179</v>
      </c>
      <c r="B3159" s="3">
        <v>78.6</v>
      </c>
      <c r="C3159" s="3">
        <v>0.62</v>
      </c>
      <c r="D3159" s="3">
        <v>35.1</v>
      </c>
      <c r="E3159" s="3">
        <v>4.01</v>
      </c>
      <c r="F3159" s="3">
        <v>0.82</v>
      </c>
      <c r="G3159" s="3">
        <v>71.2</v>
      </c>
      <c r="H3159" s="3">
        <v>0.0</v>
      </c>
      <c r="I3159" s="3">
        <v>1873.58</v>
      </c>
      <c r="J3159" s="3">
        <v>0.0</v>
      </c>
      <c r="K3159" s="4">
        <f t="shared" si="1"/>
        <v>5070.1124</v>
      </c>
      <c r="L3159" s="4">
        <f t="shared" si="2"/>
        <v>0.2429946129</v>
      </c>
    </row>
    <row r="3160">
      <c r="A3160" s="3" t="s">
        <v>179</v>
      </c>
      <c r="B3160" s="3">
        <v>78.6</v>
      </c>
      <c r="C3160" s="3">
        <v>1.23</v>
      </c>
      <c r="D3160" s="3">
        <v>64.6</v>
      </c>
      <c r="E3160" s="3">
        <v>4.19</v>
      </c>
      <c r="F3160" s="3">
        <v>1.0</v>
      </c>
      <c r="G3160" s="3">
        <v>112.64</v>
      </c>
      <c r="H3160" s="3">
        <v>0.0</v>
      </c>
      <c r="I3160" s="3">
        <v>1393.4</v>
      </c>
      <c r="J3160" s="3">
        <v>0.0</v>
      </c>
      <c r="K3160" s="4">
        <f t="shared" si="1"/>
        <v>12688.7696</v>
      </c>
      <c r="L3160" s="4">
        <f t="shared" si="2"/>
        <v>0.3288861041</v>
      </c>
    </row>
    <row r="3161">
      <c r="A3161" s="3" t="s">
        <v>179</v>
      </c>
      <c r="B3161" s="3">
        <v>78.6</v>
      </c>
      <c r="C3161" s="3">
        <v>1.83</v>
      </c>
      <c r="D3161" s="3">
        <v>80.1</v>
      </c>
      <c r="E3161" s="3">
        <v>6.32</v>
      </c>
      <c r="F3161" s="3">
        <v>2.09</v>
      </c>
      <c r="G3161" s="3">
        <v>139.71</v>
      </c>
      <c r="H3161" s="3">
        <v>0.0</v>
      </c>
      <c r="I3161" s="3">
        <v>1127.85</v>
      </c>
      <c r="J3161" s="3">
        <v>0.0</v>
      </c>
      <c r="K3161" s="4">
        <f t="shared" si="1"/>
        <v>19523.2522</v>
      </c>
      <c r="L3161" s="4">
        <f t="shared" si="2"/>
        <v>0.3286342836</v>
      </c>
    </row>
    <row r="3162">
      <c r="A3162" s="3" t="s">
        <v>179</v>
      </c>
      <c r="B3162" s="3">
        <v>78.6</v>
      </c>
      <c r="C3162" s="3">
        <v>2.47</v>
      </c>
      <c r="D3162" s="3">
        <v>113.0</v>
      </c>
      <c r="E3162" s="3">
        <v>10.4</v>
      </c>
      <c r="F3162" s="3">
        <v>3.39</v>
      </c>
      <c r="G3162" s="3">
        <v>159.08</v>
      </c>
      <c r="H3162" s="3">
        <v>0.0</v>
      </c>
      <c r="I3162" s="3">
        <v>925.97</v>
      </c>
      <c r="J3162" s="3">
        <v>0.0</v>
      </c>
      <c r="K3162" s="4">
        <f t="shared" si="1"/>
        <v>25317.9385</v>
      </c>
      <c r="L3162" s="4">
        <f t="shared" si="2"/>
        <v>0.5043459601</v>
      </c>
    </row>
    <row r="3163">
      <c r="A3163" s="3" t="s">
        <v>179</v>
      </c>
      <c r="B3163" s="3">
        <v>78.6</v>
      </c>
      <c r="C3163" s="3">
        <v>3.08</v>
      </c>
      <c r="D3163" s="3">
        <v>136.0</v>
      </c>
      <c r="E3163" s="3">
        <v>7.59</v>
      </c>
      <c r="F3163" s="3">
        <v>2.17</v>
      </c>
      <c r="G3163" s="3">
        <v>171.23</v>
      </c>
      <c r="H3163" s="3">
        <v>0.0</v>
      </c>
      <c r="I3163" s="3">
        <v>805.41</v>
      </c>
      <c r="J3163" s="3">
        <v>0.0</v>
      </c>
      <c r="K3163" s="4">
        <f t="shared" si="1"/>
        <v>29324.4218</v>
      </c>
      <c r="L3163" s="4">
        <f t="shared" si="2"/>
        <v>0.6307370739</v>
      </c>
    </row>
    <row r="3164">
      <c r="A3164" s="3" t="s">
        <v>179</v>
      </c>
      <c r="B3164" s="3">
        <v>78.6</v>
      </c>
      <c r="C3164" s="3">
        <v>3.68</v>
      </c>
      <c r="D3164" s="3">
        <v>150.0</v>
      </c>
      <c r="E3164" s="3">
        <v>7.75</v>
      </c>
      <c r="F3164" s="3">
        <v>0.18</v>
      </c>
      <c r="G3164" s="3">
        <v>180.9</v>
      </c>
      <c r="H3164" s="3">
        <v>0.0</v>
      </c>
      <c r="I3164" s="3">
        <v>736.52</v>
      </c>
      <c r="J3164" s="3">
        <v>0.0</v>
      </c>
      <c r="K3164" s="4">
        <f t="shared" si="1"/>
        <v>32724.8424</v>
      </c>
      <c r="L3164" s="4">
        <f t="shared" si="2"/>
        <v>0.6875510575</v>
      </c>
    </row>
    <row r="3165">
      <c r="A3165" s="3" t="s">
        <v>179</v>
      </c>
      <c r="B3165" s="3">
        <v>78.6</v>
      </c>
      <c r="C3165" s="3">
        <v>4.32</v>
      </c>
      <c r="D3165" s="3">
        <v>171.0</v>
      </c>
      <c r="E3165" s="3">
        <v>9.19</v>
      </c>
      <c r="F3165" s="3">
        <v>0.0</v>
      </c>
      <c r="G3165" s="3">
        <v>190.21</v>
      </c>
      <c r="H3165" s="3">
        <v>0.0</v>
      </c>
      <c r="I3165" s="3">
        <v>674.92</v>
      </c>
      <c r="J3165" s="3">
        <v>0.0</v>
      </c>
      <c r="K3165" s="4">
        <f t="shared" si="1"/>
        <v>36179.8441</v>
      </c>
      <c r="L3165" s="4">
        <f t="shared" si="2"/>
        <v>0.8082124378</v>
      </c>
    </row>
    <row r="3166">
      <c r="A3166" s="3" t="s">
        <v>179</v>
      </c>
      <c r="B3166" s="3">
        <v>78.6</v>
      </c>
      <c r="C3166" s="3">
        <v>4.91</v>
      </c>
      <c r="D3166" s="3">
        <v>192.0</v>
      </c>
      <c r="E3166" s="3">
        <v>9.16</v>
      </c>
      <c r="F3166" s="3">
        <v>0.2</v>
      </c>
      <c r="G3166" s="3">
        <v>198.61</v>
      </c>
      <c r="H3166" s="3">
        <v>0.0</v>
      </c>
      <c r="I3166" s="3">
        <v>662.92</v>
      </c>
      <c r="J3166" s="3">
        <v>0.0</v>
      </c>
      <c r="K3166" s="4">
        <f t="shared" si="1"/>
        <v>39445.9721</v>
      </c>
      <c r="L3166" s="4">
        <f t="shared" si="2"/>
        <v>0.9345440875</v>
      </c>
    </row>
    <row r="3167">
      <c r="A3167" s="3" t="s">
        <v>179</v>
      </c>
      <c r="B3167" s="3">
        <v>78.6</v>
      </c>
      <c r="C3167" s="3">
        <v>5.53</v>
      </c>
      <c r="D3167" s="3">
        <v>197.0</v>
      </c>
      <c r="E3167" s="3">
        <v>9.96</v>
      </c>
      <c r="F3167" s="3">
        <v>0.2</v>
      </c>
      <c r="G3167" s="3">
        <v>213.09</v>
      </c>
      <c r="H3167" s="3">
        <v>0.0</v>
      </c>
      <c r="I3167" s="3">
        <v>650.45</v>
      </c>
      <c r="J3167" s="3">
        <v>0.0</v>
      </c>
      <c r="K3167" s="4">
        <f t="shared" si="1"/>
        <v>45407.3881</v>
      </c>
      <c r="L3167" s="4">
        <f t="shared" si="2"/>
        <v>0.8546847027</v>
      </c>
    </row>
    <row r="3168">
      <c r="A3168" s="3" t="s">
        <v>179</v>
      </c>
      <c r="B3168" s="3">
        <v>78.6</v>
      </c>
      <c r="C3168" s="3">
        <v>6.17</v>
      </c>
      <c r="D3168" s="3">
        <v>195.0</v>
      </c>
      <c r="E3168" s="3">
        <v>12.4</v>
      </c>
      <c r="F3168" s="3">
        <v>0.0</v>
      </c>
      <c r="G3168" s="3">
        <v>230.24</v>
      </c>
      <c r="H3168" s="3">
        <v>0.0</v>
      </c>
      <c r="I3168" s="3">
        <v>650.0</v>
      </c>
      <c r="J3168" s="3">
        <v>0.0</v>
      </c>
      <c r="K3168" s="4">
        <f t="shared" si="1"/>
        <v>53010.4576</v>
      </c>
      <c r="L3168" s="4">
        <f t="shared" si="2"/>
        <v>0.7173112952</v>
      </c>
    </row>
    <row r="3169">
      <c r="A3169" s="3" t="s">
        <v>179</v>
      </c>
      <c r="B3169" s="3">
        <v>78.6</v>
      </c>
      <c r="C3169" s="3">
        <v>6.78</v>
      </c>
      <c r="D3169" s="3">
        <v>196.0</v>
      </c>
      <c r="E3169" s="3">
        <v>7.09</v>
      </c>
      <c r="F3169" s="3">
        <v>0.58</v>
      </c>
      <c r="G3169" s="3">
        <v>253.17</v>
      </c>
      <c r="H3169" s="3">
        <v>0.0</v>
      </c>
      <c r="I3169" s="3">
        <v>639.7</v>
      </c>
      <c r="J3169" s="3">
        <v>0.0</v>
      </c>
      <c r="K3169" s="4">
        <f t="shared" si="1"/>
        <v>64095.3853</v>
      </c>
      <c r="L3169" s="4">
        <f t="shared" si="2"/>
        <v>0.5993567216</v>
      </c>
    </row>
    <row r="3170">
      <c r="A3170" s="3" t="s">
        <v>179</v>
      </c>
      <c r="B3170" s="3">
        <v>78.6</v>
      </c>
      <c r="C3170" s="3">
        <v>7.38</v>
      </c>
      <c r="D3170" s="3">
        <v>216.0</v>
      </c>
      <c r="E3170" s="3">
        <v>5.99</v>
      </c>
      <c r="F3170" s="3">
        <v>2.58</v>
      </c>
      <c r="G3170" s="3">
        <v>275.53</v>
      </c>
      <c r="H3170" s="3">
        <v>0.0</v>
      </c>
      <c r="I3170" s="3">
        <v>565.76</v>
      </c>
      <c r="J3170" s="3">
        <v>0.0</v>
      </c>
      <c r="K3170" s="4">
        <f t="shared" si="1"/>
        <v>75923.4373</v>
      </c>
      <c r="L3170" s="4">
        <f t="shared" si="2"/>
        <v>0.6145138005</v>
      </c>
    </row>
    <row r="3171">
      <c r="A3171" s="3" t="s">
        <v>179</v>
      </c>
      <c r="B3171" s="3">
        <v>78.6</v>
      </c>
      <c r="C3171" s="3">
        <v>8.0</v>
      </c>
      <c r="D3171" s="3">
        <v>225.0</v>
      </c>
      <c r="E3171" s="3">
        <v>5.24</v>
      </c>
      <c r="F3171" s="3">
        <v>0.0</v>
      </c>
      <c r="G3171" s="3">
        <v>287.96</v>
      </c>
      <c r="H3171" s="3">
        <v>0.0</v>
      </c>
      <c r="I3171" s="3">
        <v>471.02</v>
      </c>
      <c r="J3171" s="3">
        <v>0.0</v>
      </c>
      <c r="K3171" s="4">
        <f t="shared" si="1"/>
        <v>82920.9616</v>
      </c>
      <c r="L3171" s="4">
        <f t="shared" si="2"/>
        <v>0.6105211399</v>
      </c>
    </row>
    <row r="3172">
      <c r="A3172" s="3" t="s">
        <v>179</v>
      </c>
      <c r="B3172" s="3">
        <v>78.6</v>
      </c>
      <c r="C3172" s="3">
        <v>8.62</v>
      </c>
      <c r="D3172" s="3">
        <v>240.0</v>
      </c>
      <c r="E3172" s="3">
        <v>6.15</v>
      </c>
      <c r="F3172" s="3">
        <v>0.0</v>
      </c>
      <c r="G3172" s="3">
        <v>290.86</v>
      </c>
      <c r="H3172" s="3">
        <v>0.0</v>
      </c>
      <c r="I3172" s="3">
        <v>408.2</v>
      </c>
      <c r="J3172" s="3">
        <v>0.0</v>
      </c>
      <c r="K3172" s="4">
        <f t="shared" si="1"/>
        <v>84599.5396</v>
      </c>
      <c r="L3172" s="4">
        <f t="shared" si="2"/>
        <v>0.6808547691</v>
      </c>
    </row>
    <row r="3173">
      <c r="A3173" s="3" t="s">
        <v>179</v>
      </c>
      <c r="B3173" s="3">
        <v>78.6</v>
      </c>
      <c r="C3173" s="3">
        <v>9.23</v>
      </c>
      <c r="D3173" s="3">
        <v>247.0</v>
      </c>
      <c r="E3173" s="3">
        <v>4.37</v>
      </c>
      <c r="F3173" s="3">
        <v>7.92</v>
      </c>
      <c r="G3173" s="3">
        <v>295.63</v>
      </c>
      <c r="H3173" s="3">
        <v>0.0</v>
      </c>
      <c r="I3173" s="3">
        <v>389.51</v>
      </c>
      <c r="J3173" s="3">
        <v>0.0</v>
      </c>
      <c r="K3173" s="4">
        <f t="shared" si="1"/>
        <v>87459.8233</v>
      </c>
      <c r="L3173" s="4">
        <f t="shared" si="2"/>
        <v>0.6975660103</v>
      </c>
    </row>
    <row r="3174">
      <c r="A3174" s="3" t="s">
        <v>179</v>
      </c>
      <c r="B3174" s="3">
        <v>78.6</v>
      </c>
      <c r="C3174" s="3">
        <v>9.85</v>
      </c>
      <c r="D3174" s="3">
        <v>254.0</v>
      </c>
      <c r="E3174" s="3">
        <v>6.48</v>
      </c>
      <c r="F3174" s="3">
        <v>16.06</v>
      </c>
      <c r="G3174" s="3">
        <v>302.1</v>
      </c>
      <c r="H3174" s="3">
        <v>0.0</v>
      </c>
      <c r="I3174" s="3">
        <v>358.51</v>
      </c>
      <c r="J3174" s="3">
        <v>0.0</v>
      </c>
      <c r="K3174" s="4">
        <f t="shared" si="1"/>
        <v>91522.3336</v>
      </c>
      <c r="L3174" s="4">
        <f t="shared" si="2"/>
        <v>0.7049208369</v>
      </c>
    </row>
    <row r="3175">
      <c r="A3175" s="3" t="s">
        <v>179</v>
      </c>
      <c r="B3175" s="3">
        <v>78.6</v>
      </c>
      <c r="C3175" s="3">
        <v>10.43</v>
      </c>
      <c r="D3175" s="3">
        <v>257.0</v>
      </c>
      <c r="E3175" s="3">
        <v>7.41</v>
      </c>
      <c r="F3175" s="3">
        <v>21.24</v>
      </c>
      <c r="G3175" s="3">
        <v>307.81</v>
      </c>
      <c r="H3175" s="3">
        <v>0.0</v>
      </c>
      <c r="I3175" s="3">
        <v>328.15</v>
      </c>
      <c r="J3175" s="3">
        <v>0.0</v>
      </c>
      <c r="K3175" s="4">
        <f t="shared" si="1"/>
        <v>95198.1337</v>
      </c>
      <c r="L3175" s="4">
        <f t="shared" si="2"/>
        <v>0.6938056182</v>
      </c>
    </row>
    <row r="3176">
      <c r="A3176" s="3" t="s">
        <v>179</v>
      </c>
      <c r="B3176" s="3">
        <v>78.6</v>
      </c>
      <c r="C3176" s="3">
        <v>11.05</v>
      </c>
      <c r="D3176" s="3">
        <v>273.0</v>
      </c>
      <c r="E3176" s="3">
        <v>5.38</v>
      </c>
      <c r="F3176" s="3">
        <v>23.48</v>
      </c>
      <c r="G3176" s="3">
        <v>312.49</v>
      </c>
      <c r="H3176" s="3">
        <v>0.0</v>
      </c>
      <c r="I3176" s="3">
        <v>295.55</v>
      </c>
      <c r="J3176" s="3">
        <v>0.0</v>
      </c>
      <c r="K3176" s="4">
        <f t="shared" si="1"/>
        <v>98201.3105</v>
      </c>
      <c r="L3176" s="4">
        <f t="shared" si="2"/>
        <v>0.7589409919</v>
      </c>
    </row>
    <row r="3177">
      <c r="A3177" s="3" t="s">
        <v>179</v>
      </c>
      <c r="B3177" s="3">
        <v>78.6</v>
      </c>
      <c r="C3177" s="3">
        <v>11.67</v>
      </c>
      <c r="D3177" s="3">
        <v>272.0</v>
      </c>
      <c r="E3177" s="3">
        <v>5.98</v>
      </c>
      <c r="F3177" s="3">
        <v>24.19</v>
      </c>
      <c r="G3177" s="3">
        <v>316.07</v>
      </c>
      <c r="H3177" s="3">
        <v>0.0</v>
      </c>
      <c r="I3177" s="3">
        <v>269.2</v>
      </c>
      <c r="J3177" s="3">
        <v>0.0</v>
      </c>
      <c r="K3177" s="4">
        <f t="shared" si="1"/>
        <v>100485.401</v>
      </c>
      <c r="L3177" s="4">
        <f t="shared" si="2"/>
        <v>0.7362661567</v>
      </c>
    </row>
    <row r="3178">
      <c r="A3178" s="3" t="s">
        <v>179</v>
      </c>
      <c r="B3178" s="3">
        <v>78.6</v>
      </c>
      <c r="C3178" s="3">
        <v>12.19</v>
      </c>
      <c r="D3178" s="3">
        <v>270.0</v>
      </c>
      <c r="E3178" s="3">
        <v>20.9</v>
      </c>
      <c r="F3178" s="3">
        <v>23.78</v>
      </c>
      <c r="G3178" s="3">
        <v>319.44</v>
      </c>
      <c r="H3178" s="3">
        <v>0.0</v>
      </c>
      <c r="I3178" s="3">
        <v>249.24</v>
      </c>
      <c r="J3178" s="3">
        <v>0.0</v>
      </c>
      <c r="K3178" s="4">
        <f t="shared" si="1"/>
        <v>102607.402</v>
      </c>
      <c r="L3178" s="4">
        <f t="shared" si="2"/>
        <v>0.7104750591</v>
      </c>
    </row>
    <row r="3179">
      <c r="A3179" s="3" t="s">
        <v>179</v>
      </c>
      <c r="B3179" s="3">
        <v>78.6</v>
      </c>
      <c r="C3179" s="3">
        <v>12.91</v>
      </c>
      <c r="D3179" s="3">
        <v>279.0</v>
      </c>
      <c r="E3179" s="3">
        <v>9.4</v>
      </c>
      <c r="F3179" s="3">
        <v>22.46</v>
      </c>
      <c r="G3179" s="3">
        <v>323.2</v>
      </c>
      <c r="H3179" s="3">
        <v>0.0</v>
      </c>
      <c r="I3179" s="3">
        <v>220.87</v>
      </c>
      <c r="J3179" s="3">
        <v>0.0</v>
      </c>
      <c r="K3179" s="4">
        <f t="shared" si="1"/>
        <v>104962.6916</v>
      </c>
      <c r="L3179" s="4">
        <f t="shared" si="2"/>
        <v>0.7416063633</v>
      </c>
    </row>
    <row r="3180">
      <c r="A3180" s="3" t="s">
        <v>179</v>
      </c>
      <c r="B3180" s="3">
        <v>78.6</v>
      </c>
      <c r="C3180" s="3">
        <v>14.56</v>
      </c>
      <c r="D3180" s="3">
        <v>287.0</v>
      </c>
      <c r="E3180" s="3">
        <v>10.8</v>
      </c>
      <c r="F3180" s="3">
        <v>23.48</v>
      </c>
      <c r="G3180" s="3">
        <v>326.62</v>
      </c>
      <c r="H3180" s="3">
        <v>0.0</v>
      </c>
      <c r="I3180" s="3">
        <v>154.04</v>
      </c>
      <c r="J3180" s="3">
        <v>0.0</v>
      </c>
      <c r="K3180" s="4">
        <f t="shared" si="1"/>
        <v>107231.9348</v>
      </c>
      <c r="L3180" s="4">
        <f t="shared" si="2"/>
        <v>0.7681387094</v>
      </c>
    </row>
    <row r="3181">
      <c r="A3181" s="3" t="s">
        <v>179</v>
      </c>
      <c r="B3181" s="3">
        <v>78.6</v>
      </c>
      <c r="C3181" s="3">
        <v>16.63</v>
      </c>
      <c r="D3181" s="3">
        <v>291.0</v>
      </c>
      <c r="E3181" s="3">
        <v>10.0</v>
      </c>
      <c r="F3181" s="3">
        <v>24.49</v>
      </c>
      <c r="G3181" s="3">
        <v>316.26</v>
      </c>
      <c r="H3181" s="3">
        <v>0.0</v>
      </c>
      <c r="I3181" s="3">
        <v>98.46</v>
      </c>
      <c r="J3181" s="3">
        <v>0.0</v>
      </c>
      <c r="K3181" s="4">
        <f t="shared" si="1"/>
        <v>100620.1477</v>
      </c>
      <c r="L3181" s="4">
        <f t="shared" si="2"/>
        <v>0.8415908934</v>
      </c>
    </row>
    <row r="3182">
      <c r="A3182" s="3" t="s">
        <v>179</v>
      </c>
      <c r="B3182" s="3">
        <v>78.6</v>
      </c>
      <c r="C3182" s="3">
        <v>17.77</v>
      </c>
      <c r="D3182" s="3">
        <v>286.0</v>
      </c>
      <c r="E3182" s="3">
        <v>9.67</v>
      </c>
      <c r="F3182" s="3">
        <v>24.49</v>
      </c>
      <c r="G3182" s="3">
        <v>310.12</v>
      </c>
      <c r="H3182" s="3">
        <v>0.0</v>
      </c>
      <c r="I3182" s="3">
        <v>85.89</v>
      </c>
      <c r="J3182" s="3">
        <v>0.0</v>
      </c>
      <c r="K3182" s="4">
        <f t="shared" si="1"/>
        <v>96774.1745</v>
      </c>
      <c r="L3182" s="4">
        <f t="shared" si="2"/>
        <v>0.8452254997</v>
      </c>
    </row>
    <row r="3183">
      <c r="A3183" s="3" t="s">
        <v>179</v>
      </c>
      <c r="B3183" s="3">
        <v>78.6</v>
      </c>
      <c r="C3183" s="3">
        <v>18.49</v>
      </c>
      <c r="D3183" s="3">
        <v>288.0</v>
      </c>
      <c r="E3183" s="3">
        <v>6.96</v>
      </c>
      <c r="F3183" s="3">
        <v>26.12</v>
      </c>
      <c r="G3183" s="3">
        <v>307.21</v>
      </c>
      <c r="H3183" s="3">
        <v>0.0</v>
      </c>
      <c r="I3183" s="3">
        <v>77.89</v>
      </c>
      <c r="J3183" s="3">
        <v>0.0</v>
      </c>
      <c r="K3183" s="4">
        <f t="shared" si="1"/>
        <v>95060.2385</v>
      </c>
      <c r="L3183" s="4">
        <f t="shared" si="2"/>
        <v>0.8725414675</v>
      </c>
    </row>
    <row r="3184">
      <c r="A3184" s="3" t="s">
        <v>179</v>
      </c>
      <c r="B3184" s="3">
        <v>78.6</v>
      </c>
      <c r="C3184" s="3">
        <v>20.24</v>
      </c>
      <c r="D3184" s="3">
        <v>289.0</v>
      </c>
      <c r="E3184" s="3">
        <v>6.63</v>
      </c>
      <c r="F3184" s="3">
        <v>41.26</v>
      </c>
      <c r="G3184" s="3">
        <v>301.54</v>
      </c>
      <c r="H3184" s="3">
        <v>0.0</v>
      </c>
      <c r="I3184" s="3">
        <v>61.63</v>
      </c>
      <c r="J3184" s="3">
        <v>0.0</v>
      </c>
      <c r="K3184" s="4">
        <f t="shared" si="1"/>
        <v>92628.7592</v>
      </c>
      <c r="L3184" s="4">
        <f t="shared" si="2"/>
        <v>0.9016746065</v>
      </c>
    </row>
    <row r="3185">
      <c r="A3185" s="3" t="s">
        <v>179</v>
      </c>
      <c r="B3185" s="3">
        <v>78.6</v>
      </c>
      <c r="C3185" s="3">
        <v>22.62</v>
      </c>
      <c r="D3185" s="3">
        <v>288.0</v>
      </c>
      <c r="E3185" s="3">
        <v>10.0</v>
      </c>
      <c r="F3185" s="3">
        <v>55.9</v>
      </c>
      <c r="G3185" s="3">
        <v>294.39</v>
      </c>
      <c r="H3185" s="3">
        <v>0.0</v>
      </c>
      <c r="I3185" s="3">
        <v>42.2</v>
      </c>
      <c r="J3185" s="3">
        <v>0.0</v>
      </c>
      <c r="K3185" s="4">
        <f t="shared" si="1"/>
        <v>89790.2821</v>
      </c>
      <c r="L3185" s="4">
        <f t="shared" si="2"/>
        <v>0.9237525271</v>
      </c>
    </row>
    <row r="3186">
      <c r="A3186" s="3" t="s">
        <v>179</v>
      </c>
      <c r="B3186" s="3">
        <v>78.6</v>
      </c>
      <c r="C3186" s="3">
        <v>24.89</v>
      </c>
      <c r="D3186" s="3">
        <v>269.0</v>
      </c>
      <c r="E3186" s="3">
        <v>8.23</v>
      </c>
      <c r="F3186" s="3">
        <v>53.66</v>
      </c>
      <c r="G3186" s="3">
        <v>286.32</v>
      </c>
      <c r="H3186" s="3">
        <v>0.0</v>
      </c>
      <c r="I3186" s="3">
        <v>25.35</v>
      </c>
      <c r="J3186" s="3">
        <v>0.0</v>
      </c>
      <c r="K3186" s="4">
        <f t="shared" si="1"/>
        <v>84858.538</v>
      </c>
      <c r="L3186" s="4">
        <f t="shared" si="2"/>
        <v>0.8527250375</v>
      </c>
    </row>
    <row r="3187">
      <c r="A3187" s="3" t="s">
        <v>179</v>
      </c>
      <c r="B3187" s="3">
        <v>78.6</v>
      </c>
      <c r="C3187" s="3">
        <v>27.06</v>
      </c>
      <c r="D3187" s="3">
        <v>267.0</v>
      </c>
      <c r="E3187" s="3">
        <v>7.11</v>
      </c>
      <c r="F3187" s="3">
        <v>52.14</v>
      </c>
      <c r="G3187" s="3">
        <v>273.02</v>
      </c>
      <c r="H3187" s="3">
        <v>0.0</v>
      </c>
      <c r="I3187" s="3">
        <v>13.51</v>
      </c>
      <c r="J3187" s="3">
        <v>0.0</v>
      </c>
      <c r="K3187" s="4">
        <f t="shared" si="1"/>
        <v>77258.5</v>
      </c>
      <c r="L3187" s="4">
        <f t="shared" si="2"/>
        <v>0.9227334209</v>
      </c>
    </row>
    <row r="3188">
      <c r="A3188" s="3" t="s">
        <v>179</v>
      </c>
      <c r="B3188" s="3">
        <v>78.6</v>
      </c>
      <c r="C3188" s="3">
        <v>29.13</v>
      </c>
      <c r="D3188" s="3">
        <v>272.0</v>
      </c>
      <c r="E3188" s="3">
        <v>5.36</v>
      </c>
      <c r="F3188" s="3">
        <v>47.05</v>
      </c>
      <c r="G3188" s="3">
        <v>261.41</v>
      </c>
      <c r="H3188" s="3">
        <v>0.0</v>
      </c>
      <c r="I3188" s="3">
        <v>8.93</v>
      </c>
      <c r="J3188" s="3">
        <v>0.0</v>
      </c>
      <c r="K3188" s="4">
        <f t="shared" si="1"/>
        <v>70548.8906</v>
      </c>
      <c r="L3188" s="4">
        <f t="shared" si="2"/>
        <v>1.048691189</v>
      </c>
    </row>
    <row r="3189">
      <c r="A3189" s="3" t="s">
        <v>179</v>
      </c>
      <c r="B3189" s="3">
        <v>78.6</v>
      </c>
      <c r="C3189" s="3">
        <v>31.3</v>
      </c>
      <c r="D3189" s="3">
        <v>274.0</v>
      </c>
      <c r="E3189" s="3">
        <v>5.78</v>
      </c>
      <c r="F3189" s="3">
        <v>45.53</v>
      </c>
      <c r="G3189" s="3">
        <v>250.43</v>
      </c>
      <c r="H3189" s="3">
        <v>0.0</v>
      </c>
      <c r="I3189" s="3">
        <v>5.08</v>
      </c>
      <c r="J3189" s="3">
        <v>0.0</v>
      </c>
      <c r="K3189" s="4">
        <f t="shared" si="1"/>
        <v>64788.1658</v>
      </c>
      <c r="L3189" s="4">
        <f t="shared" si="2"/>
        <v>1.158791873</v>
      </c>
    </row>
    <row r="3190">
      <c r="A3190" s="3" t="s">
        <v>179</v>
      </c>
      <c r="B3190" s="3">
        <v>78.6</v>
      </c>
      <c r="C3190" s="3">
        <v>33.46</v>
      </c>
      <c r="D3190" s="3">
        <v>259.0</v>
      </c>
      <c r="E3190" s="3">
        <v>5.81</v>
      </c>
      <c r="F3190" s="3">
        <v>50.92</v>
      </c>
      <c r="G3190" s="3">
        <v>239.85</v>
      </c>
      <c r="H3190" s="3">
        <v>0.0</v>
      </c>
      <c r="I3190" s="3">
        <v>2.15</v>
      </c>
      <c r="J3190" s="3">
        <v>0.0</v>
      </c>
      <c r="K3190" s="4">
        <f t="shared" si="1"/>
        <v>60120.8689</v>
      </c>
      <c r="L3190" s="4">
        <f t="shared" si="2"/>
        <v>1.115768971</v>
      </c>
    </row>
    <row r="3191">
      <c r="A3191" s="3" t="s">
        <v>179</v>
      </c>
      <c r="B3191" s="3">
        <v>78.6</v>
      </c>
      <c r="C3191" s="3">
        <v>35.53</v>
      </c>
      <c r="D3191" s="3">
        <v>272.0</v>
      </c>
      <c r="E3191" s="3">
        <v>6.69</v>
      </c>
      <c r="F3191" s="3">
        <v>49.39</v>
      </c>
      <c r="G3191" s="3">
        <v>229.51</v>
      </c>
      <c r="H3191" s="3">
        <v>0.0</v>
      </c>
      <c r="I3191" s="3">
        <v>0.6</v>
      </c>
      <c r="J3191" s="3">
        <v>0.0</v>
      </c>
      <c r="K3191" s="4">
        <f t="shared" si="1"/>
        <v>55114.2122</v>
      </c>
      <c r="L3191" s="4">
        <f t="shared" si="2"/>
        <v>1.342376078</v>
      </c>
    </row>
    <row r="3192">
      <c r="A3192" s="3" t="s">
        <v>179</v>
      </c>
      <c r="B3192" s="3">
        <v>78.6</v>
      </c>
      <c r="C3192" s="3">
        <v>37.7</v>
      </c>
      <c r="D3192" s="3">
        <v>274.0</v>
      </c>
      <c r="E3192" s="3">
        <v>6.39</v>
      </c>
      <c r="F3192" s="3">
        <v>46.04</v>
      </c>
      <c r="G3192" s="3">
        <v>219.93</v>
      </c>
      <c r="H3192" s="3">
        <v>0.0</v>
      </c>
      <c r="I3192" s="3">
        <v>0.46</v>
      </c>
      <c r="J3192" s="3">
        <v>0.0</v>
      </c>
      <c r="K3192" s="4">
        <f t="shared" si="1"/>
        <v>50488.8865</v>
      </c>
      <c r="L3192" s="4">
        <f t="shared" si="2"/>
        <v>1.486980704</v>
      </c>
    </row>
    <row r="3193">
      <c r="A3193" s="3" t="s">
        <v>179</v>
      </c>
      <c r="B3193" s="3">
        <v>78.6</v>
      </c>
      <c r="C3193" s="3">
        <v>39.87</v>
      </c>
      <c r="D3193" s="3">
        <v>272.0</v>
      </c>
      <c r="E3193" s="3">
        <v>5.59</v>
      </c>
      <c r="F3193" s="3">
        <v>49.19</v>
      </c>
      <c r="G3193" s="3">
        <v>212.13</v>
      </c>
      <c r="H3193" s="3">
        <v>0.0</v>
      </c>
      <c r="I3193" s="3">
        <v>0.19</v>
      </c>
      <c r="J3193" s="3">
        <v>0.0</v>
      </c>
      <c r="K3193" s="4">
        <f t="shared" si="1"/>
        <v>47418.793</v>
      </c>
      <c r="L3193" s="4">
        <f t="shared" si="2"/>
        <v>1.560225289</v>
      </c>
    </row>
    <row r="3194">
      <c r="A3194" s="3" t="s">
        <v>179</v>
      </c>
      <c r="B3194" s="3">
        <v>78.6</v>
      </c>
      <c r="C3194" s="3">
        <v>41.93</v>
      </c>
      <c r="D3194" s="3">
        <v>266.0</v>
      </c>
      <c r="E3194" s="3">
        <v>8.82</v>
      </c>
      <c r="F3194" s="3">
        <v>49.09</v>
      </c>
      <c r="G3194" s="3">
        <v>205.47</v>
      </c>
      <c r="H3194" s="3">
        <v>0.0</v>
      </c>
      <c r="I3194" s="3">
        <v>0.0</v>
      </c>
      <c r="J3194" s="3">
        <v>0.0</v>
      </c>
      <c r="K3194" s="4">
        <f t="shared" si="1"/>
        <v>44627.749</v>
      </c>
      <c r="L3194" s="4">
        <f t="shared" si="2"/>
        <v>1.585470959</v>
      </c>
    </row>
    <row r="3195">
      <c r="A3195" s="3" t="s">
        <v>180</v>
      </c>
      <c r="B3195" s="3">
        <v>24.2</v>
      </c>
      <c r="C3195" s="3">
        <v>0.33</v>
      </c>
      <c r="D3195" s="3">
        <v>4.0</v>
      </c>
      <c r="E3195" s="3">
        <v>7.9</v>
      </c>
      <c r="F3195" s="3">
        <v>1.71</v>
      </c>
      <c r="G3195" s="3">
        <v>21.94</v>
      </c>
      <c r="H3195" s="3">
        <v>0.0</v>
      </c>
      <c r="I3195" s="3">
        <v>329.26</v>
      </c>
      <c r="J3195" s="3">
        <v>0.0</v>
      </c>
      <c r="K3195" s="4">
        <f t="shared" si="1"/>
        <v>484.2877</v>
      </c>
      <c r="L3195" s="4">
        <f t="shared" si="2"/>
        <v>0.03303821262</v>
      </c>
    </row>
    <row r="3196">
      <c r="A3196" s="3" t="s">
        <v>180</v>
      </c>
      <c r="B3196" s="3">
        <v>24.2</v>
      </c>
      <c r="C3196" s="3">
        <v>0.99</v>
      </c>
      <c r="D3196" s="3">
        <v>17.0</v>
      </c>
      <c r="E3196" s="3">
        <v>8.6</v>
      </c>
      <c r="F3196" s="3">
        <v>2.41</v>
      </c>
      <c r="G3196" s="3">
        <v>47.32</v>
      </c>
      <c r="H3196" s="3">
        <v>0.0</v>
      </c>
      <c r="I3196" s="3">
        <v>226.54</v>
      </c>
      <c r="J3196" s="3">
        <v>0.0</v>
      </c>
      <c r="K3196" s="4">
        <f t="shared" si="1"/>
        <v>2244.9905</v>
      </c>
      <c r="L3196" s="4">
        <f t="shared" si="2"/>
        <v>0.128731057</v>
      </c>
    </row>
    <row r="3197">
      <c r="A3197" s="3" t="s">
        <v>180</v>
      </c>
      <c r="B3197" s="3">
        <v>24.2</v>
      </c>
      <c r="C3197" s="3">
        <v>1.76</v>
      </c>
      <c r="D3197" s="3">
        <v>33.3</v>
      </c>
      <c r="E3197" s="3">
        <v>7.9</v>
      </c>
      <c r="F3197" s="3">
        <v>-7.34</v>
      </c>
      <c r="G3197" s="3">
        <v>59.39</v>
      </c>
      <c r="H3197" s="3">
        <v>0.0</v>
      </c>
      <c r="I3197" s="3">
        <v>158.62</v>
      </c>
      <c r="J3197" s="3">
        <v>0.0</v>
      </c>
      <c r="K3197" s="4">
        <f t="shared" si="1"/>
        <v>3581.0477</v>
      </c>
      <c r="L3197" s="4">
        <f t="shared" si="2"/>
        <v>0.3096551883</v>
      </c>
    </row>
    <row r="3198">
      <c r="A3198" s="3" t="s">
        <v>180</v>
      </c>
      <c r="B3198" s="3">
        <v>24.2</v>
      </c>
      <c r="C3198" s="3">
        <v>2.42</v>
      </c>
      <c r="D3198" s="3">
        <v>44.9</v>
      </c>
      <c r="E3198" s="3">
        <v>10.5</v>
      </c>
      <c r="F3198" s="3">
        <v>-10.59</v>
      </c>
      <c r="G3198" s="3">
        <v>70.77</v>
      </c>
      <c r="H3198" s="3">
        <v>0.0</v>
      </c>
      <c r="I3198" s="3">
        <v>134.99</v>
      </c>
      <c r="J3198" s="3">
        <v>0.0</v>
      </c>
      <c r="K3198" s="4">
        <f t="shared" si="1"/>
        <v>5120.541</v>
      </c>
      <c r="L3198" s="4">
        <f t="shared" si="2"/>
        <v>0.3937103521</v>
      </c>
    </row>
    <row r="3199">
      <c r="A3199" s="3" t="s">
        <v>180</v>
      </c>
      <c r="B3199" s="3">
        <v>24.2</v>
      </c>
      <c r="C3199" s="3">
        <v>3.19</v>
      </c>
      <c r="D3199" s="3">
        <v>53.0</v>
      </c>
      <c r="E3199" s="3">
        <v>7.9</v>
      </c>
      <c r="F3199" s="3">
        <v>0.97</v>
      </c>
      <c r="G3199" s="3">
        <v>81.19</v>
      </c>
      <c r="H3199" s="3">
        <v>0.0</v>
      </c>
      <c r="I3199" s="3">
        <v>93.5</v>
      </c>
      <c r="J3199" s="3">
        <v>0.0</v>
      </c>
      <c r="K3199" s="4">
        <f t="shared" si="1"/>
        <v>6592.757</v>
      </c>
      <c r="L3199" s="4">
        <f t="shared" si="2"/>
        <v>0.4260736442</v>
      </c>
    </row>
    <row r="3200">
      <c r="A3200" s="3" t="s">
        <v>180</v>
      </c>
      <c r="B3200" s="3">
        <v>24.2</v>
      </c>
      <c r="C3200" s="3">
        <v>3.85</v>
      </c>
      <c r="D3200" s="3">
        <v>60.8</v>
      </c>
      <c r="E3200" s="3">
        <v>7.9</v>
      </c>
      <c r="F3200" s="3">
        <v>9.74</v>
      </c>
      <c r="G3200" s="3">
        <v>83.68</v>
      </c>
      <c r="H3200" s="3">
        <v>0.0</v>
      </c>
      <c r="I3200" s="3">
        <v>70.65</v>
      </c>
      <c r="J3200" s="3">
        <v>0.0</v>
      </c>
      <c r="K3200" s="4">
        <f t="shared" si="1"/>
        <v>7097.21</v>
      </c>
      <c r="L3200" s="4">
        <f t="shared" si="2"/>
        <v>0.5208581964</v>
      </c>
    </row>
    <row r="3201">
      <c r="A3201" s="3" t="s">
        <v>180</v>
      </c>
      <c r="B3201" s="3">
        <v>24.2</v>
      </c>
      <c r="C3201" s="3">
        <v>4.62</v>
      </c>
      <c r="D3201" s="3">
        <v>69.0</v>
      </c>
      <c r="E3201" s="3">
        <v>7.9</v>
      </c>
      <c r="F3201" s="3">
        <v>11.43</v>
      </c>
      <c r="G3201" s="3">
        <v>87.03</v>
      </c>
      <c r="H3201" s="3">
        <v>0.0</v>
      </c>
      <c r="I3201" s="3">
        <v>55.35</v>
      </c>
      <c r="J3201" s="3">
        <v>0.0</v>
      </c>
      <c r="K3201" s="4">
        <f t="shared" si="1"/>
        <v>7704.8658</v>
      </c>
      <c r="L3201" s="4">
        <f t="shared" si="2"/>
        <v>0.6179212103</v>
      </c>
    </row>
    <row r="3202">
      <c r="A3202" s="3" t="s">
        <v>180</v>
      </c>
      <c r="B3202" s="3">
        <v>24.2</v>
      </c>
      <c r="C3202" s="3">
        <v>5.28</v>
      </c>
      <c r="D3202" s="3">
        <v>76.6</v>
      </c>
      <c r="E3202" s="3">
        <v>7.9</v>
      </c>
      <c r="F3202" s="3">
        <v>16.36</v>
      </c>
      <c r="G3202" s="3">
        <v>90.49</v>
      </c>
      <c r="H3202" s="3">
        <v>0.0</v>
      </c>
      <c r="I3202" s="3">
        <v>49.76</v>
      </c>
      <c r="J3202" s="3">
        <v>0.0</v>
      </c>
      <c r="K3202" s="4">
        <f t="shared" si="1"/>
        <v>8456.0897</v>
      </c>
      <c r="L3202" s="4">
        <f t="shared" si="2"/>
        <v>0.693885733</v>
      </c>
    </row>
    <row r="3203">
      <c r="A3203" s="3" t="s">
        <v>180</v>
      </c>
      <c r="B3203" s="3">
        <v>24.2</v>
      </c>
      <c r="C3203" s="3">
        <v>5.94</v>
      </c>
      <c r="D3203" s="3">
        <v>85.0</v>
      </c>
      <c r="E3203" s="3">
        <v>7.9</v>
      </c>
      <c r="F3203" s="3">
        <v>17.72</v>
      </c>
      <c r="G3203" s="3">
        <v>93.96</v>
      </c>
      <c r="H3203" s="3">
        <v>0.0</v>
      </c>
      <c r="I3203" s="3">
        <v>36.24</v>
      </c>
      <c r="J3203" s="3">
        <v>0.0</v>
      </c>
      <c r="K3203" s="4">
        <f t="shared" si="1"/>
        <v>9142.48</v>
      </c>
      <c r="L3203" s="4">
        <f t="shared" si="2"/>
        <v>0.7902669735</v>
      </c>
    </row>
    <row r="3204">
      <c r="A3204" s="3" t="s">
        <v>180</v>
      </c>
      <c r="B3204" s="3">
        <v>24.2</v>
      </c>
      <c r="C3204" s="3">
        <v>7.04</v>
      </c>
      <c r="D3204" s="3">
        <v>78.1</v>
      </c>
      <c r="E3204" s="3">
        <v>6.7</v>
      </c>
      <c r="F3204" s="3">
        <v>24.54</v>
      </c>
      <c r="G3204" s="3">
        <v>93.48</v>
      </c>
      <c r="H3204" s="3">
        <v>0.0</v>
      </c>
      <c r="I3204" s="3">
        <v>19.51</v>
      </c>
      <c r="J3204" s="3">
        <v>0.0</v>
      </c>
      <c r="K3204" s="4">
        <f t="shared" si="1"/>
        <v>9340.722</v>
      </c>
      <c r="L3204" s="4">
        <f t="shared" si="2"/>
        <v>0.65301269</v>
      </c>
    </row>
    <row r="3205">
      <c r="A3205" s="3" t="s">
        <v>180</v>
      </c>
      <c r="B3205" s="3">
        <v>24.2</v>
      </c>
      <c r="C3205" s="3">
        <v>8.8</v>
      </c>
      <c r="D3205" s="3">
        <v>81.6</v>
      </c>
      <c r="E3205" s="3">
        <v>6.7</v>
      </c>
      <c r="F3205" s="3">
        <v>35.45</v>
      </c>
      <c r="G3205" s="3">
        <v>87.18</v>
      </c>
      <c r="H3205" s="3">
        <v>0.0</v>
      </c>
      <c r="I3205" s="3">
        <v>7.06</v>
      </c>
      <c r="J3205" s="3">
        <v>0.0</v>
      </c>
      <c r="K3205" s="4">
        <f t="shared" si="1"/>
        <v>8857.0549</v>
      </c>
      <c r="L3205" s="4">
        <f t="shared" si="2"/>
        <v>0.7517803689</v>
      </c>
    </row>
    <row r="3206">
      <c r="A3206" s="3" t="s">
        <v>180</v>
      </c>
      <c r="B3206" s="3">
        <v>24.2</v>
      </c>
      <c r="C3206" s="3">
        <v>10.56</v>
      </c>
      <c r="D3206" s="3">
        <v>84.5</v>
      </c>
      <c r="E3206" s="3">
        <v>6.7</v>
      </c>
      <c r="F3206" s="3">
        <v>33.35</v>
      </c>
      <c r="G3206" s="3">
        <v>79.1</v>
      </c>
      <c r="H3206" s="3">
        <v>0.0</v>
      </c>
      <c r="I3206" s="3">
        <v>1.49</v>
      </c>
      <c r="J3206" s="3">
        <v>0.0</v>
      </c>
      <c r="K3206" s="4">
        <f t="shared" si="1"/>
        <v>7369.0325</v>
      </c>
      <c r="L3206" s="4">
        <f t="shared" si="2"/>
        <v>0.9689535227</v>
      </c>
    </row>
    <row r="3207">
      <c r="A3207" s="3" t="s">
        <v>43</v>
      </c>
      <c r="B3207" s="3">
        <v>18.1</v>
      </c>
      <c r="C3207" s="3">
        <v>0.26</v>
      </c>
      <c r="D3207" s="3">
        <v>16.0</v>
      </c>
      <c r="E3207" s="3">
        <v>5.09</v>
      </c>
      <c r="F3207" s="3">
        <v>-0.43</v>
      </c>
      <c r="G3207" s="3">
        <v>8.55</v>
      </c>
      <c r="H3207" s="3">
        <v>0.0</v>
      </c>
      <c r="I3207" s="3">
        <v>76.79</v>
      </c>
      <c r="J3207" s="3">
        <v>0.0</v>
      </c>
      <c r="K3207" s="4">
        <f t="shared" si="1"/>
        <v>73.2874</v>
      </c>
      <c r="L3207" s="4">
        <f t="shared" si="2"/>
        <v>3.49309704</v>
      </c>
    </row>
    <row r="3208">
      <c r="A3208" s="3" t="s">
        <v>43</v>
      </c>
      <c r="B3208" s="3">
        <v>18.1</v>
      </c>
      <c r="C3208" s="3">
        <v>0.44</v>
      </c>
      <c r="D3208" s="3">
        <v>18.9</v>
      </c>
      <c r="E3208" s="3">
        <v>4.44</v>
      </c>
      <c r="F3208" s="3">
        <v>1.29</v>
      </c>
      <c r="G3208" s="3">
        <v>13.84</v>
      </c>
      <c r="H3208" s="3">
        <v>0.0</v>
      </c>
      <c r="I3208" s="3">
        <v>73.61</v>
      </c>
      <c r="J3208" s="3">
        <v>0.0</v>
      </c>
      <c r="K3208" s="4">
        <f t="shared" si="1"/>
        <v>193.2097</v>
      </c>
      <c r="L3208" s="4">
        <f t="shared" si="2"/>
        <v>1.84882022</v>
      </c>
    </row>
    <row r="3209">
      <c r="A3209" s="3" t="s">
        <v>43</v>
      </c>
      <c r="B3209" s="3">
        <v>18.1</v>
      </c>
      <c r="C3209" s="3">
        <v>0.61</v>
      </c>
      <c r="D3209" s="3">
        <v>25.8</v>
      </c>
      <c r="E3209" s="3">
        <v>3.36</v>
      </c>
      <c r="F3209" s="3">
        <v>1.97</v>
      </c>
      <c r="G3209" s="3">
        <v>18.2</v>
      </c>
      <c r="H3209" s="3">
        <v>0.0</v>
      </c>
      <c r="I3209" s="3">
        <v>57.73</v>
      </c>
      <c r="J3209" s="3">
        <v>0.0</v>
      </c>
      <c r="K3209" s="4">
        <f t="shared" si="1"/>
        <v>335.1209</v>
      </c>
      <c r="L3209" s="4">
        <f t="shared" si="2"/>
        <v>1.986268239</v>
      </c>
    </row>
    <row r="3210">
      <c r="A3210" s="3" t="s">
        <v>43</v>
      </c>
      <c r="B3210" s="3">
        <v>18.1</v>
      </c>
      <c r="C3210" s="3">
        <v>0.79</v>
      </c>
      <c r="D3210" s="3">
        <v>35.8</v>
      </c>
      <c r="E3210" s="3">
        <v>3.79</v>
      </c>
      <c r="F3210" s="3">
        <v>2.55</v>
      </c>
      <c r="G3210" s="3">
        <v>21.35</v>
      </c>
      <c r="H3210" s="3">
        <v>0.0</v>
      </c>
      <c r="I3210" s="3">
        <v>46.68</v>
      </c>
      <c r="J3210" s="3">
        <v>0.0</v>
      </c>
      <c r="K3210" s="4">
        <f t="shared" si="1"/>
        <v>462.325</v>
      </c>
      <c r="L3210" s="4">
        <f t="shared" si="2"/>
        <v>2.77216244</v>
      </c>
    </row>
    <row r="3211">
      <c r="A3211" s="3" t="s">
        <v>43</v>
      </c>
      <c r="B3211" s="3">
        <v>18.1</v>
      </c>
      <c r="C3211" s="3">
        <v>1.01</v>
      </c>
      <c r="D3211" s="3">
        <v>44.1</v>
      </c>
      <c r="E3211" s="3">
        <v>7.91</v>
      </c>
      <c r="F3211" s="3">
        <v>3.22</v>
      </c>
      <c r="G3211" s="3">
        <v>24.45</v>
      </c>
      <c r="H3211" s="3">
        <v>0.0</v>
      </c>
      <c r="I3211" s="3">
        <v>34.99</v>
      </c>
      <c r="J3211" s="3">
        <v>0.0</v>
      </c>
      <c r="K3211" s="4">
        <f t="shared" si="1"/>
        <v>608.1709</v>
      </c>
      <c r="L3211" s="4">
        <f t="shared" si="2"/>
        <v>3.197801802</v>
      </c>
    </row>
    <row r="3212">
      <c r="A3212" s="3" t="s">
        <v>43</v>
      </c>
      <c r="B3212" s="3">
        <v>18.1</v>
      </c>
      <c r="C3212" s="3">
        <v>5.26</v>
      </c>
      <c r="D3212" s="3">
        <v>59.65</v>
      </c>
      <c r="E3212" s="3">
        <v>0.98</v>
      </c>
      <c r="F3212" s="3">
        <v>17.11</v>
      </c>
      <c r="G3212" s="3">
        <v>26.68</v>
      </c>
      <c r="H3212" s="3">
        <v>0.0</v>
      </c>
      <c r="I3212" s="3">
        <v>1.91</v>
      </c>
      <c r="J3212" s="3">
        <v>0.0</v>
      </c>
      <c r="K3212" s="4">
        <f t="shared" si="1"/>
        <v>1004.5745</v>
      </c>
      <c r="L3212" s="4">
        <f t="shared" si="2"/>
        <v>3.541919987</v>
      </c>
    </row>
    <row r="3213">
      <c r="A3213" s="3" t="s">
        <v>43</v>
      </c>
      <c r="B3213" s="3">
        <v>18.1</v>
      </c>
      <c r="C3213" s="3">
        <v>7.91</v>
      </c>
      <c r="D3213" s="3">
        <v>69.15</v>
      </c>
      <c r="E3213" s="3">
        <v>1.23</v>
      </c>
      <c r="F3213" s="3">
        <v>28.49</v>
      </c>
      <c r="G3213" s="3">
        <v>24.35</v>
      </c>
      <c r="H3213" s="3">
        <v>0.0</v>
      </c>
      <c r="I3213" s="3">
        <v>0.98</v>
      </c>
      <c r="J3213" s="3">
        <v>0.0</v>
      </c>
      <c r="K3213" s="4">
        <f t="shared" si="1"/>
        <v>1404.6026</v>
      </c>
      <c r="L3213" s="4">
        <f t="shared" si="2"/>
        <v>3.404324113</v>
      </c>
    </row>
    <row r="3214">
      <c r="A3214" s="3" t="s">
        <v>43</v>
      </c>
      <c r="B3214" s="3">
        <v>18.1</v>
      </c>
      <c r="C3214" s="3">
        <v>10.52</v>
      </c>
      <c r="D3214" s="3">
        <v>76.95</v>
      </c>
      <c r="E3214" s="3">
        <v>0.54</v>
      </c>
      <c r="F3214" s="3">
        <v>35.7</v>
      </c>
      <c r="G3214" s="3">
        <v>21.4</v>
      </c>
      <c r="H3214" s="3">
        <v>0.0</v>
      </c>
      <c r="I3214" s="3">
        <v>0.18</v>
      </c>
      <c r="J3214" s="3">
        <v>0.0</v>
      </c>
      <c r="K3214" s="4">
        <f t="shared" si="1"/>
        <v>1732.45</v>
      </c>
      <c r="L3214" s="4">
        <f t="shared" si="2"/>
        <v>3.417877861</v>
      </c>
    </row>
    <row r="3215">
      <c r="A3215" s="3" t="s">
        <v>43</v>
      </c>
      <c r="B3215" s="3">
        <v>18.1</v>
      </c>
      <c r="C3215" s="3">
        <v>13.14</v>
      </c>
      <c r="D3215" s="3">
        <v>81.25</v>
      </c>
      <c r="E3215" s="3">
        <v>0.73</v>
      </c>
      <c r="F3215" s="3">
        <v>35.45</v>
      </c>
      <c r="G3215" s="3">
        <v>18.93</v>
      </c>
      <c r="H3215" s="3">
        <v>0.0</v>
      </c>
      <c r="I3215" s="3">
        <v>0.05</v>
      </c>
      <c r="J3215" s="3">
        <v>0.0</v>
      </c>
      <c r="K3215" s="4">
        <f t="shared" si="1"/>
        <v>1615.0474</v>
      </c>
      <c r="L3215" s="4">
        <f t="shared" si="2"/>
        <v>4.08753483</v>
      </c>
    </row>
    <row r="3216">
      <c r="A3216" s="3" t="s">
        <v>43</v>
      </c>
      <c r="B3216" s="3">
        <v>18.1</v>
      </c>
      <c r="C3216" s="3">
        <v>15.82</v>
      </c>
      <c r="D3216" s="3">
        <v>84.45</v>
      </c>
      <c r="E3216" s="3">
        <v>1.31</v>
      </c>
      <c r="F3216" s="3">
        <v>35.37</v>
      </c>
      <c r="G3216" s="3">
        <v>17.02</v>
      </c>
      <c r="H3216" s="3">
        <v>0.0</v>
      </c>
      <c r="I3216" s="3">
        <v>0.0</v>
      </c>
      <c r="J3216" s="3">
        <v>0.0</v>
      </c>
      <c r="K3216" s="4">
        <f t="shared" si="1"/>
        <v>1540.7173</v>
      </c>
      <c r="L3216" s="4">
        <f t="shared" si="2"/>
        <v>4.628884546</v>
      </c>
    </row>
    <row r="3217">
      <c r="A3217" s="3" t="s">
        <v>181</v>
      </c>
      <c r="B3217" s="3">
        <v>16.9</v>
      </c>
      <c r="C3217" s="3">
        <v>0.28</v>
      </c>
      <c r="D3217" s="3">
        <v>168.0</v>
      </c>
      <c r="E3217" s="3">
        <v>49.7</v>
      </c>
      <c r="F3217" s="3">
        <v>0.42</v>
      </c>
      <c r="G3217" s="3">
        <v>42.14</v>
      </c>
      <c r="H3217" s="3">
        <v>211.56</v>
      </c>
      <c r="I3217" s="3">
        <v>2455.96</v>
      </c>
      <c r="J3217" s="3">
        <v>12097.58</v>
      </c>
      <c r="K3217" s="4">
        <f t="shared" si="1"/>
        <v>1775.956</v>
      </c>
      <c r="L3217" s="4">
        <f t="shared" si="2"/>
        <v>15.89228562</v>
      </c>
    </row>
    <row r="3218">
      <c r="A3218" s="3" t="s">
        <v>181</v>
      </c>
      <c r="B3218" s="3">
        <v>16.9</v>
      </c>
      <c r="C3218" s="3">
        <v>0.37</v>
      </c>
      <c r="D3218" s="3">
        <v>187.0</v>
      </c>
      <c r="E3218" s="3">
        <v>40.2</v>
      </c>
      <c r="F3218" s="3">
        <v>0.61</v>
      </c>
      <c r="G3218" s="3">
        <v>53.98</v>
      </c>
      <c r="H3218" s="3">
        <v>220.85</v>
      </c>
      <c r="I3218" s="3">
        <v>2366.93</v>
      </c>
      <c r="J3218" s="3">
        <v>9071.84</v>
      </c>
      <c r="K3218" s="4">
        <f t="shared" si="1"/>
        <v>2914.2125</v>
      </c>
      <c r="L3218" s="4">
        <f t="shared" si="2"/>
        <v>11.99946812</v>
      </c>
    </row>
    <row r="3219">
      <c r="A3219" s="3" t="s">
        <v>181</v>
      </c>
      <c r="B3219" s="3">
        <v>16.9</v>
      </c>
      <c r="C3219" s="3">
        <v>0.47</v>
      </c>
      <c r="D3219" s="3">
        <v>204.0</v>
      </c>
      <c r="E3219" s="3">
        <v>26.9</v>
      </c>
      <c r="F3219" s="3">
        <v>0.79</v>
      </c>
      <c r="G3219" s="3">
        <v>66.33</v>
      </c>
      <c r="H3219" s="3">
        <v>227.4</v>
      </c>
      <c r="I3219" s="3">
        <v>2271.79</v>
      </c>
      <c r="J3219" s="3">
        <v>7025.23</v>
      </c>
      <c r="K3219" s="4">
        <f t="shared" si="1"/>
        <v>4400.293</v>
      </c>
      <c r="L3219" s="4">
        <f t="shared" si="2"/>
        <v>9.457552031</v>
      </c>
    </row>
    <row r="3220">
      <c r="A3220" s="3" t="s">
        <v>181</v>
      </c>
      <c r="B3220" s="3">
        <v>16.9</v>
      </c>
      <c r="C3220" s="3">
        <v>0.56</v>
      </c>
      <c r="D3220" s="3">
        <v>218.0</v>
      </c>
      <c r="E3220" s="3">
        <v>23.5</v>
      </c>
      <c r="F3220" s="3">
        <v>0.96</v>
      </c>
      <c r="G3220" s="3">
        <v>76.79</v>
      </c>
      <c r="H3220" s="3">
        <v>231.5</v>
      </c>
      <c r="I3220" s="3">
        <v>2189.44</v>
      </c>
      <c r="J3220" s="3">
        <v>5778.11</v>
      </c>
      <c r="K3220" s="4">
        <f t="shared" si="1"/>
        <v>5897.6257</v>
      </c>
      <c r="L3220" s="4">
        <f t="shared" si="2"/>
        <v>8.058158048</v>
      </c>
    </row>
    <row r="3221">
      <c r="A3221" s="3" t="s">
        <v>181</v>
      </c>
      <c r="B3221" s="3">
        <v>16.9</v>
      </c>
      <c r="C3221" s="3">
        <v>0.65</v>
      </c>
      <c r="D3221" s="3">
        <v>232.0</v>
      </c>
      <c r="E3221" s="3">
        <v>8.63</v>
      </c>
      <c r="F3221" s="3">
        <v>1.14</v>
      </c>
      <c r="G3221" s="3">
        <v>86.68</v>
      </c>
      <c r="H3221" s="3">
        <v>234.01</v>
      </c>
      <c r="I3221" s="3">
        <v>2110.07</v>
      </c>
      <c r="J3221" s="3">
        <v>4930.85</v>
      </c>
      <c r="K3221" s="4">
        <f t="shared" si="1"/>
        <v>7514.722</v>
      </c>
      <c r="L3221" s="4">
        <f t="shared" si="2"/>
        <v>7.162473875</v>
      </c>
    </row>
    <row r="3222">
      <c r="A3222" s="3" t="s">
        <v>181</v>
      </c>
      <c r="B3222" s="3">
        <v>16.9</v>
      </c>
      <c r="C3222" s="3">
        <v>0.75</v>
      </c>
      <c r="D3222" s="3">
        <v>243.0</v>
      </c>
      <c r="E3222" s="3">
        <v>4.97</v>
      </c>
      <c r="F3222" s="3">
        <v>1.31</v>
      </c>
      <c r="G3222" s="3">
        <v>97.06</v>
      </c>
      <c r="H3222" s="3">
        <v>236.69</v>
      </c>
      <c r="I3222" s="3">
        <v>2025.25</v>
      </c>
      <c r="J3222" s="3">
        <v>4308.68</v>
      </c>
      <c r="K3222" s="4">
        <f t="shared" si="1"/>
        <v>9422.3597</v>
      </c>
      <c r="L3222" s="4">
        <f t="shared" si="2"/>
        <v>6.266901485</v>
      </c>
    </row>
    <row r="3223">
      <c r="A3223" s="3" t="s">
        <v>181</v>
      </c>
      <c r="B3223" s="3">
        <v>16.9</v>
      </c>
      <c r="C3223" s="3">
        <v>0.84</v>
      </c>
      <c r="D3223" s="3">
        <v>253.0</v>
      </c>
      <c r="E3223" s="3">
        <v>3.65</v>
      </c>
      <c r="F3223" s="3">
        <v>1.48</v>
      </c>
      <c r="G3223" s="3">
        <v>105.9</v>
      </c>
      <c r="H3223" s="3">
        <v>240.47</v>
      </c>
      <c r="I3223" s="3">
        <v>1951.84</v>
      </c>
      <c r="J3223" s="3">
        <v>3831.0</v>
      </c>
      <c r="K3223" s="4">
        <f t="shared" si="1"/>
        <v>11217.0004</v>
      </c>
      <c r="L3223" s="4">
        <f t="shared" si="2"/>
        <v>5.70642754</v>
      </c>
    </row>
    <row r="3224">
      <c r="A3224" s="3" t="s">
        <v>181</v>
      </c>
      <c r="B3224" s="3">
        <v>16.9</v>
      </c>
      <c r="C3224" s="3">
        <v>0.93</v>
      </c>
      <c r="D3224" s="3">
        <v>262.0</v>
      </c>
      <c r="E3224" s="3">
        <v>2.86</v>
      </c>
      <c r="F3224" s="3">
        <v>1.66</v>
      </c>
      <c r="G3224" s="3">
        <v>114.28</v>
      </c>
      <c r="H3224" s="3">
        <v>245.03</v>
      </c>
      <c r="I3224" s="3">
        <v>1881.09</v>
      </c>
      <c r="J3224" s="3">
        <v>3289.15</v>
      </c>
      <c r="K3224" s="4">
        <f t="shared" si="1"/>
        <v>13062.674</v>
      </c>
      <c r="L3224" s="4">
        <f t="shared" si="2"/>
        <v>5.254973063</v>
      </c>
    </row>
    <row r="3225">
      <c r="A3225" s="3" t="s">
        <v>181</v>
      </c>
      <c r="B3225" s="3">
        <v>16.9</v>
      </c>
      <c r="C3225" s="3">
        <v>1.03</v>
      </c>
      <c r="D3225" s="3">
        <v>269.0</v>
      </c>
      <c r="E3225" s="3">
        <v>3.8</v>
      </c>
      <c r="F3225" s="3">
        <v>1.83</v>
      </c>
      <c r="G3225" s="3">
        <v>123.11</v>
      </c>
      <c r="H3225" s="3">
        <v>249.19</v>
      </c>
      <c r="I3225" s="3">
        <v>1805.48</v>
      </c>
      <c r="J3225" s="3">
        <v>2710.31</v>
      </c>
      <c r="K3225" s="4">
        <f t="shared" si="1"/>
        <v>15159.421</v>
      </c>
      <c r="L3225" s="4">
        <f t="shared" si="2"/>
        <v>4.77333534</v>
      </c>
    </row>
    <row r="3226">
      <c r="A3226" s="3" t="s">
        <v>181</v>
      </c>
      <c r="B3226" s="3">
        <v>16.9</v>
      </c>
      <c r="C3226" s="3">
        <v>1.12</v>
      </c>
      <c r="D3226" s="3">
        <v>275.0</v>
      </c>
      <c r="E3226" s="3">
        <v>5.39</v>
      </c>
      <c r="F3226" s="3">
        <v>2.0</v>
      </c>
      <c r="G3226" s="3">
        <v>130.64</v>
      </c>
      <c r="H3226" s="3">
        <v>251.82</v>
      </c>
      <c r="I3226" s="3">
        <v>1740.03</v>
      </c>
      <c r="J3226" s="3">
        <v>2281.17</v>
      </c>
      <c r="K3226" s="4">
        <f t="shared" si="1"/>
        <v>17070.8096</v>
      </c>
      <c r="L3226" s="4">
        <f t="shared" si="2"/>
        <v>4.430076943</v>
      </c>
    </row>
    <row r="3227">
      <c r="A3227" s="3" t="s">
        <v>181</v>
      </c>
      <c r="B3227" s="3">
        <v>16.9</v>
      </c>
      <c r="C3227" s="3">
        <v>1.21</v>
      </c>
      <c r="D3227" s="3">
        <v>280.0</v>
      </c>
      <c r="E3227" s="3">
        <v>5.01</v>
      </c>
      <c r="F3227" s="3">
        <v>2.17</v>
      </c>
      <c r="G3227" s="3">
        <v>137.79</v>
      </c>
      <c r="H3227" s="3">
        <v>253.43</v>
      </c>
      <c r="I3227" s="3">
        <v>1676.95</v>
      </c>
      <c r="J3227" s="3">
        <v>1896.93</v>
      </c>
      <c r="K3227" s="4">
        <f t="shared" si="1"/>
        <v>18990.793</v>
      </c>
      <c r="L3227" s="4">
        <f t="shared" si="2"/>
        <v>4.128316285</v>
      </c>
    </row>
    <row r="3228">
      <c r="A3228" s="3" t="s">
        <v>181</v>
      </c>
      <c r="B3228" s="3">
        <v>16.9</v>
      </c>
      <c r="C3228" s="3">
        <v>1.3</v>
      </c>
      <c r="D3228" s="3">
        <v>284.0</v>
      </c>
      <c r="E3228" s="3">
        <v>10.0</v>
      </c>
      <c r="F3228" s="3">
        <v>2.33</v>
      </c>
      <c r="G3228" s="3">
        <v>144.6</v>
      </c>
      <c r="H3228" s="3">
        <v>253.93</v>
      </c>
      <c r="I3228" s="3">
        <v>1616.16</v>
      </c>
      <c r="J3228" s="3">
        <v>1591.52</v>
      </c>
      <c r="K3228" s="4">
        <f t="shared" si="1"/>
        <v>20914.5889</v>
      </c>
      <c r="L3228" s="4">
        <f t="shared" si="2"/>
        <v>3.856446827</v>
      </c>
    </row>
    <row r="3229">
      <c r="A3229" s="3" t="s">
        <v>181</v>
      </c>
      <c r="B3229" s="3">
        <v>16.9</v>
      </c>
      <c r="C3229" s="3">
        <v>1.41</v>
      </c>
      <c r="D3229" s="3">
        <v>287.0</v>
      </c>
      <c r="E3229" s="3">
        <v>6.59</v>
      </c>
      <c r="F3229" s="3">
        <v>2.5</v>
      </c>
      <c r="G3229" s="3">
        <v>152.47</v>
      </c>
      <c r="H3229" s="3">
        <v>253.45</v>
      </c>
      <c r="I3229" s="3">
        <v>1544.84</v>
      </c>
      <c r="J3229" s="3">
        <v>1300.3</v>
      </c>
      <c r="K3229" s="4">
        <f t="shared" si="1"/>
        <v>23253.3509</v>
      </c>
      <c r="L3229" s="4">
        <f t="shared" si="2"/>
        <v>3.542242163</v>
      </c>
    </row>
    <row r="3230">
      <c r="A3230" s="3" t="s">
        <v>181</v>
      </c>
      <c r="B3230" s="3">
        <v>16.9</v>
      </c>
      <c r="C3230" s="3">
        <v>1.5</v>
      </c>
      <c r="D3230" s="3">
        <v>289.0</v>
      </c>
      <c r="E3230" s="3">
        <v>3.56</v>
      </c>
      <c r="F3230" s="3">
        <v>2.66</v>
      </c>
      <c r="G3230" s="3">
        <v>158.56</v>
      </c>
      <c r="H3230" s="3">
        <v>252.44</v>
      </c>
      <c r="I3230" s="3">
        <v>1488.85</v>
      </c>
      <c r="J3230" s="3">
        <v>1111.18</v>
      </c>
      <c r="K3230" s="4">
        <f t="shared" si="1"/>
        <v>25148.3492</v>
      </c>
      <c r="L3230" s="4">
        <f t="shared" si="2"/>
        <v>3.321132506</v>
      </c>
    </row>
    <row r="3231">
      <c r="A3231" s="3" t="s">
        <v>181</v>
      </c>
      <c r="B3231" s="3">
        <v>16.9</v>
      </c>
      <c r="C3231" s="3">
        <v>1.59</v>
      </c>
      <c r="D3231" s="3">
        <v>290.0</v>
      </c>
      <c r="E3231" s="3">
        <v>6.13</v>
      </c>
      <c r="F3231" s="3">
        <v>2.82</v>
      </c>
      <c r="G3231" s="3">
        <v>164.36</v>
      </c>
      <c r="H3231" s="3">
        <v>251.04</v>
      </c>
      <c r="I3231" s="3">
        <v>1434.87</v>
      </c>
      <c r="J3231" s="3">
        <v>947.25</v>
      </c>
      <c r="K3231" s="4">
        <f t="shared" si="1"/>
        <v>27022.162</v>
      </c>
      <c r="L3231" s="4">
        <f t="shared" si="2"/>
        <v>3.112260226</v>
      </c>
    </row>
    <row r="3232">
      <c r="A3232" s="3" t="s">
        <v>181</v>
      </c>
      <c r="B3232" s="3">
        <v>16.9</v>
      </c>
      <c r="C3232" s="3">
        <v>1.68</v>
      </c>
      <c r="D3232" s="3">
        <v>291.0</v>
      </c>
      <c r="E3232" s="3">
        <v>10.2</v>
      </c>
      <c r="F3232" s="3">
        <v>2.97</v>
      </c>
      <c r="G3232" s="3">
        <v>169.88</v>
      </c>
      <c r="H3232" s="3">
        <v>249.18</v>
      </c>
      <c r="I3232" s="3">
        <v>1382.86</v>
      </c>
      <c r="J3232" s="3">
        <v>815.68</v>
      </c>
      <c r="K3232" s="4">
        <f t="shared" si="1"/>
        <v>28868.0353</v>
      </c>
      <c r="L3232" s="4">
        <f t="shared" si="2"/>
        <v>2.933382862</v>
      </c>
    </row>
    <row r="3233">
      <c r="A3233" s="3" t="s">
        <v>181</v>
      </c>
      <c r="B3233" s="3">
        <v>16.9</v>
      </c>
      <c r="C3233" s="3">
        <v>1.78</v>
      </c>
      <c r="D3233" s="3">
        <v>292.0</v>
      </c>
      <c r="E3233" s="3">
        <v>8.61</v>
      </c>
      <c r="F3233" s="3">
        <v>3.12</v>
      </c>
      <c r="G3233" s="3">
        <v>175.7</v>
      </c>
      <c r="H3233" s="3">
        <v>246.75</v>
      </c>
      <c r="I3233" s="3">
        <v>1327.26</v>
      </c>
      <c r="J3233" s="3">
        <v>702.47</v>
      </c>
      <c r="K3233" s="4">
        <f t="shared" si="1"/>
        <v>30880.2244</v>
      </c>
      <c r="L3233" s="4">
        <f t="shared" si="2"/>
        <v>2.761119832</v>
      </c>
    </row>
    <row r="3234">
      <c r="A3234" s="3" t="s">
        <v>181</v>
      </c>
      <c r="B3234" s="3">
        <v>16.9</v>
      </c>
      <c r="C3234" s="3">
        <v>1.87</v>
      </c>
      <c r="D3234" s="3">
        <v>292.0</v>
      </c>
      <c r="E3234" s="3">
        <v>11.2</v>
      </c>
      <c r="F3234" s="3">
        <v>3.26</v>
      </c>
      <c r="G3234" s="3">
        <v>180.66</v>
      </c>
      <c r="H3234" s="3">
        <v>244.32</v>
      </c>
      <c r="I3234" s="3">
        <v>1279.15</v>
      </c>
      <c r="J3234" s="3">
        <v>628.74</v>
      </c>
      <c r="K3234" s="4">
        <f t="shared" si="1"/>
        <v>32648.6632</v>
      </c>
      <c r="L3234" s="4">
        <f t="shared" si="2"/>
        <v>2.61156175</v>
      </c>
    </row>
    <row r="3235">
      <c r="A3235" s="3" t="s">
        <v>181</v>
      </c>
      <c r="B3235" s="3">
        <v>16.9</v>
      </c>
      <c r="C3235" s="3">
        <v>1.96</v>
      </c>
      <c r="D3235" s="3">
        <v>291.0</v>
      </c>
      <c r="E3235" s="3">
        <v>5.15</v>
      </c>
      <c r="F3235" s="3">
        <v>3.39</v>
      </c>
      <c r="G3235" s="3">
        <v>185.38</v>
      </c>
      <c r="H3235" s="3">
        <v>241.92</v>
      </c>
      <c r="I3235" s="3">
        <v>1232.78</v>
      </c>
      <c r="J3235" s="3">
        <v>572.76</v>
      </c>
      <c r="K3235" s="4">
        <f t="shared" si="1"/>
        <v>34377.2365</v>
      </c>
      <c r="L3235" s="4">
        <f t="shared" si="2"/>
        <v>2.463287007</v>
      </c>
    </row>
    <row r="3236">
      <c r="A3236" s="3" t="s">
        <v>181</v>
      </c>
      <c r="B3236" s="3">
        <v>16.9</v>
      </c>
      <c r="C3236" s="3">
        <v>2.05</v>
      </c>
      <c r="D3236" s="3">
        <v>291.0</v>
      </c>
      <c r="E3236" s="3">
        <v>4.92</v>
      </c>
      <c r="F3236" s="3">
        <v>3.5</v>
      </c>
      <c r="G3236" s="3">
        <v>189.88</v>
      </c>
      <c r="H3236" s="3">
        <v>239.71</v>
      </c>
      <c r="I3236" s="3">
        <v>1188.09</v>
      </c>
      <c r="J3236" s="3">
        <v>519.08</v>
      </c>
      <c r="K3236" s="4">
        <f t="shared" si="1"/>
        <v>36066.6644</v>
      </c>
      <c r="L3236" s="4">
        <f t="shared" si="2"/>
        <v>2.347902181</v>
      </c>
    </row>
    <row r="3237">
      <c r="A3237" s="3" t="s">
        <v>181</v>
      </c>
      <c r="B3237" s="3">
        <v>16.9</v>
      </c>
      <c r="C3237" s="3">
        <v>2.16</v>
      </c>
      <c r="D3237" s="3">
        <v>291.0</v>
      </c>
      <c r="E3237" s="3">
        <v>9.32</v>
      </c>
      <c r="F3237" s="3">
        <v>3.61</v>
      </c>
      <c r="G3237" s="3">
        <v>195.08</v>
      </c>
      <c r="H3237" s="3">
        <v>237.06</v>
      </c>
      <c r="I3237" s="3">
        <v>1135.66</v>
      </c>
      <c r="J3237" s="3">
        <v>458.42</v>
      </c>
      <c r="K3237" s="4">
        <f t="shared" si="1"/>
        <v>38069.2385</v>
      </c>
      <c r="L3237" s="4">
        <f t="shared" si="2"/>
        <v>2.224394376</v>
      </c>
    </row>
    <row r="3238">
      <c r="A3238" s="3" t="s">
        <v>181</v>
      </c>
      <c r="B3238" s="3">
        <v>16.9</v>
      </c>
      <c r="C3238" s="3">
        <v>2.25</v>
      </c>
      <c r="D3238" s="3">
        <v>290.0</v>
      </c>
      <c r="E3238" s="3">
        <v>7.19</v>
      </c>
      <c r="F3238" s="3">
        <v>3.7</v>
      </c>
      <c r="G3238" s="3">
        <v>199.1</v>
      </c>
      <c r="H3238" s="3">
        <v>234.93</v>
      </c>
      <c r="I3238" s="3">
        <v>1094.49</v>
      </c>
      <c r="J3238" s="3">
        <v>420.15</v>
      </c>
      <c r="K3238" s="4">
        <f t="shared" si="1"/>
        <v>39654.5</v>
      </c>
      <c r="L3238" s="4">
        <f t="shared" si="2"/>
        <v>2.12081857</v>
      </c>
    </row>
    <row r="3239">
      <c r="A3239" s="3" t="s">
        <v>181</v>
      </c>
      <c r="B3239" s="3">
        <v>16.9</v>
      </c>
      <c r="C3239" s="3">
        <v>2.34</v>
      </c>
      <c r="D3239" s="3">
        <v>290.0</v>
      </c>
      <c r="E3239" s="3">
        <v>12.2</v>
      </c>
      <c r="F3239" s="3">
        <v>3.76</v>
      </c>
      <c r="G3239" s="3">
        <v>202.92</v>
      </c>
      <c r="H3239" s="3">
        <v>232.89</v>
      </c>
      <c r="I3239" s="3">
        <v>1054.8</v>
      </c>
      <c r="J3239" s="3">
        <v>389.55</v>
      </c>
      <c r="K3239" s="4">
        <f t="shared" si="1"/>
        <v>41190.664</v>
      </c>
      <c r="L3239" s="4">
        <f t="shared" si="2"/>
        <v>2.041724795</v>
      </c>
    </row>
    <row r="3240">
      <c r="A3240" s="3" t="s">
        <v>181</v>
      </c>
      <c r="B3240" s="3">
        <v>16.9</v>
      </c>
      <c r="C3240" s="3">
        <v>2.43</v>
      </c>
      <c r="D3240" s="3">
        <v>290.0</v>
      </c>
      <c r="E3240" s="3">
        <v>7.94</v>
      </c>
      <c r="F3240" s="3">
        <v>3.79</v>
      </c>
      <c r="G3240" s="3">
        <v>206.55</v>
      </c>
      <c r="H3240" s="3">
        <v>231.12</v>
      </c>
      <c r="I3240" s="3">
        <v>1016.61</v>
      </c>
      <c r="J3240" s="3">
        <v>360.37</v>
      </c>
      <c r="K3240" s="4">
        <f t="shared" si="1"/>
        <v>42677.2666</v>
      </c>
      <c r="L3240" s="4">
        <f t="shared" si="2"/>
        <v>1.970604181</v>
      </c>
    </row>
    <row r="3241">
      <c r="A3241" s="3" t="s">
        <v>181</v>
      </c>
      <c r="B3241" s="3">
        <v>16.9</v>
      </c>
      <c r="C3241" s="3">
        <v>2.46</v>
      </c>
      <c r="D3241" s="3">
        <v>290.0</v>
      </c>
      <c r="E3241" s="3">
        <v>5.16</v>
      </c>
      <c r="F3241" s="3">
        <v>3.79</v>
      </c>
      <c r="G3241" s="3">
        <v>207.71</v>
      </c>
      <c r="H3241" s="3">
        <v>230.63</v>
      </c>
      <c r="I3241" s="3">
        <v>1004.15</v>
      </c>
      <c r="J3241" s="3">
        <v>346.65</v>
      </c>
      <c r="K3241" s="4">
        <f t="shared" si="1"/>
        <v>43157.8082</v>
      </c>
      <c r="L3241" s="4">
        <f t="shared" si="2"/>
        <v>1.948662444</v>
      </c>
    </row>
    <row r="3242">
      <c r="A3242" s="3" t="s">
        <v>181</v>
      </c>
      <c r="B3242" s="3">
        <v>16.9</v>
      </c>
      <c r="C3242" s="3">
        <v>2.53</v>
      </c>
      <c r="D3242" s="3">
        <v>290.0</v>
      </c>
      <c r="E3242" s="3">
        <v>3.56</v>
      </c>
      <c r="F3242" s="3">
        <v>3.79</v>
      </c>
      <c r="G3242" s="3">
        <v>210.36</v>
      </c>
      <c r="H3242" s="3">
        <v>229.44</v>
      </c>
      <c r="I3242" s="3">
        <v>975.69</v>
      </c>
      <c r="J3242" s="3">
        <v>317.07</v>
      </c>
      <c r="K3242" s="4">
        <f t="shared" si="1"/>
        <v>44265.6937</v>
      </c>
      <c r="L3242" s="4">
        <f t="shared" si="2"/>
        <v>1.899891157</v>
      </c>
    </row>
    <row r="3243">
      <c r="A3243" s="3" t="s">
        <v>181</v>
      </c>
      <c r="B3243" s="3">
        <v>16.9</v>
      </c>
      <c r="C3243" s="3">
        <v>2.62</v>
      </c>
      <c r="D3243" s="3">
        <v>290.0</v>
      </c>
      <c r="E3243" s="3">
        <v>3.79</v>
      </c>
      <c r="F3243" s="3">
        <v>3.8</v>
      </c>
      <c r="G3243" s="3">
        <v>213.61</v>
      </c>
      <c r="H3243" s="3">
        <v>227.9</v>
      </c>
      <c r="I3243" s="3">
        <v>940.34</v>
      </c>
      <c r="J3243" s="3">
        <v>283.46</v>
      </c>
      <c r="K3243" s="4">
        <f t="shared" si="1"/>
        <v>45643.6721</v>
      </c>
      <c r="L3243" s="4">
        <f t="shared" si="2"/>
        <v>1.842533612</v>
      </c>
    </row>
    <row r="3244">
      <c r="A3244" s="3" t="s">
        <v>181</v>
      </c>
      <c r="B3244" s="3">
        <v>16.9</v>
      </c>
      <c r="C3244" s="3">
        <v>2.71</v>
      </c>
      <c r="D3244" s="3">
        <v>290.0</v>
      </c>
      <c r="E3244" s="3">
        <v>5.65</v>
      </c>
      <c r="F3244" s="3">
        <v>3.81</v>
      </c>
      <c r="G3244" s="3">
        <v>216.71</v>
      </c>
      <c r="H3244" s="3">
        <v>226.55</v>
      </c>
      <c r="I3244" s="3">
        <v>906.26</v>
      </c>
      <c r="J3244" s="3">
        <v>244.45</v>
      </c>
      <c r="K3244" s="4">
        <f t="shared" si="1"/>
        <v>46977.7402</v>
      </c>
      <c r="L3244" s="4">
        <f t="shared" si="2"/>
        <v>1.790209568</v>
      </c>
    </row>
    <row r="3245">
      <c r="A3245" s="3" t="s">
        <v>181</v>
      </c>
      <c r="B3245" s="3">
        <v>16.9</v>
      </c>
      <c r="C3245" s="3">
        <v>2.8</v>
      </c>
      <c r="D3245" s="3">
        <v>290.0</v>
      </c>
      <c r="E3245" s="3">
        <v>9.38</v>
      </c>
      <c r="F3245" s="3">
        <v>3.84</v>
      </c>
      <c r="G3245" s="3">
        <v>219.64</v>
      </c>
      <c r="H3245" s="3">
        <v>225.09</v>
      </c>
      <c r="I3245" s="3">
        <v>873.37</v>
      </c>
      <c r="J3245" s="3">
        <v>204.32</v>
      </c>
      <c r="K3245" s="4">
        <f t="shared" si="1"/>
        <v>48256.4752</v>
      </c>
      <c r="L3245" s="4">
        <f t="shared" si="2"/>
        <v>1.7427713</v>
      </c>
    </row>
    <row r="3246">
      <c r="A3246" s="3" t="s">
        <v>181</v>
      </c>
      <c r="B3246" s="3">
        <v>16.9</v>
      </c>
      <c r="C3246" s="3">
        <v>2.99</v>
      </c>
      <c r="D3246" s="3">
        <v>290.0</v>
      </c>
      <c r="E3246" s="3">
        <v>10.6</v>
      </c>
      <c r="F3246" s="3">
        <v>3.94</v>
      </c>
      <c r="G3246" s="3">
        <v>225.37</v>
      </c>
      <c r="H3246" s="3">
        <v>221.46</v>
      </c>
      <c r="I3246" s="3">
        <v>807.89</v>
      </c>
      <c r="J3246" s="3">
        <v>139.93</v>
      </c>
      <c r="K3246" s="4">
        <f t="shared" si="1"/>
        <v>50807.1605</v>
      </c>
      <c r="L3246" s="4">
        <f t="shared" si="2"/>
        <v>1.655278492</v>
      </c>
    </row>
    <row r="3247">
      <c r="A3247" s="3" t="s">
        <v>181</v>
      </c>
      <c r="B3247" s="3">
        <v>16.9</v>
      </c>
      <c r="C3247" s="3">
        <v>3.28</v>
      </c>
      <c r="D3247" s="3">
        <v>291.0</v>
      </c>
      <c r="E3247" s="3">
        <v>15.3</v>
      </c>
      <c r="F3247" s="3">
        <v>4.12</v>
      </c>
      <c r="G3247" s="3">
        <v>233.01</v>
      </c>
      <c r="H3247" s="3">
        <v>215.11</v>
      </c>
      <c r="I3247" s="3">
        <v>716.23</v>
      </c>
      <c r="J3247" s="3">
        <v>77.11</v>
      </c>
      <c r="K3247" s="4">
        <f t="shared" si="1"/>
        <v>54310.6345</v>
      </c>
      <c r="L3247" s="4">
        <f t="shared" si="2"/>
        <v>1.559197398</v>
      </c>
    </row>
    <row r="3248">
      <c r="A3248" s="3" t="s">
        <v>181</v>
      </c>
      <c r="B3248" s="3">
        <v>16.9</v>
      </c>
      <c r="C3248" s="3">
        <v>3.74</v>
      </c>
      <c r="D3248" s="3">
        <v>292.0</v>
      </c>
      <c r="E3248" s="3">
        <v>18.8</v>
      </c>
      <c r="F3248" s="3">
        <v>4.56</v>
      </c>
      <c r="G3248" s="3">
        <v>241.64</v>
      </c>
      <c r="H3248" s="3">
        <v>204.42</v>
      </c>
      <c r="I3248" s="3">
        <v>581.87</v>
      </c>
      <c r="J3248" s="3">
        <v>29.88</v>
      </c>
      <c r="K3248" s="4">
        <f t="shared" si="1"/>
        <v>58410.6832</v>
      </c>
      <c r="L3248" s="4">
        <f t="shared" si="2"/>
        <v>1.459732969</v>
      </c>
    </row>
    <row r="3249">
      <c r="A3249" s="3" t="s">
        <v>181</v>
      </c>
      <c r="B3249" s="3">
        <v>16.9</v>
      </c>
      <c r="C3249" s="3">
        <v>3.83</v>
      </c>
      <c r="D3249" s="3">
        <v>292.0</v>
      </c>
      <c r="E3249" s="3">
        <v>15.2</v>
      </c>
      <c r="F3249" s="3">
        <v>4.69</v>
      </c>
      <c r="G3249" s="3">
        <v>242.91</v>
      </c>
      <c r="H3249" s="3">
        <v>202.36</v>
      </c>
      <c r="I3249" s="3">
        <v>560.67</v>
      </c>
      <c r="J3249" s="3">
        <v>24.89</v>
      </c>
      <c r="K3249" s="4">
        <f t="shared" si="1"/>
        <v>59027.2642</v>
      </c>
      <c r="L3249" s="4">
        <f t="shared" si="2"/>
        <v>1.444485038</v>
      </c>
    </row>
    <row r="3250">
      <c r="A3250" s="3" t="s">
        <v>181</v>
      </c>
      <c r="B3250" s="3">
        <v>16.9</v>
      </c>
      <c r="C3250" s="3">
        <v>4.02</v>
      </c>
      <c r="D3250" s="3">
        <v>292.0</v>
      </c>
      <c r="E3250" s="3">
        <v>19.8</v>
      </c>
      <c r="F3250" s="3">
        <v>5.12</v>
      </c>
      <c r="G3250" s="3">
        <v>245.41</v>
      </c>
      <c r="H3250" s="3">
        <v>198.15</v>
      </c>
      <c r="I3250" s="3">
        <v>516.93</v>
      </c>
      <c r="J3250" s="3">
        <v>16.81</v>
      </c>
      <c r="K3250" s="4">
        <f t="shared" si="1"/>
        <v>60252.2825</v>
      </c>
      <c r="L3250" s="4">
        <f t="shared" si="2"/>
        <v>1.415116514</v>
      </c>
    </row>
    <row r="3251">
      <c r="A3251" s="3" t="s">
        <v>181</v>
      </c>
      <c r="B3251" s="3">
        <v>16.9</v>
      </c>
      <c r="C3251" s="3">
        <v>4.09</v>
      </c>
      <c r="D3251" s="3">
        <v>292.0</v>
      </c>
      <c r="E3251" s="3">
        <v>2.4</v>
      </c>
      <c r="F3251" s="3">
        <v>5.35</v>
      </c>
      <c r="G3251" s="3">
        <v>246.19</v>
      </c>
      <c r="H3251" s="3">
        <v>196.62</v>
      </c>
      <c r="I3251" s="3">
        <v>500.74</v>
      </c>
      <c r="J3251" s="3">
        <v>14.54</v>
      </c>
      <c r="K3251" s="4">
        <f t="shared" si="1"/>
        <v>60638.1386</v>
      </c>
      <c r="L3251" s="4">
        <f t="shared" si="2"/>
        <v>1.406111763</v>
      </c>
    </row>
    <row r="3252">
      <c r="A3252" s="3" t="s">
        <v>181</v>
      </c>
      <c r="B3252" s="3">
        <v>16.9</v>
      </c>
      <c r="C3252" s="3">
        <v>4.12</v>
      </c>
      <c r="D3252" s="3">
        <v>292.0</v>
      </c>
      <c r="E3252" s="3">
        <v>9.0</v>
      </c>
      <c r="F3252" s="3">
        <v>5.4</v>
      </c>
      <c r="G3252" s="3">
        <v>246.51</v>
      </c>
      <c r="H3252" s="3">
        <v>195.97</v>
      </c>
      <c r="I3252" s="3">
        <v>493.88</v>
      </c>
      <c r="J3252" s="3">
        <v>13.67</v>
      </c>
      <c r="K3252" s="4">
        <f t="shared" si="1"/>
        <v>60796.3401</v>
      </c>
      <c r="L3252" s="4">
        <f t="shared" si="2"/>
        <v>1.402452843</v>
      </c>
    </row>
    <row r="3253">
      <c r="A3253" s="3" t="s">
        <v>181</v>
      </c>
      <c r="B3253" s="3">
        <v>16.9</v>
      </c>
      <c r="C3253" s="3">
        <v>4.3</v>
      </c>
      <c r="D3253" s="3">
        <v>291.0</v>
      </c>
      <c r="E3253" s="3">
        <v>8.71</v>
      </c>
      <c r="F3253" s="3">
        <v>6.12</v>
      </c>
      <c r="G3253" s="3">
        <v>248.01</v>
      </c>
      <c r="H3253" s="3">
        <v>192.16</v>
      </c>
      <c r="I3253" s="3">
        <v>453.79</v>
      </c>
      <c r="J3253" s="3">
        <v>9.51</v>
      </c>
      <c r="K3253" s="4">
        <f t="shared" si="1"/>
        <v>61546.4145</v>
      </c>
      <c r="L3253" s="4">
        <f t="shared" si="2"/>
        <v>1.375888436</v>
      </c>
    </row>
    <row r="3254">
      <c r="A3254" s="3" t="s">
        <v>181</v>
      </c>
      <c r="B3254" s="3">
        <v>16.9</v>
      </c>
      <c r="C3254" s="3">
        <v>4.39</v>
      </c>
      <c r="D3254" s="3">
        <v>291.0</v>
      </c>
      <c r="E3254" s="3">
        <v>7.92</v>
      </c>
      <c r="F3254" s="3">
        <v>6.56</v>
      </c>
      <c r="G3254" s="3">
        <v>248.54</v>
      </c>
      <c r="H3254" s="3">
        <v>190.25</v>
      </c>
      <c r="I3254" s="3">
        <v>435.97</v>
      </c>
      <c r="J3254" s="3">
        <v>7.86</v>
      </c>
      <c r="K3254" s="4">
        <f t="shared" si="1"/>
        <v>61815.1652</v>
      </c>
      <c r="L3254" s="4">
        <f t="shared" si="2"/>
        <v>1.369906555</v>
      </c>
    </row>
    <row r="3255">
      <c r="A3255" s="3" t="s">
        <v>181</v>
      </c>
      <c r="B3255" s="3">
        <v>16.9</v>
      </c>
      <c r="C3255" s="3">
        <v>4.49</v>
      </c>
      <c r="D3255" s="3">
        <v>291.0</v>
      </c>
      <c r="E3255" s="3">
        <v>8.84</v>
      </c>
      <c r="F3255" s="3">
        <v>7.04</v>
      </c>
      <c r="G3255" s="3">
        <v>249.06</v>
      </c>
      <c r="H3255" s="3">
        <v>188.24</v>
      </c>
      <c r="I3255" s="3">
        <v>417.35</v>
      </c>
      <c r="J3255" s="3">
        <v>6.39</v>
      </c>
      <c r="K3255" s="4">
        <f t="shared" si="1"/>
        <v>62080.4452</v>
      </c>
      <c r="L3255" s="4">
        <f t="shared" si="2"/>
        <v>1.364052718</v>
      </c>
    </row>
    <row r="3256">
      <c r="A3256" s="3" t="s">
        <v>181</v>
      </c>
      <c r="B3256" s="3">
        <v>16.9</v>
      </c>
      <c r="C3256" s="3">
        <v>4.58</v>
      </c>
      <c r="D3256" s="3">
        <v>290.0</v>
      </c>
      <c r="E3256" s="3">
        <v>4.2</v>
      </c>
      <c r="F3256" s="3">
        <v>7.58</v>
      </c>
      <c r="G3256" s="3">
        <v>249.41</v>
      </c>
      <c r="H3256" s="3">
        <v>186.48</v>
      </c>
      <c r="I3256" s="3">
        <v>401.66</v>
      </c>
      <c r="J3256" s="3">
        <v>5.31</v>
      </c>
      <c r="K3256" s="4">
        <f t="shared" si="1"/>
        <v>62262.8045</v>
      </c>
      <c r="L3256" s="4">
        <f t="shared" si="2"/>
        <v>1.350726179</v>
      </c>
    </row>
    <row r="3257">
      <c r="A3257" s="3" t="s">
        <v>181</v>
      </c>
      <c r="B3257" s="3">
        <v>16.9</v>
      </c>
      <c r="C3257" s="3">
        <v>4.87</v>
      </c>
      <c r="D3257" s="3">
        <v>289.0</v>
      </c>
      <c r="E3257" s="3">
        <v>10.6</v>
      </c>
      <c r="F3257" s="3">
        <v>9.59</v>
      </c>
      <c r="G3257" s="3">
        <v>250.14</v>
      </c>
      <c r="H3257" s="3">
        <v>181.04</v>
      </c>
      <c r="I3257" s="3">
        <v>356.31</v>
      </c>
      <c r="J3257" s="3">
        <v>2.93</v>
      </c>
      <c r="K3257" s="4">
        <f t="shared" si="1"/>
        <v>62661.9877</v>
      </c>
      <c r="L3257" s="4">
        <f t="shared" si="2"/>
        <v>1.332881434</v>
      </c>
    </row>
    <row r="3258">
      <c r="A3258" s="3" t="s">
        <v>181</v>
      </c>
      <c r="B3258" s="3">
        <v>16.9</v>
      </c>
      <c r="C3258" s="3">
        <v>4.91</v>
      </c>
      <c r="D3258" s="3">
        <v>288.0</v>
      </c>
      <c r="E3258" s="3">
        <v>2.26</v>
      </c>
      <c r="F3258" s="3">
        <v>10.06</v>
      </c>
      <c r="G3258" s="3">
        <v>250.19</v>
      </c>
      <c r="H3258" s="3">
        <v>180.31</v>
      </c>
      <c r="I3258" s="3">
        <v>350.52</v>
      </c>
      <c r="J3258" s="3">
        <v>2.69</v>
      </c>
      <c r="K3258" s="4">
        <f t="shared" si="1"/>
        <v>62696.2397</v>
      </c>
      <c r="L3258" s="4">
        <f t="shared" si="2"/>
        <v>1.322950155</v>
      </c>
    </row>
    <row r="3259">
      <c r="A3259" s="3" t="s">
        <v>181</v>
      </c>
      <c r="B3259" s="3">
        <v>16.9</v>
      </c>
      <c r="C3259" s="3">
        <v>4.96</v>
      </c>
      <c r="D3259" s="3">
        <v>288.0</v>
      </c>
      <c r="E3259" s="3">
        <v>6.97</v>
      </c>
      <c r="F3259" s="3">
        <v>10.42</v>
      </c>
      <c r="G3259" s="3">
        <v>250.25</v>
      </c>
      <c r="H3259" s="3">
        <v>179.41</v>
      </c>
      <c r="I3259" s="3">
        <v>343.49</v>
      </c>
      <c r="J3259" s="3">
        <v>2.43</v>
      </c>
      <c r="K3259" s="4">
        <f t="shared" si="1"/>
        <v>62733.6389</v>
      </c>
      <c r="L3259" s="4">
        <f t="shared" si="2"/>
        <v>1.322161466</v>
      </c>
    </row>
    <row r="3260">
      <c r="A3260" s="3" t="s">
        <v>181</v>
      </c>
      <c r="B3260" s="3">
        <v>16.9</v>
      </c>
      <c r="C3260" s="3">
        <v>5.05</v>
      </c>
      <c r="D3260" s="3">
        <v>287.0</v>
      </c>
      <c r="E3260" s="3">
        <v>3.23</v>
      </c>
      <c r="F3260" s="3">
        <v>11.18</v>
      </c>
      <c r="G3260" s="3">
        <v>250.32</v>
      </c>
      <c r="H3260" s="3">
        <v>177.88</v>
      </c>
      <c r="I3260" s="3">
        <v>331.38</v>
      </c>
      <c r="J3260" s="3">
        <v>2.02</v>
      </c>
      <c r="K3260" s="4">
        <f t="shared" si="1"/>
        <v>62785.0948</v>
      </c>
      <c r="L3260" s="4">
        <f t="shared" si="2"/>
        <v>1.311919656</v>
      </c>
    </row>
    <row r="3261">
      <c r="A3261" s="3" t="s">
        <v>181</v>
      </c>
      <c r="B3261" s="3">
        <v>16.9</v>
      </c>
      <c r="C3261" s="3">
        <v>5.14</v>
      </c>
      <c r="D3261" s="3">
        <v>287.0</v>
      </c>
      <c r="E3261" s="3">
        <v>10.2</v>
      </c>
      <c r="F3261" s="3">
        <v>12.03</v>
      </c>
      <c r="G3261" s="3">
        <v>250.34</v>
      </c>
      <c r="H3261" s="3">
        <v>176.33</v>
      </c>
      <c r="I3261" s="3">
        <v>319.97</v>
      </c>
      <c r="J3261" s="3">
        <v>1.69</v>
      </c>
      <c r="K3261" s="4">
        <f t="shared" si="1"/>
        <v>62814.8365</v>
      </c>
      <c r="L3261" s="4">
        <f t="shared" si="2"/>
        <v>1.311298486</v>
      </c>
    </row>
    <row r="3262">
      <c r="A3262" s="3" t="s">
        <v>181</v>
      </c>
      <c r="B3262" s="3">
        <v>16.9</v>
      </c>
      <c r="C3262" s="3">
        <v>5.24</v>
      </c>
      <c r="D3262" s="3">
        <v>286.0</v>
      </c>
      <c r="E3262" s="3">
        <v>10.3</v>
      </c>
      <c r="F3262" s="3">
        <v>12.78</v>
      </c>
      <c r="G3262" s="3">
        <v>250.33</v>
      </c>
      <c r="H3262" s="3">
        <v>174.68</v>
      </c>
      <c r="I3262" s="3">
        <v>307.99</v>
      </c>
      <c r="J3262" s="3">
        <v>1.37</v>
      </c>
      <c r="K3262" s="4">
        <f t="shared" si="1"/>
        <v>62828.4373</v>
      </c>
      <c r="L3262" s="4">
        <f t="shared" si="2"/>
        <v>1.301894548</v>
      </c>
    </row>
    <row r="3263">
      <c r="A3263" s="3" t="s">
        <v>181</v>
      </c>
      <c r="B3263" s="3">
        <v>16.9</v>
      </c>
      <c r="C3263" s="3">
        <v>5.33</v>
      </c>
      <c r="D3263" s="3">
        <v>286.0</v>
      </c>
      <c r="E3263" s="3">
        <v>17.8</v>
      </c>
      <c r="F3263" s="3">
        <v>13.42</v>
      </c>
      <c r="G3263" s="3">
        <v>250.26</v>
      </c>
      <c r="H3263" s="3">
        <v>173.23</v>
      </c>
      <c r="I3263" s="3">
        <v>297.78</v>
      </c>
      <c r="J3263" s="3">
        <v>1.14</v>
      </c>
      <c r="K3263" s="4">
        <f t="shared" si="1"/>
        <v>62810.164</v>
      </c>
      <c r="L3263" s="4">
        <f t="shared" si="2"/>
        <v>1.302273307</v>
      </c>
    </row>
    <row r="3264">
      <c r="A3264" s="3" t="s">
        <v>181</v>
      </c>
      <c r="B3264" s="3">
        <v>16.9</v>
      </c>
      <c r="C3264" s="3">
        <v>5.42</v>
      </c>
      <c r="D3264" s="3">
        <v>285.0</v>
      </c>
      <c r="E3264" s="3">
        <v>11.4</v>
      </c>
      <c r="F3264" s="3">
        <v>14.16</v>
      </c>
      <c r="G3264" s="3">
        <v>250.17</v>
      </c>
      <c r="H3264" s="3">
        <v>171.83</v>
      </c>
      <c r="I3264" s="3">
        <v>288.19</v>
      </c>
      <c r="J3264" s="3">
        <v>0.94</v>
      </c>
      <c r="K3264" s="4">
        <f t="shared" si="1"/>
        <v>62785.5345</v>
      </c>
      <c r="L3264" s="4">
        <f t="shared" si="2"/>
        <v>1.293689711</v>
      </c>
    </row>
    <row r="3265">
      <c r="A3265" s="3" t="s">
        <v>181</v>
      </c>
      <c r="B3265" s="3">
        <v>16.9</v>
      </c>
      <c r="C3265" s="3">
        <v>5.51</v>
      </c>
      <c r="D3265" s="3">
        <v>285.0</v>
      </c>
      <c r="E3265" s="3">
        <v>12.0</v>
      </c>
      <c r="F3265" s="3">
        <v>14.91</v>
      </c>
      <c r="G3265" s="3">
        <v>250.09</v>
      </c>
      <c r="H3265" s="3">
        <v>170.39</v>
      </c>
      <c r="I3265" s="3">
        <v>279.23</v>
      </c>
      <c r="J3265" s="3">
        <v>0.78</v>
      </c>
      <c r="K3265" s="4">
        <f t="shared" si="1"/>
        <v>62767.3162</v>
      </c>
      <c r="L3265" s="4">
        <f t="shared" si="2"/>
        <v>1.294065207</v>
      </c>
    </row>
    <row r="3266">
      <c r="A3266" s="3" t="s">
        <v>181</v>
      </c>
      <c r="B3266" s="3">
        <v>16.9</v>
      </c>
      <c r="C3266" s="3">
        <v>5.61</v>
      </c>
      <c r="D3266" s="3">
        <v>284.0</v>
      </c>
      <c r="E3266" s="3">
        <v>4.03</v>
      </c>
      <c r="F3266" s="3">
        <v>15.66</v>
      </c>
      <c r="G3266" s="3">
        <v>250.01</v>
      </c>
      <c r="H3266" s="3">
        <v>168.9</v>
      </c>
      <c r="I3266" s="3">
        <v>270.01</v>
      </c>
      <c r="J3266" s="3">
        <v>0.64</v>
      </c>
      <c r="K3266" s="4">
        <f t="shared" si="1"/>
        <v>62750.2357</v>
      </c>
      <c r="L3266" s="4">
        <f t="shared" si="2"/>
        <v>1.285349754</v>
      </c>
    </row>
    <row r="3267">
      <c r="A3267" s="3" t="s">
        <v>181</v>
      </c>
      <c r="B3267" s="3">
        <v>16.9</v>
      </c>
      <c r="C3267" s="3">
        <v>5.71</v>
      </c>
      <c r="D3267" s="3">
        <v>284.0</v>
      </c>
      <c r="E3267" s="3">
        <v>4.73</v>
      </c>
      <c r="F3267" s="3">
        <v>16.4</v>
      </c>
      <c r="G3267" s="3">
        <v>249.99</v>
      </c>
      <c r="H3267" s="3">
        <v>167.49</v>
      </c>
      <c r="I3267" s="3">
        <v>261.54</v>
      </c>
      <c r="J3267" s="3">
        <v>0.52</v>
      </c>
      <c r="K3267" s="4">
        <f t="shared" si="1"/>
        <v>62763.9601</v>
      </c>
      <c r="L3267" s="4">
        <f t="shared" si="2"/>
        <v>1.28506869</v>
      </c>
    </row>
    <row r="3268">
      <c r="A3268" s="3" t="s">
        <v>181</v>
      </c>
      <c r="B3268" s="3">
        <v>16.9</v>
      </c>
      <c r="C3268" s="3">
        <v>5.8</v>
      </c>
      <c r="D3268" s="3">
        <v>283.0</v>
      </c>
      <c r="E3268" s="3">
        <v>6.44</v>
      </c>
      <c r="F3268" s="3">
        <v>17.15</v>
      </c>
      <c r="G3268" s="3">
        <v>249.96</v>
      </c>
      <c r="H3268" s="3">
        <v>166.22</v>
      </c>
      <c r="I3268" s="3">
        <v>253.28</v>
      </c>
      <c r="J3268" s="3">
        <v>0.43</v>
      </c>
      <c r="K3268" s="4">
        <f t="shared" si="1"/>
        <v>62774.1241</v>
      </c>
      <c r="L3268" s="4">
        <f t="shared" si="2"/>
        <v>1.275828236</v>
      </c>
    </row>
    <row r="3269">
      <c r="A3269" s="3" t="s">
        <v>181</v>
      </c>
      <c r="B3269" s="3">
        <v>16.9</v>
      </c>
      <c r="C3269" s="3">
        <v>5.89</v>
      </c>
      <c r="D3269" s="3">
        <v>283.0</v>
      </c>
      <c r="E3269" s="3">
        <v>4.96</v>
      </c>
      <c r="F3269" s="3">
        <v>17.89</v>
      </c>
      <c r="G3269" s="3">
        <v>249.9</v>
      </c>
      <c r="H3269" s="3">
        <v>164.93</v>
      </c>
      <c r="I3269" s="3">
        <v>245.26</v>
      </c>
      <c r="J3269" s="3">
        <v>0.36</v>
      </c>
      <c r="K3269" s="4">
        <f t="shared" si="1"/>
        <v>62770.0621</v>
      </c>
      <c r="L3269" s="4">
        <f t="shared" si="2"/>
        <v>1.275910798</v>
      </c>
    </row>
    <row r="3270">
      <c r="A3270" s="3" t="s">
        <v>181</v>
      </c>
      <c r="B3270" s="3">
        <v>16.9</v>
      </c>
      <c r="C3270" s="3">
        <v>5.98</v>
      </c>
      <c r="D3270" s="3">
        <v>283.0</v>
      </c>
      <c r="E3270" s="3">
        <v>5.37</v>
      </c>
      <c r="F3270" s="3">
        <v>18.64</v>
      </c>
      <c r="G3270" s="3">
        <v>249.84</v>
      </c>
      <c r="H3270" s="3">
        <v>163.71</v>
      </c>
      <c r="I3270" s="3">
        <v>237.48</v>
      </c>
      <c r="J3270" s="3">
        <v>0.3</v>
      </c>
      <c r="K3270" s="4">
        <f t="shared" si="1"/>
        <v>62767.4752</v>
      </c>
      <c r="L3270" s="4">
        <f t="shared" si="2"/>
        <v>1.275963383</v>
      </c>
    </row>
    <row r="3271">
      <c r="A3271" s="3" t="s">
        <v>181</v>
      </c>
      <c r="B3271" s="3">
        <v>16.9</v>
      </c>
      <c r="C3271" s="3">
        <v>6.08</v>
      </c>
      <c r="D3271" s="3">
        <v>283.0</v>
      </c>
      <c r="E3271" s="3">
        <v>11.0</v>
      </c>
      <c r="F3271" s="3">
        <v>19.38</v>
      </c>
      <c r="G3271" s="3">
        <v>249.76</v>
      </c>
      <c r="H3271" s="3">
        <v>162.34</v>
      </c>
      <c r="I3271" s="3">
        <v>229.11</v>
      </c>
      <c r="J3271" s="3">
        <v>0.24</v>
      </c>
      <c r="K3271" s="4">
        <f t="shared" si="1"/>
        <v>62755.642</v>
      </c>
      <c r="L3271" s="4">
        <f t="shared" si="2"/>
        <v>1.276203979</v>
      </c>
    </row>
    <row r="3272">
      <c r="A3272" s="3" t="s">
        <v>181</v>
      </c>
      <c r="B3272" s="3">
        <v>16.9</v>
      </c>
      <c r="C3272" s="3">
        <v>6.15</v>
      </c>
      <c r="D3272" s="3">
        <v>283.0</v>
      </c>
      <c r="E3272" s="3">
        <v>1.14</v>
      </c>
      <c r="F3272" s="3">
        <v>20.02</v>
      </c>
      <c r="G3272" s="3">
        <v>249.7</v>
      </c>
      <c r="H3272" s="3">
        <v>161.44</v>
      </c>
      <c r="I3272" s="3">
        <v>223.42</v>
      </c>
      <c r="J3272" s="3">
        <v>0.21</v>
      </c>
      <c r="K3272" s="4">
        <f t="shared" si="1"/>
        <v>62750.8904</v>
      </c>
      <c r="L3272" s="4">
        <f t="shared" si="2"/>
        <v>1.276300615</v>
      </c>
    </row>
    <row r="3273">
      <c r="A3273" s="3" t="s">
        <v>181</v>
      </c>
      <c r="B3273" s="3">
        <v>16.9</v>
      </c>
      <c r="C3273" s="3">
        <v>6.17</v>
      </c>
      <c r="D3273" s="3">
        <v>283.0</v>
      </c>
      <c r="E3273" s="3">
        <v>17.3</v>
      </c>
      <c r="F3273" s="3">
        <v>20.24</v>
      </c>
      <c r="G3273" s="3">
        <v>249.69</v>
      </c>
      <c r="H3273" s="3">
        <v>161.19</v>
      </c>
      <c r="I3273" s="3">
        <v>221.83</v>
      </c>
      <c r="J3273" s="3">
        <v>0.2</v>
      </c>
      <c r="K3273" s="4">
        <f t="shared" si="1"/>
        <v>62754.7537</v>
      </c>
      <c r="L3273" s="4">
        <f t="shared" si="2"/>
        <v>1.276222043</v>
      </c>
    </row>
    <row r="3274">
      <c r="A3274" s="3" t="s">
        <v>181</v>
      </c>
      <c r="B3274" s="3">
        <v>16.9</v>
      </c>
      <c r="C3274" s="3">
        <v>6.26</v>
      </c>
      <c r="D3274" s="3">
        <v>283.0</v>
      </c>
      <c r="E3274" s="3">
        <v>7.94</v>
      </c>
      <c r="F3274" s="3">
        <v>21.09</v>
      </c>
      <c r="G3274" s="3">
        <v>249.61</v>
      </c>
      <c r="H3274" s="3">
        <v>160.0</v>
      </c>
      <c r="I3274" s="3">
        <v>214.79</v>
      </c>
      <c r="J3274" s="3">
        <v>0.17</v>
      </c>
      <c r="K3274" s="4">
        <f t="shared" si="1"/>
        <v>62749.9402</v>
      </c>
      <c r="L3274" s="4">
        <f t="shared" si="2"/>
        <v>1.276319941</v>
      </c>
    </row>
    <row r="3275">
      <c r="A3275" s="3" t="s">
        <v>181</v>
      </c>
      <c r="B3275" s="3">
        <v>16.9</v>
      </c>
      <c r="C3275" s="3">
        <v>6.35</v>
      </c>
      <c r="D3275" s="3">
        <v>283.0</v>
      </c>
      <c r="E3275" s="3">
        <v>18.3</v>
      </c>
      <c r="F3275" s="3">
        <v>21.83</v>
      </c>
      <c r="G3275" s="3">
        <v>249.49</v>
      </c>
      <c r="H3275" s="3">
        <v>158.86</v>
      </c>
      <c r="I3275" s="3">
        <v>207.63</v>
      </c>
      <c r="J3275" s="3">
        <v>0.14</v>
      </c>
      <c r="K3275" s="4">
        <f t="shared" si="1"/>
        <v>62721.809</v>
      </c>
      <c r="L3275" s="4">
        <f t="shared" si="2"/>
        <v>1.27689238</v>
      </c>
    </row>
    <row r="3276">
      <c r="A3276" s="3" t="s">
        <v>181</v>
      </c>
      <c r="B3276" s="3">
        <v>16.9</v>
      </c>
      <c r="C3276" s="3">
        <v>6.73</v>
      </c>
      <c r="D3276" s="3">
        <v>284.0</v>
      </c>
      <c r="E3276" s="3">
        <v>10.5</v>
      </c>
      <c r="F3276" s="3">
        <v>24.6</v>
      </c>
      <c r="G3276" s="3">
        <v>248.66</v>
      </c>
      <c r="H3276" s="3">
        <v>154.26</v>
      </c>
      <c r="I3276" s="3">
        <v>178.26</v>
      </c>
      <c r="J3276" s="3">
        <v>0.06</v>
      </c>
      <c r="K3276" s="4">
        <f t="shared" si="1"/>
        <v>62436.9556</v>
      </c>
      <c r="L3276" s="4">
        <f t="shared" si="2"/>
        <v>1.291799051</v>
      </c>
    </row>
    <row r="3277">
      <c r="A3277" s="3" t="s">
        <v>181</v>
      </c>
      <c r="B3277" s="3">
        <v>16.9</v>
      </c>
      <c r="C3277" s="3">
        <v>6.83</v>
      </c>
      <c r="D3277" s="3">
        <v>284.0</v>
      </c>
      <c r="E3277" s="3">
        <v>9.37</v>
      </c>
      <c r="F3277" s="3">
        <v>25.24</v>
      </c>
      <c r="G3277" s="3">
        <v>248.3</v>
      </c>
      <c r="H3277" s="3">
        <v>153.14</v>
      </c>
      <c r="I3277" s="3">
        <v>170.86</v>
      </c>
      <c r="J3277" s="3">
        <v>0.05</v>
      </c>
      <c r="K3277" s="4">
        <f t="shared" si="1"/>
        <v>62289.9476</v>
      </c>
      <c r="L3277" s="4">
        <f t="shared" si="2"/>
        <v>1.294847774</v>
      </c>
    </row>
    <row r="3278">
      <c r="A3278" s="3" t="s">
        <v>181</v>
      </c>
      <c r="B3278" s="3">
        <v>16.9</v>
      </c>
      <c r="C3278" s="3">
        <v>6.92</v>
      </c>
      <c r="D3278" s="3">
        <v>285.0</v>
      </c>
      <c r="E3278" s="3">
        <v>12.9</v>
      </c>
      <c r="F3278" s="3">
        <v>25.88</v>
      </c>
      <c r="G3278" s="3">
        <v>247.92</v>
      </c>
      <c r="H3278" s="3">
        <v>152.15</v>
      </c>
      <c r="I3278" s="3">
        <v>164.37</v>
      </c>
      <c r="J3278" s="3">
        <v>0.04</v>
      </c>
      <c r="K3278" s="4">
        <f t="shared" si="1"/>
        <v>62134.1008</v>
      </c>
      <c r="L3278" s="4">
        <f t="shared" si="2"/>
        <v>1.307253166</v>
      </c>
    </row>
    <row r="3279">
      <c r="A3279" s="3" t="s">
        <v>181</v>
      </c>
      <c r="B3279" s="3">
        <v>16.9</v>
      </c>
      <c r="C3279" s="3">
        <v>7.37</v>
      </c>
      <c r="D3279" s="3">
        <v>288.0</v>
      </c>
      <c r="E3279" s="3">
        <v>1.24</v>
      </c>
      <c r="F3279" s="3">
        <v>28.33</v>
      </c>
      <c r="G3279" s="3">
        <v>245.58</v>
      </c>
      <c r="H3279" s="3">
        <v>147.41</v>
      </c>
      <c r="I3279" s="3">
        <v>136.76</v>
      </c>
      <c r="J3279" s="3">
        <v>0.02</v>
      </c>
      <c r="K3279" s="4">
        <f t="shared" si="1"/>
        <v>61112.1253</v>
      </c>
      <c r="L3279" s="4">
        <f t="shared" si="2"/>
        <v>1.35724293</v>
      </c>
    </row>
    <row r="3280">
      <c r="A3280" s="3" t="s">
        <v>181</v>
      </c>
      <c r="B3280" s="3">
        <v>16.9</v>
      </c>
      <c r="C3280" s="3">
        <v>8.6</v>
      </c>
      <c r="D3280" s="3">
        <v>297.0</v>
      </c>
      <c r="E3280" s="3">
        <v>2.13</v>
      </c>
      <c r="F3280" s="3">
        <v>31.2</v>
      </c>
      <c r="G3280" s="3">
        <v>235.09</v>
      </c>
      <c r="H3280" s="3">
        <v>136.47</v>
      </c>
      <c r="I3280" s="3">
        <v>77.68</v>
      </c>
      <c r="J3280" s="3">
        <v>0.0</v>
      </c>
      <c r="K3280" s="4">
        <f t="shared" si="1"/>
        <v>56240.7481</v>
      </c>
      <c r="L3280" s="4">
        <f t="shared" si="2"/>
        <v>1.568417971</v>
      </c>
    </row>
    <row r="3281">
      <c r="A3281" s="3" t="s">
        <v>181</v>
      </c>
      <c r="B3281" s="3">
        <v>16.9</v>
      </c>
      <c r="C3281" s="3">
        <v>9.83</v>
      </c>
      <c r="D3281" s="3">
        <v>305.0</v>
      </c>
      <c r="E3281" s="3">
        <v>5.07</v>
      </c>
      <c r="F3281" s="3">
        <v>29.29</v>
      </c>
      <c r="G3281" s="3">
        <v>222.03</v>
      </c>
      <c r="H3281" s="3">
        <v>127.66</v>
      </c>
      <c r="I3281" s="3">
        <v>54.07</v>
      </c>
      <c r="J3281" s="3">
        <v>0.0</v>
      </c>
      <c r="K3281" s="4">
        <f t="shared" si="1"/>
        <v>50155.225</v>
      </c>
      <c r="L3281" s="4">
        <f t="shared" si="2"/>
        <v>1.854741954</v>
      </c>
    </row>
    <row r="3282">
      <c r="A3282" s="3" t="s">
        <v>182</v>
      </c>
      <c r="B3282" s="3">
        <v>100.6</v>
      </c>
      <c r="C3282" s="3">
        <v>0.82</v>
      </c>
      <c r="D3282" s="3">
        <v>107.0</v>
      </c>
      <c r="E3282" s="3">
        <v>25.6</v>
      </c>
      <c r="F3282" s="3">
        <v>8.12</v>
      </c>
      <c r="G3282" s="3">
        <v>32.7</v>
      </c>
      <c r="H3282" s="3">
        <v>0.0</v>
      </c>
      <c r="I3282" s="3">
        <v>413.25</v>
      </c>
      <c r="J3282" s="3">
        <v>0.0</v>
      </c>
      <c r="K3282" s="4">
        <f t="shared" si="1"/>
        <v>1135.2244</v>
      </c>
      <c r="L3282" s="4">
        <f t="shared" si="2"/>
        <v>10.08523073</v>
      </c>
    </row>
    <row r="3283">
      <c r="A3283" s="3" t="s">
        <v>182</v>
      </c>
      <c r="B3283" s="3">
        <v>100.6</v>
      </c>
      <c r="C3283" s="3">
        <v>2.46</v>
      </c>
      <c r="D3283" s="3">
        <v>159.0</v>
      </c>
      <c r="E3283" s="3">
        <v>26.5</v>
      </c>
      <c r="F3283" s="3">
        <v>22.67</v>
      </c>
      <c r="G3283" s="3">
        <v>79.76</v>
      </c>
      <c r="H3283" s="3">
        <v>0.0</v>
      </c>
      <c r="I3283" s="3">
        <v>306.2</v>
      </c>
      <c r="J3283" s="3">
        <v>0.0</v>
      </c>
      <c r="K3283" s="4">
        <f t="shared" si="1"/>
        <v>6875.5865</v>
      </c>
      <c r="L3283" s="4">
        <f t="shared" si="2"/>
        <v>3.676922689</v>
      </c>
    </row>
    <row r="3284">
      <c r="A3284" s="3" t="s">
        <v>182</v>
      </c>
      <c r="B3284" s="3">
        <v>100.6</v>
      </c>
      <c r="C3284" s="3">
        <v>4.1</v>
      </c>
      <c r="D3284" s="3">
        <v>194.0</v>
      </c>
      <c r="E3284" s="3">
        <v>13.9</v>
      </c>
      <c r="F3284" s="3">
        <v>31.68</v>
      </c>
      <c r="G3284" s="3">
        <v>107.57</v>
      </c>
      <c r="H3284" s="3">
        <v>0.0</v>
      </c>
      <c r="I3284" s="3">
        <v>228.25</v>
      </c>
      <c r="J3284" s="3">
        <v>0.0</v>
      </c>
      <c r="K3284" s="4">
        <f t="shared" si="1"/>
        <v>12574.9273</v>
      </c>
      <c r="L3284" s="4">
        <f t="shared" si="2"/>
        <v>2.992939768</v>
      </c>
    </row>
    <row r="3285">
      <c r="A3285" s="3" t="s">
        <v>182</v>
      </c>
      <c r="B3285" s="3">
        <v>100.6</v>
      </c>
      <c r="C3285" s="3">
        <v>5.74</v>
      </c>
      <c r="D3285" s="3">
        <v>198.0</v>
      </c>
      <c r="E3285" s="3">
        <v>14.6</v>
      </c>
      <c r="F3285" s="3">
        <v>34.72</v>
      </c>
      <c r="G3285" s="3">
        <v>124.14</v>
      </c>
      <c r="H3285" s="3">
        <v>0.0</v>
      </c>
      <c r="I3285" s="3">
        <v>177.01</v>
      </c>
      <c r="J3285" s="3">
        <v>0.0</v>
      </c>
      <c r="K3285" s="4">
        <f t="shared" si="1"/>
        <v>16616.218</v>
      </c>
      <c r="L3285" s="4">
        <f t="shared" si="2"/>
        <v>2.35938166</v>
      </c>
    </row>
    <row r="3286">
      <c r="A3286" s="3" t="s">
        <v>182</v>
      </c>
      <c r="B3286" s="3">
        <v>100.6</v>
      </c>
      <c r="C3286" s="3">
        <v>7.38</v>
      </c>
      <c r="D3286" s="3">
        <v>211.0</v>
      </c>
      <c r="E3286" s="3">
        <v>13.2</v>
      </c>
      <c r="F3286" s="3">
        <v>31.78</v>
      </c>
      <c r="G3286" s="3">
        <v>137.6</v>
      </c>
      <c r="H3286" s="3">
        <v>0.0</v>
      </c>
      <c r="I3286" s="3">
        <v>158.86</v>
      </c>
      <c r="J3286" s="3">
        <v>0.0</v>
      </c>
      <c r="K3286" s="4">
        <f t="shared" si="1"/>
        <v>19943.7284</v>
      </c>
      <c r="L3286" s="4">
        <f t="shared" si="2"/>
        <v>2.232330841</v>
      </c>
    </row>
    <row r="3287">
      <c r="A3287" s="3" t="s">
        <v>182</v>
      </c>
      <c r="B3287" s="3">
        <v>100.6</v>
      </c>
      <c r="C3287" s="3">
        <v>9.02</v>
      </c>
      <c r="D3287" s="3">
        <v>222.0</v>
      </c>
      <c r="E3287" s="3">
        <v>13.6</v>
      </c>
      <c r="F3287" s="3">
        <v>23.89</v>
      </c>
      <c r="G3287" s="3">
        <v>155.68</v>
      </c>
      <c r="H3287" s="3">
        <v>0.0</v>
      </c>
      <c r="I3287" s="3">
        <v>132.54</v>
      </c>
      <c r="J3287" s="3">
        <v>0.0</v>
      </c>
      <c r="K3287" s="4">
        <f t="shared" si="1"/>
        <v>24806.9945</v>
      </c>
      <c r="L3287" s="4">
        <f t="shared" si="2"/>
        <v>1.986697744</v>
      </c>
    </row>
    <row r="3288">
      <c r="A3288" s="3" t="s">
        <v>182</v>
      </c>
      <c r="B3288" s="3">
        <v>100.6</v>
      </c>
      <c r="C3288" s="3">
        <v>10.65</v>
      </c>
      <c r="D3288" s="3">
        <v>230.0</v>
      </c>
      <c r="E3288" s="3">
        <v>11.6</v>
      </c>
      <c r="F3288" s="3">
        <v>14.68</v>
      </c>
      <c r="G3288" s="3">
        <v>168.58</v>
      </c>
      <c r="H3288" s="3">
        <v>0.0</v>
      </c>
      <c r="I3288" s="3">
        <v>103.66</v>
      </c>
      <c r="J3288" s="3">
        <v>0.0</v>
      </c>
      <c r="K3288" s="4">
        <f t="shared" si="1"/>
        <v>28634.7188</v>
      </c>
      <c r="L3288" s="4">
        <f t="shared" si="2"/>
        <v>1.8474077</v>
      </c>
    </row>
    <row r="3289">
      <c r="A3289" s="3" t="s">
        <v>182</v>
      </c>
      <c r="B3289" s="3">
        <v>100.6</v>
      </c>
      <c r="C3289" s="3">
        <v>12.29</v>
      </c>
      <c r="D3289" s="3">
        <v>239.0</v>
      </c>
      <c r="E3289" s="3">
        <v>11.6</v>
      </c>
      <c r="F3289" s="3">
        <v>14.98</v>
      </c>
      <c r="G3289" s="3">
        <v>175.29</v>
      </c>
      <c r="H3289" s="3">
        <v>0.0</v>
      </c>
      <c r="I3289" s="3">
        <v>76.77</v>
      </c>
      <c r="J3289" s="3">
        <v>0.0</v>
      </c>
      <c r="K3289" s="4">
        <f t="shared" si="1"/>
        <v>30950.9845</v>
      </c>
      <c r="L3289" s="4">
        <f t="shared" si="2"/>
        <v>1.845530956</v>
      </c>
    </row>
    <row r="3290">
      <c r="A3290" s="3" t="s">
        <v>182</v>
      </c>
      <c r="B3290" s="3">
        <v>100.6</v>
      </c>
      <c r="C3290" s="3">
        <v>13.93</v>
      </c>
      <c r="D3290" s="3">
        <v>237.0</v>
      </c>
      <c r="E3290" s="3">
        <v>11.6</v>
      </c>
      <c r="F3290" s="3">
        <v>26.72</v>
      </c>
      <c r="G3290" s="3">
        <v>175.91</v>
      </c>
      <c r="H3290" s="3">
        <v>0.0</v>
      </c>
      <c r="I3290" s="3">
        <v>57.94</v>
      </c>
      <c r="J3290" s="3">
        <v>0.0</v>
      </c>
      <c r="K3290" s="4">
        <f t="shared" si="1"/>
        <v>31658.2865</v>
      </c>
      <c r="L3290" s="4">
        <f t="shared" si="2"/>
        <v>1.774227421</v>
      </c>
    </row>
    <row r="3291">
      <c r="A3291" s="3" t="s">
        <v>182</v>
      </c>
      <c r="B3291" s="3">
        <v>100.6</v>
      </c>
      <c r="C3291" s="3">
        <v>15.57</v>
      </c>
      <c r="D3291" s="3">
        <v>240.0</v>
      </c>
      <c r="E3291" s="3">
        <v>11.6</v>
      </c>
      <c r="F3291" s="3">
        <v>39.88</v>
      </c>
      <c r="G3291" s="3">
        <v>176.17</v>
      </c>
      <c r="H3291" s="3">
        <v>0.0</v>
      </c>
      <c r="I3291" s="3">
        <v>46.35</v>
      </c>
      <c r="J3291" s="3">
        <v>0.0</v>
      </c>
      <c r="K3291" s="4">
        <f t="shared" si="1"/>
        <v>32626.2833</v>
      </c>
      <c r="L3291" s="4">
        <f t="shared" si="2"/>
        <v>1.765447798</v>
      </c>
    </row>
    <row r="3292">
      <c r="A3292" s="3" t="s">
        <v>182</v>
      </c>
      <c r="B3292" s="3">
        <v>100.6</v>
      </c>
      <c r="C3292" s="3">
        <v>17.21</v>
      </c>
      <c r="D3292" s="3">
        <v>245.0</v>
      </c>
      <c r="E3292" s="3">
        <v>11.6</v>
      </c>
      <c r="F3292" s="3">
        <v>50.51</v>
      </c>
      <c r="G3292" s="3">
        <v>175.33</v>
      </c>
      <c r="H3292" s="3">
        <v>0.0</v>
      </c>
      <c r="I3292" s="3">
        <v>35.14</v>
      </c>
      <c r="J3292" s="3">
        <v>0.0</v>
      </c>
      <c r="K3292" s="4">
        <f t="shared" si="1"/>
        <v>33291.869</v>
      </c>
      <c r="L3292" s="4">
        <f t="shared" si="2"/>
        <v>1.802992797</v>
      </c>
    </row>
    <row r="3293">
      <c r="A3293" s="3" t="s">
        <v>182</v>
      </c>
      <c r="B3293" s="3">
        <v>100.6</v>
      </c>
      <c r="C3293" s="3">
        <v>18.85</v>
      </c>
      <c r="D3293" s="3">
        <v>249.0</v>
      </c>
      <c r="E3293" s="3">
        <v>11.6</v>
      </c>
      <c r="F3293" s="3">
        <v>57.09</v>
      </c>
      <c r="G3293" s="3">
        <v>172.3</v>
      </c>
      <c r="H3293" s="3">
        <v>0.0</v>
      </c>
      <c r="I3293" s="3">
        <v>26.49</v>
      </c>
      <c r="J3293" s="3">
        <v>0.0</v>
      </c>
      <c r="K3293" s="4">
        <f t="shared" si="1"/>
        <v>32946.5581</v>
      </c>
      <c r="L3293" s="4">
        <f t="shared" si="2"/>
        <v>1.881865772</v>
      </c>
    </row>
    <row r="3294">
      <c r="A3294" s="3" t="s">
        <v>182</v>
      </c>
      <c r="B3294" s="3">
        <v>100.6</v>
      </c>
      <c r="C3294" s="3">
        <v>20.49</v>
      </c>
      <c r="D3294" s="3">
        <v>248.0</v>
      </c>
      <c r="E3294" s="3">
        <v>11.6</v>
      </c>
      <c r="F3294" s="3">
        <v>60.02</v>
      </c>
      <c r="G3294" s="3">
        <v>168.12</v>
      </c>
      <c r="H3294" s="3">
        <v>0.0</v>
      </c>
      <c r="I3294" s="3">
        <v>20.79</v>
      </c>
      <c r="J3294" s="3">
        <v>0.0</v>
      </c>
      <c r="K3294" s="4">
        <f t="shared" si="1"/>
        <v>31866.7348</v>
      </c>
      <c r="L3294" s="4">
        <f t="shared" si="2"/>
        <v>1.930037714</v>
      </c>
    </row>
    <row r="3295">
      <c r="A3295" s="3" t="s">
        <v>182</v>
      </c>
      <c r="B3295" s="3">
        <v>100.6</v>
      </c>
      <c r="C3295" s="3">
        <v>22.13</v>
      </c>
      <c r="D3295" s="3">
        <v>250.0</v>
      </c>
      <c r="E3295" s="3">
        <v>11.6</v>
      </c>
      <c r="F3295" s="3">
        <v>60.43</v>
      </c>
      <c r="G3295" s="3">
        <v>164.68</v>
      </c>
      <c r="H3295" s="3">
        <v>0.0</v>
      </c>
      <c r="I3295" s="3">
        <v>17.2</v>
      </c>
      <c r="J3295" s="3">
        <v>0.0</v>
      </c>
      <c r="K3295" s="4">
        <f t="shared" si="1"/>
        <v>30771.2873</v>
      </c>
      <c r="L3295" s="4">
        <f t="shared" si="2"/>
        <v>2.031114246</v>
      </c>
    </row>
    <row r="3296">
      <c r="A3296" s="3" t="s">
        <v>182</v>
      </c>
      <c r="B3296" s="3">
        <v>100.6</v>
      </c>
      <c r="C3296" s="3">
        <v>23.77</v>
      </c>
      <c r="D3296" s="3">
        <v>255.0</v>
      </c>
      <c r="E3296" s="3">
        <v>11.6</v>
      </c>
      <c r="F3296" s="3">
        <v>58.91</v>
      </c>
      <c r="G3296" s="3">
        <v>161.19</v>
      </c>
      <c r="H3296" s="3">
        <v>0.0</v>
      </c>
      <c r="I3296" s="3">
        <v>13.63</v>
      </c>
      <c r="J3296" s="3">
        <v>0.0</v>
      </c>
      <c r="K3296" s="4">
        <f t="shared" si="1"/>
        <v>29452.6042</v>
      </c>
      <c r="L3296" s="4">
        <f t="shared" si="2"/>
        <v>2.207784397</v>
      </c>
    </row>
    <row r="3297">
      <c r="A3297" s="3" t="s">
        <v>182</v>
      </c>
      <c r="B3297" s="3">
        <v>100.6</v>
      </c>
      <c r="C3297" s="3">
        <v>25.41</v>
      </c>
      <c r="D3297" s="3">
        <v>244.0</v>
      </c>
      <c r="E3297" s="3">
        <v>14.9</v>
      </c>
      <c r="F3297" s="3">
        <v>57.29</v>
      </c>
      <c r="G3297" s="3">
        <v>157.33</v>
      </c>
      <c r="H3297" s="3">
        <v>0.0</v>
      </c>
      <c r="I3297" s="3">
        <v>11.03</v>
      </c>
      <c r="J3297" s="3">
        <v>0.0</v>
      </c>
      <c r="K3297" s="4">
        <f t="shared" si="1"/>
        <v>28034.873</v>
      </c>
      <c r="L3297" s="4">
        <f t="shared" si="2"/>
        <v>2.123640796</v>
      </c>
    </row>
    <row r="3298">
      <c r="A3298" s="3" t="s">
        <v>182</v>
      </c>
      <c r="B3298" s="3">
        <v>100.6</v>
      </c>
      <c r="C3298" s="3">
        <v>27.05</v>
      </c>
      <c r="D3298" s="3">
        <v>244.0</v>
      </c>
      <c r="E3298" s="3">
        <v>11.6</v>
      </c>
      <c r="F3298" s="3">
        <v>58.0</v>
      </c>
      <c r="G3298" s="3">
        <v>153.64</v>
      </c>
      <c r="H3298" s="3">
        <v>0.0</v>
      </c>
      <c r="I3298" s="3">
        <v>9.0</v>
      </c>
      <c r="J3298" s="3">
        <v>0.0</v>
      </c>
      <c r="K3298" s="4">
        <f t="shared" si="1"/>
        <v>26969.2496</v>
      </c>
      <c r="L3298" s="4">
        <f t="shared" si="2"/>
        <v>2.207551225</v>
      </c>
    </row>
    <row r="3299">
      <c r="A3299" s="3" t="s">
        <v>182</v>
      </c>
      <c r="B3299" s="3">
        <v>100.6</v>
      </c>
      <c r="C3299" s="3">
        <v>28.68</v>
      </c>
      <c r="D3299" s="3">
        <v>249.0</v>
      </c>
      <c r="E3299" s="3">
        <v>11.6</v>
      </c>
      <c r="F3299" s="3">
        <v>61.94</v>
      </c>
      <c r="G3299" s="3">
        <v>149.77</v>
      </c>
      <c r="H3299" s="3">
        <v>0.0</v>
      </c>
      <c r="I3299" s="3">
        <v>7.43</v>
      </c>
      <c r="J3299" s="3">
        <v>0.0</v>
      </c>
      <c r="K3299" s="4">
        <f t="shared" si="1"/>
        <v>26267.6165</v>
      </c>
      <c r="L3299" s="4">
        <f t="shared" si="2"/>
        <v>2.360358809</v>
      </c>
    </row>
    <row r="3300">
      <c r="A3300" s="3" t="s">
        <v>182</v>
      </c>
      <c r="B3300" s="3">
        <v>100.6</v>
      </c>
      <c r="C3300" s="3">
        <v>30.32</v>
      </c>
      <c r="D3300" s="3">
        <v>251.0</v>
      </c>
      <c r="E3300" s="3">
        <v>11.6</v>
      </c>
      <c r="F3300" s="3">
        <v>65.99</v>
      </c>
      <c r="G3300" s="3">
        <v>146.07</v>
      </c>
      <c r="H3300" s="3">
        <v>0.0</v>
      </c>
      <c r="I3300" s="3">
        <v>6.46</v>
      </c>
      <c r="J3300" s="3">
        <v>0.0</v>
      </c>
      <c r="K3300" s="4">
        <f t="shared" si="1"/>
        <v>25691.125</v>
      </c>
      <c r="L3300" s="4">
        <f t="shared" si="2"/>
        <v>2.452247615</v>
      </c>
    </row>
    <row r="3301">
      <c r="A3301" s="3" t="s">
        <v>182</v>
      </c>
      <c r="B3301" s="3">
        <v>100.6</v>
      </c>
      <c r="C3301" s="3">
        <v>31.96</v>
      </c>
      <c r="D3301" s="3">
        <v>249.0</v>
      </c>
      <c r="E3301" s="3">
        <v>11.6</v>
      </c>
      <c r="F3301" s="3">
        <v>67.21</v>
      </c>
      <c r="G3301" s="3">
        <v>143.32</v>
      </c>
      <c r="H3301" s="3">
        <v>0.0</v>
      </c>
      <c r="I3301" s="3">
        <v>5.72</v>
      </c>
      <c r="J3301" s="3">
        <v>0.0</v>
      </c>
      <c r="K3301" s="4">
        <f t="shared" si="1"/>
        <v>25057.8065</v>
      </c>
      <c r="L3301" s="4">
        <f t="shared" si="2"/>
        <v>2.474318732</v>
      </c>
    </row>
    <row r="3302">
      <c r="A3302" s="3" t="s">
        <v>182</v>
      </c>
      <c r="B3302" s="3">
        <v>100.6</v>
      </c>
      <c r="C3302" s="3">
        <v>33.6</v>
      </c>
      <c r="D3302" s="3">
        <v>244.0</v>
      </c>
      <c r="E3302" s="3">
        <v>12.9</v>
      </c>
      <c r="F3302" s="3">
        <v>64.98</v>
      </c>
      <c r="G3302" s="3">
        <v>140.67</v>
      </c>
      <c r="H3302" s="3">
        <v>0.0</v>
      </c>
      <c r="I3302" s="3">
        <v>4.88</v>
      </c>
      <c r="J3302" s="3">
        <v>0.0</v>
      </c>
      <c r="K3302" s="4">
        <f t="shared" si="1"/>
        <v>24010.4493</v>
      </c>
      <c r="L3302" s="4">
        <f t="shared" si="2"/>
        <v>2.479587085</v>
      </c>
    </row>
    <row r="3303">
      <c r="A3303" s="3" t="s">
        <v>182</v>
      </c>
      <c r="B3303" s="3">
        <v>100.6</v>
      </c>
      <c r="C3303" s="3">
        <v>35.24</v>
      </c>
      <c r="D3303" s="3">
        <v>239.0</v>
      </c>
      <c r="E3303" s="3">
        <v>16.2</v>
      </c>
      <c r="F3303" s="3">
        <v>62.25</v>
      </c>
      <c r="G3303" s="3">
        <v>138.0</v>
      </c>
      <c r="H3303" s="3">
        <v>0.0</v>
      </c>
      <c r="I3303" s="3">
        <v>4.23</v>
      </c>
      <c r="J3303" s="3">
        <v>0.0</v>
      </c>
      <c r="K3303" s="4">
        <f t="shared" si="1"/>
        <v>22919.0625</v>
      </c>
      <c r="L3303" s="4">
        <f t="shared" si="2"/>
        <v>2.492292169</v>
      </c>
    </row>
    <row r="3304">
      <c r="A3304" s="3" t="s">
        <v>182</v>
      </c>
      <c r="B3304" s="3">
        <v>100.6</v>
      </c>
      <c r="C3304" s="3">
        <v>36.88</v>
      </c>
      <c r="D3304" s="3">
        <v>238.0</v>
      </c>
      <c r="E3304" s="3">
        <v>18.4</v>
      </c>
      <c r="F3304" s="3">
        <v>61.64</v>
      </c>
      <c r="G3304" s="3">
        <v>135.58</v>
      </c>
      <c r="H3304" s="3">
        <v>0.0</v>
      </c>
      <c r="I3304" s="3">
        <v>3.76</v>
      </c>
      <c r="J3304" s="3">
        <v>0.0</v>
      </c>
      <c r="K3304" s="4">
        <f t="shared" si="1"/>
        <v>22181.426</v>
      </c>
      <c r="L3304" s="4">
        <f t="shared" si="2"/>
        <v>2.553668101</v>
      </c>
    </row>
    <row r="3305">
      <c r="A3305" s="3" t="s">
        <v>182</v>
      </c>
      <c r="B3305" s="3">
        <v>100.6</v>
      </c>
      <c r="C3305" s="3">
        <v>38.52</v>
      </c>
      <c r="D3305" s="3">
        <v>241.0</v>
      </c>
      <c r="E3305" s="3">
        <v>24.9</v>
      </c>
      <c r="F3305" s="3">
        <v>63.36</v>
      </c>
      <c r="G3305" s="3">
        <v>133.6</v>
      </c>
      <c r="H3305" s="3">
        <v>0.0</v>
      </c>
      <c r="I3305" s="3">
        <v>3.31</v>
      </c>
      <c r="J3305" s="3">
        <v>0.0</v>
      </c>
      <c r="K3305" s="4">
        <f t="shared" si="1"/>
        <v>21863.4496</v>
      </c>
      <c r="L3305" s="4">
        <f t="shared" si="2"/>
        <v>2.656534127</v>
      </c>
    </row>
    <row r="3306">
      <c r="A3306" s="3" t="s">
        <v>182</v>
      </c>
      <c r="B3306" s="3">
        <v>100.6</v>
      </c>
      <c r="C3306" s="3">
        <v>40.16</v>
      </c>
      <c r="D3306" s="3">
        <v>237.0</v>
      </c>
      <c r="E3306" s="3">
        <v>23.0</v>
      </c>
      <c r="F3306" s="3">
        <v>64.98</v>
      </c>
      <c r="G3306" s="3">
        <v>131.71</v>
      </c>
      <c r="H3306" s="3">
        <v>0.0</v>
      </c>
      <c r="I3306" s="3">
        <v>2.88</v>
      </c>
      <c r="J3306" s="3">
        <v>0.0</v>
      </c>
      <c r="K3306" s="4">
        <f t="shared" si="1"/>
        <v>21569.9245</v>
      </c>
      <c r="L3306" s="4">
        <f t="shared" si="2"/>
        <v>2.604042494</v>
      </c>
    </row>
    <row r="3307">
      <c r="A3307" s="3" t="s">
        <v>182</v>
      </c>
      <c r="B3307" s="3">
        <v>100.6</v>
      </c>
      <c r="C3307" s="3">
        <v>41.8</v>
      </c>
      <c r="D3307" s="3">
        <v>228.0</v>
      </c>
      <c r="E3307" s="3">
        <v>14.0</v>
      </c>
      <c r="F3307" s="3">
        <v>64.88</v>
      </c>
      <c r="G3307" s="3">
        <v>130.03</v>
      </c>
      <c r="H3307" s="3">
        <v>0.0</v>
      </c>
      <c r="I3307" s="3">
        <v>2.53</v>
      </c>
      <c r="J3307" s="3">
        <v>0.0</v>
      </c>
      <c r="K3307" s="4">
        <f t="shared" si="1"/>
        <v>21117.2153</v>
      </c>
      <c r="L3307" s="4">
        <f t="shared" si="2"/>
        <v>2.461688213</v>
      </c>
    </row>
    <row r="3308">
      <c r="A3308" s="3" t="s">
        <v>182</v>
      </c>
      <c r="B3308" s="3">
        <v>100.6</v>
      </c>
      <c r="C3308" s="3">
        <v>43.44</v>
      </c>
      <c r="D3308" s="3">
        <v>233.0</v>
      </c>
      <c r="E3308" s="3">
        <v>16.9</v>
      </c>
      <c r="F3308" s="3">
        <v>63.87</v>
      </c>
      <c r="G3308" s="3">
        <v>129.69</v>
      </c>
      <c r="H3308" s="3">
        <v>0.0</v>
      </c>
      <c r="I3308" s="3">
        <v>2.26</v>
      </c>
      <c r="J3308" s="3">
        <v>0.0</v>
      </c>
      <c r="K3308" s="4">
        <f t="shared" si="1"/>
        <v>20898.873</v>
      </c>
      <c r="L3308" s="4">
        <f t="shared" si="2"/>
        <v>2.597699886</v>
      </c>
    </row>
    <row r="3309">
      <c r="A3309" s="3" t="s">
        <v>182</v>
      </c>
      <c r="B3309" s="3">
        <v>100.6</v>
      </c>
      <c r="C3309" s="3">
        <v>45.08</v>
      </c>
      <c r="D3309" s="3">
        <v>233.0</v>
      </c>
      <c r="E3309" s="3">
        <v>13.7</v>
      </c>
      <c r="F3309" s="3">
        <v>64.47</v>
      </c>
      <c r="G3309" s="3">
        <v>130.42</v>
      </c>
      <c r="H3309" s="3">
        <v>0.0</v>
      </c>
      <c r="I3309" s="3">
        <v>0.0</v>
      </c>
      <c r="J3309" s="3">
        <v>0.0</v>
      </c>
      <c r="K3309" s="4">
        <f t="shared" si="1"/>
        <v>21165.7573</v>
      </c>
      <c r="L3309" s="4">
        <f t="shared" si="2"/>
        <v>2.564944841</v>
      </c>
    </row>
    <row r="3310">
      <c r="A3310" s="3" t="s">
        <v>182</v>
      </c>
      <c r="B3310" s="3">
        <v>100.6</v>
      </c>
      <c r="C3310" s="3">
        <v>46.71</v>
      </c>
      <c r="D3310" s="3">
        <v>230.0</v>
      </c>
      <c r="E3310" s="3">
        <v>11.6</v>
      </c>
      <c r="F3310" s="3">
        <v>69.03</v>
      </c>
      <c r="G3310" s="3">
        <v>123.79</v>
      </c>
      <c r="H3310" s="3">
        <v>0.0</v>
      </c>
      <c r="I3310" s="3">
        <v>0.0</v>
      </c>
      <c r="J3310" s="3">
        <v>0.0</v>
      </c>
      <c r="K3310" s="4">
        <f t="shared" si="1"/>
        <v>20089.105</v>
      </c>
      <c r="L3310" s="4">
        <f t="shared" si="2"/>
        <v>2.633268132</v>
      </c>
    </row>
    <row r="3311">
      <c r="A3311" s="3" t="s">
        <v>182</v>
      </c>
      <c r="B3311" s="3">
        <v>100.6</v>
      </c>
      <c r="C3311" s="3">
        <v>48.35</v>
      </c>
      <c r="D3311" s="3">
        <v>226.0</v>
      </c>
      <c r="E3311" s="3">
        <v>11.6</v>
      </c>
      <c r="F3311" s="3">
        <v>76.21</v>
      </c>
      <c r="G3311" s="3">
        <v>119.55</v>
      </c>
      <c r="H3311" s="3">
        <v>0.0</v>
      </c>
      <c r="I3311" s="3">
        <v>0.0</v>
      </c>
      <c r="J3311" s="3">
        <v>0.0</v>
      </c>
      <c r="K3311" s="4">
        <f t="shared" si="1"/>
        <v>20100.1666</v>
      </c>
      <c r="L3311" s="4">
        <f t="shared" si="2"/>
        <v>2.541073466</v>
      </c>
    </row>
    <row r="3312">
      <c r="A3312" s="3" t="s">
        <v>182</v>
      </c>
      <c r="B3312" s="3">
        <v>100.6</v>
      </c>
      <c r="C3312" s="3">
        <v>49.99</v>
      </c>
      <c r="D3312" s="3">
        <v>225.0</v>
      </c>
      <c r="E3312" s="3">
        <v>11.6</v>
      </c>
      <c r="F3312" s="3">
        <v>82.59</v>
      </c>
      <c r="G3312" s="3">
        <v>116.42</v>
      </c>
      <c r="H3312" s="3">
        <v>0.0</v>
      </c>
      <c r="I3312" s="3">
        <v>0.0</v>
      </c>
      <c r="J3312" s="3">
        <v>0.0</v>
      </c>
      <c r="K3312" s="4">
        <f t="shared" si="1"/>
        <v>20374.7245</v>
      </c>
      <c r="L3312" s="4">
        <f t="shared" si="2"/>
        <v>2.484696173</v>
      </c>
    </row>
    <row r="3313">
      <c r="A3313" s="3" t="s">
        <v>183</v>
      </c>
      <c r="B3313" s="3">
        <v>9.77</v>
      </c>
      <c r="C3313" s="3">
        <v>0.71</v>
      </c>
      <c r="D3313" s="3">
        <v>24.1</v>
      </c>
      <c r="E3313" s="3">
        <v>7.55</v>
      </c>
      <c r="F3313" s="3">
        <v>0.75</v>
      </c>
      <c r="G3313" s="3">
        <v>14.22</v>
      </c>
      <c r="H3313" s="3">
        <v>0.0</v>
      </c>
      <c r="I3313" s="3">
        <v>33.37</v>
      </c>
      <c r="J3313" s="3">
        <v>0.0</v>
      </c>
      <c r="K3313" s="4">
        <f t="shared" si="1"/>
        <v>202.7709</v>
      </c>
      <c r="L3313" s="4">
        <f t="shared" si="2"/>
        <v>2.864365646</v>
      </c>
    </row>
    <row r="3314">
      <c r="A3314" s="3" t="s">
        <v>183</v>
      </c>
      <c r="B3314" s="3">
        <v>9.77</v>
      </c>
      <c r="C3314" s="3">
        <v>1.42</v>
      </c>
      <c r="D3314" s="3">
        <v>33.6</v>
      </c>
      <c r="E3314" s="3">
        <v>5.02</v>
      </c>
      <c r="F3314" s="3">
        <v>2.55</v>
      </c>
      <c r="G3314" s="3">
        <v>19.97</v>
      </c>
      <c r="H3314" s="3">
        <v>0.0</v>
      </c>
      <c r="I3314" s="3">
        <v>21.72</v>
      </c>
      <c r="J3314" s="3">
        <v>0.0</v>
      </c>
      <c r="K3314" s="4">
        <f t="shared" si="1"/>
        <v>405.3034</v>
      </c>
      <c r="L3314" s="4">
        <f t="shared" si="2"/>
        <v>2.785468861</v>
      </c>
    </row>
    <row r="3315">
      <c r="A3315" s="3" t="s">
        <v>183</v>
      </c>
      <c r="B3315" s="3">
        <v>9.77</v>
      </c>
      <c r="C3315" s="3">
        <v>2.14</v>
      </c>
      <c r="D3315" s="3">
        <v>44.8</v>
      </c>
      <c r="E3315" s="3">
        <v>3.38</v>
      </c>
      <c r="F3315" s="3">
        <v>7.39</v>
      </c>
      <c r="G3315" s="3">
        <v>23.97</v>
      </c>
      <c r="H3315" s="3">
        <v>0.0</v>
      </c>
      <c r="I3315" s="3">
        <v>15.26</v>
      </c>
      <c r="J3315" s="3">
        <v>0.0</v>
      </c>
      <c r="K3315" s="4">
        <f t="shared" si="1"/>
        <v>629.173</v>
      </c>
      <c r="L3315" s="4">
        <f t="shared" si="2"/>
        <v>3.18996524</v>
      </c>
    </row>
    <row r="3316">
      <c r="A3316" s="3" t="s">
        <v>183</v>
      </c>
      <c r="B3316" s="3">
        <v>9.77</v>
      </c>
      <c r="C3316" s="3">
        <v>2.85</v>
      </c>
      <c r="D3316" s="3">
        <v>54.4</v>
      </c>
      <c r="E3316" s="3">
        <v>2.9</v>
      </c>
      <c r="F3316" s="3">
        <v>10.7</v>
      </c>
      <c r="G3316" s="3">
        <v>26.52</v>
      </c>
      <c r="H3316" s="3">
        <v>0.0</v>
      </c>
      <c r="I3316" s="3">
        <v>10.49</v>
      </c>
      <c r="J3316" s="3">
        <v>0.0</v>
      </c>
      <c r="K3316" s="4">
        <f t="shared" si="1"/>
        <v>817.8004</v>
      </c>
      <c r="L3316" s="4">
        <f t="shared" si="2"/>
        <v>3.618682505</v>
      </c>
    </row>
    <row r="3317">
      <c r="A3317" s="3" t="s">
        <v>183</v>
      </c>
      <c r="B3317" s="3">
        <v>9.77</v>
      </c>
      <c r="C3317" s="3">
        <v>3.55</v>
      </c>
      <c r="D3317" s="3">
        <v>57.4</v>
      </c>
      <c r="E3317" s="3">
        <v>2.89</v>
      </c>
      <c r="F3317" s="3">
        <v>12.26</v>
      </c>
      <c r="G3317" s="3">
        <v>27.06</v>
      </c>
      <c r="H3317" s="3">
        <v>0.0</v>
      </c>
      <c r="I3317" s="3">
        <v>8.02</v>
      </c>
      <c r="J3317" s="3">
        <v>0.0</v>
      </c>
      <c r="K3317" s="4">
        <f t="shared" si="1"/>
        <v>882.5512</v>
      </c>
      <c r="L3317" s="4">
        <f t="shared" si="2"/>
        <v>3.733222503</v>
      </c>
    </row>
    <row r="3318">
      <c r="A3318" s="3" t="s">
        <v>183</v>
      </c>
      <c r="B3318" s="3">
        <v>9.77</v>
      </c>
      <c r="C3318" s="3">
        <v>4.26</v>
      </c>
      <c r="D3318" s="3">
        <v>61.4</v>
      </c>
      <c r="E3318" s="3">
        <v>3.44</v>
      </c>
      <c r="F3318" s="3">
        <v>12.02</v>
      </c>
      <c r="G3318" s="3">
        <v>28.45</v>
      </c>
      <c r="H3318" s="3">
        <v>0.0</v>
      </c>
      <c r="I3318" s="3">
        <v>6.75</v>
      </c>
      <c r="J3318" s="3">
        <v>0.0</v>
      </c>
      <c r="K3318" s="4">
        <f t="shared" si="1"/>
        <v>953.8829</v>
      </c>
      <c r="L3318" s="4">
        <f t="shared" si="2"/>
        <v>3.952225163</v>
      </c>
    </row>
    <row r="3319">
      <c r="A3319" s="3" t="s">
        <v>183</v>
      </c>
      <c r="B3319" s="3">
        <v>9.77</v>
      </c>
      <c r="C3319" s="3">
        <v>4.97</v>
      </c>
      <c r="D3319" s="3">
        <v>63.8</v>
      </c>
      <c r="E3319" s="3">
        <v>3.64</v>
      </c>
      <c r="F3319" s="3">
        <v>14.16</v>
      </c>
      <c r="G3319" s="3">
        <v>29.24</v>
      </c>
      <c r="H3319" s="3">
        <v>0.0</v>
      </c>
      <c r="I3319" s="3">
        <v>4.61</v>
      </c>
      <c r="J3319" s="3">
        <v>0.0</v>
      </c>
      <c r="K3319" s="4">
        <f t="shared" si="1"/>
        <v>1055.4832</v>
      </c>
      <c r="L3319" s="4">
        <f t="shared" si="2"/>
        <v>3.856470667</v>
      </c>
    </row>
    <row r="3320">
      <c r="A3320" s="3" t="s">
        <v>183</v>
      </c>
      <c r="B3320" s="3">
        <v>9.77</v>
      </c>
      <c r="C3320" s="3">
        <v>5.69</v>
      </c>
      <c r="D3320" s="3">
        <v>65.5</v>
      </c>
      <c r="E3320" s="3">
        <v>3.82</v>
      </c>
      <c r="F3320" s="3">
        <v>15.95</v>
      </c>
      <c r="G3320" s="3">
        <v>29.3</v>
      </c>
      <c r="H3320" s="3">
        <v>0.0</v>
      </c>
      <c r="I3320" s="3">
        <v>4.19</v>
      </c>
      <c r="J3320" s="3">
        <v>0.0</v>
      </c>
      <c r="K3320" s="4">
        <f t="shared" si="1"/>
        <v>1112.8925</v>
      </c>
      <c r="L3320" s="4">
        <f t="shared" si="2"/>
        <v>3.8550444</v>
      </c>
    </row>
    <row r="3321">
      <c r="A3321" s="3" t="s">
        <v>183</v>
      </c>
      <c r="B3321" s="3">
        <v>9.77</v>
      </c>
      <c r="C3321" s="3">
        <v>6.4</v>
      </c>
      <c r="D3321" s="3">
        <v>67.6</v>
      </c>
      <c r="E3321" s="3">
        <v>3.54</v>
      </c>
      <c r="F3321" s="3">
        <v>18.56</v>
      </c>
      <c r="G3321" s="3">
        <v>30.76</v>
      </c>
      <c r="H3321" s="3">
        <v>0.0</v>
      </c>
      <c r="I3321" s="3">
        <v>2.51</v>
      </c>
      <c r="J3321" s="3">
        <v>0.0</v>
      </c>
      <c r="K3321" s="4">
        <f t="shared" si="1"/>
        <v>1290.6512</v>
      </c>
      <c r="L3321" s="4">
        <f t="shared" si="2"/>
        <v>3.540662264</v>
      </c>
    </row>
    <row r="3322">
      <c r="A3322" s="3" t="s">
        <v>183</v>
      </c>
      <c r="B3322" s="3">
        <v>9.77</v>
      </c>
      <c r="C3322" s="3">
        <v>7.11</v>
      </c>
      <c r="D3322" s="3">
        <v>69.2</v>
      </c>
      <c r="E3322" s="3">
        <v>2.91</v>
      </c>
      <c r="F3322" s="3">
        <v>22.61</v>
      </c>
      <c r="G3322" s="3">
        <v>29.42</v>
      </c>
      <c r="H3322" s="3">
        <v>0.0</v>
      </c>
      <c r="I3322" s="3">
        <v>1.98</v>
      </c>
      <c r="J3322" s="3">
        <v>0.0</v>
      </c>
      <c r="K3322" s="4">
        <f t="shared" si="1"/>
        <v>1376.7485</v>
      </c>
      <c r="L3322" s="4">
        <f t="shared" si="2"/>
        <v>3.478224236</v>
      </c>
    </row>
    <row r="3323">
      <c r="A3323" s="3" t="s">
        <v>183</v>
      </c>
      <c r="B3323" s="3">
        <v>9.77</v>
      </c>
      <c r="C3323" s="3">
        <v>7.82</v>
      </c>
      <c r="D3323" s="3">
        <v>70.3</v>
      </c>
      <c r="E3323" s="3">
        <v>2.79</v>
      </c>
      <c r="F3323" s="3">
        <v>26.3</v>
      </c>
      <c r="G3323" s="3">
        <v>28.8</v>
      </c>
      <c r="H3323" s="3">
        <v>0.0</v>
      </c>
      <c r="I3323" s="3">
        <v>1.14</v>
      </c>
      <c r="J3323" s="3">
        <v>0.0</v>
      </c>
      <c r="K3323" s="4">
        <f t="shared" si="1"/>
        <v>1521.13</v>
      </c>
      <c r="L3323" s="4">
        <f t="shared" si="2"/>
        <v>3.248959655</v>
      </c>
    </row>
    <row r="3324">
      <c r="A3324" s="3" t="s">
        <v>183</v>
      </c>
      <c r="B3324" s="3">
        <v>9.77</v>
      </c>
      <c r="C3324" s="3">
        <v>8.52</v>
      </c>
      <c r="D3324" s="3">
        <v>71.4</v>
      </c>
      <c r="E3324" s="3">
        <v>2.93</v>
      </c>
      <c r="F3324" s="3">
        <v>28.44</v>
      </c>
      <c r="G3324" s="3">
        <v>27.59</v>
      </c>
      <c r="H3324" s="3">
        <v>0.0</v>
      </c>
      <c r="I3324" s="3">
        <v>1.1</v>
      </c>
      <c r="J3324" s="3">
        <v>0.0</v>
      </c>
      <c r="K3324" s="4">
        <f t="shared" si="1"/>
        <v>1570.0417</v>
      </c>
      <c r="L3324" s="4">
        <f t="shared" si="2"/>
        <v>3.247022038</v>
      </c>
    </row>
    <row r="3325">
      <c r="A3325" s="3" t="s">
        <v>183</v>
      </c>
      <c r="B3325" s="3">
        <v>9.77</v>
      </c>
      <c r="C3325" s="3">
        <v>9.25</v>
      </c>
      <c r="D3325" s="3">
        <v>73.2</v>
      </c>
      <c r="E3325" s="3">
        <v>3.0</v>
      </c>
      <c r="F3325" s="3">
        <v>29.27</v>
      </c>
      <c r="G3325" s="3">
        <v>27.31</v>
      </c>
      <c r="H3325" s="3">
        <v>0.0</v>
      </c>
      <c r="I3325" s="3">
        <v>0.81</v>
      </c>
      <c r="J3325" s="3">
        <v>0.0</v>
      </c>
      <c r="K3325" s="4">
        <f t="shared" si="1"/>
        <v>1602.569</v>
      </c>
      <c r="L3325" s="4">
        <f t="shared" si="2"/>
        <v>3.343531542</v>
      </c>
    </row>
    <row r="3326">
      <c r="A3326" s="3" t="s">
        <v>183</v>
      </c>
      <c r="B3326" s="3">
        <v>9.77</v>
      </c>
      <c r="C3326" s="3">
        <v>9.95</v>
      </c>
      <c r="D3326" s="3">
        <v>73.0</v>
      </c>
      <c r="E3326" s="3">
        <v>2.81</v>
      </c>
      <c r="F3326" s="3">
        <v>30.7</v>
      </c>
      <c r="G3326" s="3">
        <v>26.87</v>
      </c>
      <c r="H3326" s="3">
        <v>0.0</v>
      </c>
      <c r="I3326" s="3">
        <v>0.61</v>
      </c>
      <c r="J3326" s="3">
        <v>0.0</v>
      </c>
      <c r="K3326" s="4">
        <f t="shared" si="1"/>
        <v>1664.4869</v>
      </c>
      <c r="L3326" s="4">
        <f t="shared" si="2"/>
        <v>3.201587228</v>
      </c>
    </row>
    <row r="3327">
      <c r="A3327" s="3" t="s">
        <v>183</v>
      </c>
      <c r="B3327" s="3">
        <v>9.77</v>
      </c>
      <c r="C3327" s="3">
        <v>10.66</v>
      </c>
      <c r="D3327" s="3">
        <v>73.1</v>
      </c>
      <c r="E3327" s="3">
        <v>2.79</v>
      </c>
      <c r="F3327" s="3">
        <v>31.41</v>
      </c>
      <c r="G3327" s="3">
        <v>26.73</v>
      </c>
      <c r="H3327" s="3">
        <v>0.0</v>
      </c>
      <c r="I3327" s="3">
        <v>0.0</v>
      </c>
      <c r="J3327" s="3">
        <v>0.0</v>
      </c>
      <c r="K3327" s="4">
        <f t="shared" si="1"/>
        <v>1701.081</v>
      </c>
      <c r="L3327" s="4">
        <f t="shared" si="2"/>
        <v>3.141302501</v>
      </c>
    </row>
    <row r="3328">
      <c r="A3328" s="3" t="s">
        <v>184</v>
      </c>
      <c r="B3328" s="3">
        <v>13.2</v>
      </c>
      <c r="C3328" s="3">
        <v>0.96</v>
      </c>
      <c r="D3328" s="3">
        <v>34.2</v>
      </c>
      <c r="E3328" s="3">
        <v>3.32</v>
      </c>
      <c r="F3328" s="3">
        <v>1.81</v>
      </c>
      <c r="G3328" s="3">
        <v>20.68</v>
      </c>
      <c r="H3328" s="3">
        <v>0.0</v>
      </c>
      <c r="I3328" s="3">
        <v>44.6</v>
      </c>
      <c r="J3328" s="3">
        <v>0.0</v>
      </c>
      <c r="K3328" s="4">
        <f t="shared" si="1"/>
        <v>430.9385</v>
      </c>
      <c r="L3328" s="4">
        <f t="shared" si="2"/>
        <v>2.714169191</v>
      </c>
    </row>
    <row r="3329">
      <c r="A3329" s="3" t="s">
        <v>184</v>
      </c>
      <c r="B3329" s="3">
        <v>13.2</v>
      </c>
      <c r="C3329" s="3">
        <v>1.92</v>
      </c>
      <c r="D3329" s="3">
        <v>49.5</v>
      </c>
      <c r="E3329" s="3">
        <v>4.6</v>
      </c>
      <c r="F3329" s="3">
        <v>-7.24</v>
      </c>
      <c r="G3329" s="3">
        <v>30.32</v>
      </c>
      <c r="H3329" s="3">
        <v>0.0</v>
      </c>
      <c r="I3329" s="3">
        <v>24.65</v>
      </c>
      <c r="J3329" s="3">
        <v>0.0</v>
      </c>
      <c r="K3329" s="4">
        <f t="shared" si="1"/>
        <v>971.72</v>
      </c>
      <c r="L3329" s="4">
        <f t="shared" si="2"/>
        <v>2.521559709</v>
      </c>
    </row>
    <row r="3330">
      <c r="A3330" s="3" t="s">
        <v>184</v>
      </c>
      <c r="B3330" s="3">
        <v>13.2</v>
      </c>
      <c r="C3330" s="3">
        <v>2.88</v>
      </c>
      <c r="D3330" s="3">
        <v>59.9</v>
      </c>
      <c r="E3330" s="3">
        <v>4.38</v>
      </c>
      <c r="F3330" s="3">
        <v>-2.56</v>
      </c>
      <c r="G3330" s="3">
        <v>33.18</v>
      </c>
      <c r="H3330" s="3">
        <v>0.0</v>
      </c>
      <c r="I3330" s="3">
        <v>15.63</v>
      </c>
      <c r="J3330" s="3">
        <v>0.0</v>
      </c>
      <c r="K3330" s="4">
        <f t="shared" si="1"/>
        <v>1107.466</v>
      </c>
      <c r="L3330" s="4">
        <f t="shared" si="2"/>
        <v>3.239837611</v>
      </c>
    </row>
    <row r="3331">
      <c r="A3331" s="3" t="s">
        <v>184</v>
      </c>
      <c r="B3331" s="3">
        <v>13.2</v>
      </c>
      <c r="C3331" s="3">
        <v>3.84</v>
      </c>
      <c r="D3331" s="3">
        <v>65.3</v>
      </c>
      <c r="E3331" s="3">
        <v>4.31</v>
      </c>
      <c r="F3331" s="3">
        <v>8.12</v>
      </c>
      <c r="G3331" s="3">
        <v>35.24</v>
      </c>
      <c r="H3331" s="3">
        <v>0.0</v>
      </c>
      <c r="I3331" s="3">
        <v>8.99</v>
      </c>
      <c r="J3331" s="3">
        <v>0.0</v>
      </c>
      <c r="K3331" s="4">
        <f t="shared" si="1"/>
        <v>1307.792</v>
      </c>
      <c r="L3331" s="4">
        <f t="shared" si="2"/>
        <v>3.260526139</v>
      </c>
    </row>
    <row r="3332">
      <c r="A3332" s="3" t="s">
        <v>184</v>
      </c>
      <c r="B3332" s="3">
        <v>13.2</v>
      </c>
      <c r="C3332" s="3">
        <v>4.8</v>
      </c>
      <c r="D3332" s="3">
        <v>69.8</v>
      </c>
      <c r="E3332" s="3">
        <v>3.83</v>
      </c>
      <c r="F3332" s="3">
        <v>11.3</v>
      </c>
      <c r="G3332" s="3">
        <v>34.72</v>
      </c>
      <c r="H3332" s="3">
        <v>0.0</v>
      </c>
      <c r="I3332" s="3">
        <v>5.81</v>
      </c>
      <c r="J3332" s="3">
        <v>0.0</v>
      </c>
      <c r="K3332" s="4">
        <f t="shared" si="1"/>
        <v>1333.1684</v>
      </c>
      <c r="L3332" s="4">
        <f t="shared" si="2"/>
        <v>3.654482059</v>
      </c>
    </row>
    <row r="3333">
      <c r="A3333" s="3" t="s">
        <v>184</v>
      </c>
      <c r="B3333" s="3">
        <v>13.2</v>
      </c>
      <c r="C3333" s="3">
        <v>5.76</v>
      </c>
      <c r="D3333" s="3">
        <v>73.8</v>
      </c>
      <c r="E3333" s="3">
        <v>3.45</v>
      </c>
      <c r="F3333" s="3">
        <v>16.0</v>
      </c>
      <c r="G3333" s="3">
        <v>34.11</v>
      </c>
      <c r="H3333" s="3">
        <v>0.0</v>
      </c>
      <c r="I3333" s="3">
        <v>4.38</v>
      </c>
      <c r="J3333" s="3">
        <v>0.0</v>
      </c>
      <c r="K3333" s="4">
        <f t="shared" si="1"/>
        <v>1419.4921</v>
      </c>
      <c r="L3333" s="4">
        <f t="shared" si="2"/>
        <v>3.836893492</v>
      </c>
    </row>
    <row r="3334">
      <c r="A3334" s="3" t="s">
        <v>184</v>
      </c>
      <c r="B3334" s="3">
        <v>13.2</v>
      </c>
      <c r="C3334" s="3">
        <v>6.72</v>
      </c>
      <c r="D3334" s="3">
        <v>76.2</v>
      </c>
      <c r="E3334" s="3">
        <v>3.24</v>
      </c>
      <c r="F3334" s="3">
        <v>18.2</v>
      </c>
      <c r="G3334" s="3">
        <v>34.88</v>
      </c>
      <c r="H3334" s="3">
        <v>0.0</v>
      </c>
      <c r="I3334" s="3">
        <v>2.64</v>
      </c>
      <c r="J3334" s="3">
        <v>0.0</v>
      </c>
      <c r="K3334" s="4">
        <f t="shared" si="1"/>
        <v>1547.8544</v>
      </c>
      <c r="L3334" s="4">
        <f t="shared" si="2"/>
        <v>3.751283066</v>
      </c>
    </row>
    <row r="3335">
      <c r="A3335" s="3" t="s">
        <v>184</v>
      </c>
      <c r="B3335" s="3">
        <v>13.2</v>
      </c>
      <c r="C3335" s="3">
        <v>7.68</v>
      </c>
      <c r="D3335" s="3">
        <v>79.3</v>
      </c>
      <c r="E3335" s="3">
        <v>3.19</v>
      </c>
      <c r="F3335" s="3">
        <v>19.2</v>
      </c>
      <c r="G3335" s="3">
        <v>33.08</v>
      </c>
      <c r="H3335" s="3">
        <v>0.0</v>
      </c>
      <c r="I3335" s="3">
        <v>1.24</v>
      </c>
      <c r="J3335" s="3">
        <v>0.0</v>
      </c>
      <c r="K3335" s="4">
        <f t="shared" si="1"/>
        <v>1462.9264</v>
      </c>
      <c r="L3335" s="4">
        <f t="shared" si="2"/>
        <v>4.298568951</v>
      </c>
    </row>
    <row r="3336">
      <c r="A3336" s="3" t="s">
        <v>184</v>
      </c>
      <c r="B3336" s="3">
        <v>13.2</v>
      </c>
      <c r="C3336" s="3">
        <v>8.64</v>
      </c>
      <c r="D3336" s="3">
        <v>80.3</v>
      </c>
      <c r="E3336" s="3">
        <v>3.31</v>
      </c>
      <c r="F3336" s="3">
        <v>23.3</v>
      </c>
      <c r="G3336" s="3">
        <v>31.11</v>
      </c>
      <c r="H3336" s="3">
        <v>0.0</v>
      </c>
      <c r="I3336" s="3">
        <v>0.86</v>
      </c>
      <c r="J3336" s="3">
        <v>0.0</v>
      </c>
      <c r="K3336" s="4">
        <f t="shared" si="1"/>
        <v>1510.7221</v>
      </c>
      <c r="L3336" s="4">
        <f t="shared" si="2"/>
        <v>4.268217166</v>
      </c>
    </row>
    <row r="3337">
      <c r="A3337" s="3" t="s">
        <v>184</v>
      </c>
      <c r="B3337" s="3">
        <v>13.2</v>
      </c>
      <c r="C3337" s="3">
        <v>9.6</v>
      </c>
      <c r="D3337" s="3">
        <v>81.9</v>
      </c>
      <c r="E3337" s="3">
        <v>3.69</v>
      </c>
      <c r="F3337" s="3">
        <v>25.5</v>
      </c>
      <c r="G3337" s="3">
        <v>29.68</v>
      </c>
      <c r="H3337" s="3">
        <v>0.0</v>
      </c>
      <c r="I3337" s="3">
        <v>0.52</v>
      </c>
      <c r="J3337" s="3">
        <v>0.0</v>
      </c>
      <c r="K3337" s="4">
        <f t="shared" si="1"/>
        <v>1531.1524</v>
      </c>
      <c r="L3337" s="4">
        <f t="shared" si="2"/>
        <v>4.380759224</v>
      </c>
    </row>
    <row r="3338">
      <c r="A3338" s="3" t="s">
        <v>184</v>
      </c>
      <c r="B3338" s="3">
        <v>13.2</v>
      </c>
      <c r="C3338" s="3">
        <v>10.6</v>
      </c>
      <c r="D3338" s="3">
        <v>84.0</v>
      </c>
      <c r="E3338" s="3">
        <v>3.89</v>
      </c>
      <c r="F3338" s="3">
        <v>27.8</v>
      </c>
      <c r="G3338" s="3">
        <v>28.19</v>
      </c>
      <c r="H3338" s="3">
        <v>0.0</v>
      </c>
      <c r="I3338" s="3">
        <v>0.32</v>
      </c>
      <c r="J3338" s="3">
        <v>0.0</v>
      </c>
      <c r="K3338" s="4">
        <f t="shared" si="1"/>
        <v>1567.5161</v>
      </c>
      <c r="L3338" s="4">
        <f t="shared" si="2"/>
        <v>4.501389172</v>
      </c>
    </row>
    <row r="3339">
      <c r="A3339" s="3" t="s">
        <v>184</v>
      </c>
      <c r="B3339" s="3">
        <v>13.2</v>
      </c>
      <c r="C3339" s="3">
        <v>11.5</v>
      </c>
      <c r="D3339" s="3">
        <v>85.6</v>
      </c>
      <c r="E3339" s="3">
        <v>3.67</v>
      </c>
      <c r="F3339" s="3">
        <v>31.1</v>
      </c>
      <c r="G3339" s="3">
        <v>26.95</v>
      </c>
      <c r="H3339" s="3">
        <v>0.0</v>
      </c>
      <c r="I3339" s="3">
        <v>0.2</v>
      </c>
      <c r="J3339" s="3">
        <v>0.0</v>
      </c>
      <c r="K3339" s="4">
        <f t="shared" si="1"/>
        <v>1693.5125</v>
      </c>
      <c r="L3339" s="4">
        <f t="shared" si="2"/>
        <v>4.326723304</v>
      </c>
    </row>
    <row r="3340">
      <c r="A3340" s="3" t="s">
        <v>184</v>
      </c>
      <c r="B3340" s="3">
        <v>13.2</v>
      </c>
      <c r="C3340" s="3">
        <v>12.5</v>
      </c>
      <c r="D3340" s="3">
        <v>87.9</v>
      </c>
      <c r="E3340" s="3">
        <v>3.43</v>
      </c>
      <c r="F3340" s="3">
        <v>35.1</v>
      </c>
      <c r="G3340" s="3">
        <v>25.7</v>
      </c>
      <c r="H3340" s="3">
        <v>0.0</v>
      </c>
      <c r="I3340" s="3">
        <v>0.12</v>
      </c>
      <c r="J3340" s="3">
        <v>0.0</v>
      </c>
      <c r="K3340" s="4">
        <f t="shared" si="1"/>
        <v>1892.5</v>
      </c>
      <c r="L3340" s="4">
        <f t="shared" si="2"/>
        <v>4.082647292</v>
      </c>
    </row>
    <row r="3341">
      <c r="A3341" s="3" t="s">
        <v>184</v>
      </c>
      <c r="B3341" s="3">
        <v>13.2</v>
      </c>
      <c r="C3341" s="3">
        <v>13.4</v>
      </c>
      <c r="D3341" s="3">
        <v>90.8</v>
      </c>
      <c r="E3341" s="3">
        <v>3.36</v>
      </c>
      <c r="F3341" s="3">
        <v>38.3</v>
      </c>
      <c r="G3341" s="3">
        <v>24.69</v>
      </c>
      <c r="H3341" s="3">
        <v>0.0</v>
      </c>
      <c r="I3341" s="3">
        <v>0.08</v>
      </c>
      <c r="J3341" s="3">
        <v>0.0</v>
      </c>
      <c r="K3341" s="4">
        <f t="shared" si="1"/>
        <v>2076.4861</v>
      </c>
      <c r="L3341" s="4">
        <f t="shared" si="2"/>
        <v>3.970476855</v>
      </c>
    </row>
    <row r="3342">
      <c r="A3342" s="3" t="s">
        <v>184</v>
      </c>
      <c r="B3342" s="3">
        <v>13.2</v>
      </c>
      <c r="C3342" s="3">
        <v>14.4</v>
      </c>
      <c r="D3342" s="3">
        <v>95.5</v>
      </c>
      <c r="E3342" s="3">
        <v>3.18</v>
      </c>
      <c r="F3342" s="3">
        <v>41.4</v>
      </c>
      <c r="G3342" s="3">
        <v>23.69</v>
      </c>
      <c r="H3342" s="3">
        <v>0.0</v>
      </c>
      <c r="I3342" s="3">
        <v>0.05</v>
      </c>
      <c r="J3342" s="3">
        <v>0.0</v>
      </c>
      <c r="K3342" s="4">
        <f t="shared" si="1"/>
        <v>2275.1761</v>
      </c>
      <c r="L3342" s="4">
        <f t="shared" si="2"/>
        <v>4.008590808</v>
      </c>
    </row>
    <row r="3343">
      <c r="A3343" s="3" t="s">
        <v>184</v>
      </c>
      <c r="B3343" s="3">
        <v>13.2</v>
      </c>
      <c r="C3343" s="3">
        <v>15.4</v>
      </c>
      <c r="D3343" s="3">
        <v>98.0</v>
      </c>
      <c r="E3343" s="3">
        <v>3.18</v>
      </c>
      <c r="F3343" s="3">
        <v>43.4</v>
      </c>
      <c r="G3343" s="3">
        <v>22.77</v>
      </c>
      <c r="H3343" s="3">
        <v>0.0</v>
      </c>
      <c r="I3343" s="3">
        <v>0.0</v>
      </c>
      <c r="J3343" s="3">
        <v>0.0</v>
      </c>
      <c r="K3343" s="4">
        <f t="shared" si="1"/>
        <v>2402.0329</v>
      </c>
      <c r="L3343" s="4">
        <f t="shared" si="2"/>
        <v>3.998279957</v>
      </c>
    </row>
    <row r="3344">
      <c r="A3344" s="3" t="s">
        <v>44</v>
      </c>
      <c r="B3344" s="3">
        <v>5.68</v>
      </c>
      <c r="C3344" s="3">
        <v>0.09</v>
      </c>
      <c r="D3344" s="3">
        <v>7.0</v>
      </c>
      <c r="E3344" s="3">
        <v>2.49</v>
      </c>
      <c r="F3344" s="3">
        <v>1.74</v>
      </c>
      <c r="G3344" s="3">
        <v>3.78</v>
      </c>
      <c r="H3344" s="3">
        <v>0.0</v>
      </c>
      <c r="I3344" s="3">
        <v>85.81</v>
      </c>
      <c r="J3344" s="3">
        <v>0.0</v>
      </c>
      <c r="K3344" s="4">
        <f t="shared" si="1"/>
        <v>17.316</v>
      </c>
      <c r="L3344" s="4">
        <f t="shared" si="2"/>
        <v>2.82975283</v>
      </c>
    </row>
    <row r="3345">
      <c r="A3345" s="3" t="s">
        <v>44</v>
      </c>
      <c r="B3345" s="3">
        <v>5.68</v>
      </c>
      <c r="C3345" s="3">
        <v>0.25</v>
      </c>
      <c r="D3345" s="3">
        <v>14.9</v>
      </c>
      <c r="E3345" s="3">
        <v>1.35</v>
      </c>
      <c r="F3345" s="3">
        <v>4.38</v>
      </c>
      <c r="G3345" s="3">
        <v>11.32</v>
      </c>
      <c r="H3345" s="3">
        <v>0.0</v>
      </c>
      <c r="I3345" s="3">
        <v>82.32</v>
      </c>
      <c r="J3345" s="3">
        <v>0.0</v>
      </c>
      <c r="K3345" s="4">
        <f t="shared" si="1"/>
        <v>147.3268</v>
      </c>
      <c r="L3345" s="4">
        <f t="shared" si="2"/>
        <v>1.506922026</v>
      </c>
    </row>
    <row r="3346">
      <c r="A3346" s="3" t="s">
        <v>44</v>
      </c>
      <c r="B3346" s="3">
        <v>5.68</v>
      </c>
      <c r="C3346" s="3">
        <v>0.41</v>
      </c>
      <c r="D3346" s="3">
        <v>21.1</v>
      </c>
      <c r="E3346" s="3">
        <v>1.37</v>
      </c>
      <c r="F3346" s="3">
        <v>6.41</v>
      </c>
      <c r="G3346" s="3">
        <v>15.94</v>
      </c>
      <c r="H3346" s="3">
        <v>0.0</v>
      </c>
      <c r="I3346" s="3">
        <v>43.75</v>
      </c>
      <c r="J3346" s="3">
        <v>0.0</v>
      </c>
      <c r="K3346" s="4">
        <f t="shared" si="1"/>
        <v>295.1717</v>
      </c>
      <c r="L3346" s="4">
        <f t="shared" si="2"/>
        <v>1.508308554</v>
      </c>
    </row>
    <row r="3347">
      <c r="A3347" s="3" t="s">
        <v>44</v>
      </c>
      <c r="B3347" s="3">
        <v>5.68</v>
      </c>
      <c r="C3347" s="3">
        <v>0.58</v>
      </c>
      <c r="D3347" s="3">
        <v>26.0</v>
      </c>
      <c r="E3347" s="3">
        <v>1.24</v>
      </c>
      <c r="F3347" s="3">
        <v>7.97</v>
      </c>
      <c r="G3347" s="3">
        <v>17.47</v>
      </c>
      <c r="H3347" s="3">
        <v>0.0</v>
      </c>
      <c r="I3347" s="3">
        <v>20.85</v>
      </c>
      <c r="J3347" s="3">
        <v>0.0</v>
      </c>
      <c r="K3347" s="4">
        <f t="shared" si="1"/>
        <v>368.7218</v>
      </c>
      <c r="L3347" s="4">
        <f t="shared" si="2"/>
        <v>1.833360544</v>
      </c>
    </row>
    <row r="3348">
      <c r="A3348" s="3" t="s">
        <v>44</v>
      </c>
      <c r="B3348" s="3">
        <v>5.68</v>
      </c>
      <c r="C3348" s="3">
        <v>0.74</v>
      </c>
      <c r="D3348" s="3">
        <v>27.5</v>
      </c>
      <c r="E3348" s="3">
        <v>1.59</v>
      </c>
      <c r="F3348" s="3">
        <v>9.12</v>
      </c>
      <c r="G3348" s="3">
        <v>17.72</v>
      </c>
      <c r="H3348" s="3">
        <v>0.0</v>
      </c>
      <c r="I3348" s="3">
        <v>11.43</v>
      </c>
      <c r="J3348" s="3">
        <v>0.0</v>
      </c>
      <c r="K3348" s="4">
        <f t="shared" si="1"/>
        <v>397.1728</v>
      </c>
      <c r="L3348" s="4">
        <f t="shared" si="2"/>
        <v>1.904083059</v>
      </c>
    </row>
    <row r="3349">
      <c r="A3349" s="3" t="s">
        <v>44</v>
      </c>
      <c r="B3349" s="3">
        <v>5.68</v>
      </c>
      <c r="C3349" s="3">
        <v>0.9</v>
      </c>
      <c r="D3349" s="3">
        <v>28.8</v>
      </c>
      <c r="E3349" s="3">
        <v>2.57</v>
      </c>
      <c r="F3349" s="3">
        <v>9.81</v>
      </c>
      <c r="G3349" s="3">
        <v>17.18</v>
      </c>
      <c r="H3349" s="3">
        <v>0.0</v>
      </c>
      <c r="I3349" s="3">
        <v>7.49</v>
      </c>
      <c r="J3349" s="3">
        <v>0.0</v>
      </c>
      <c r="K3349" s="4">
        <f t="shared" si="1"/>
        <v>391.3885</v>
      </c>
      <c r="L3349" s="4">
        <f t="shared" si="2"/>
        <v>2.119224249</v>
      </c>
    </row>
    <row r="3350">
      <c r="A3350" s="3" t="s">
        <v>44</v>
      </c>
      <c r="B3350" s="3">
        <v>5.68</v>
      </c>
      <c r="C3350" s="3">
        <v>1.08</v>
      </c>
      <c r="D3350" s="3">
        <v>29.5</v>
      </c>
      <c r="E3350" s="3">
        <v>1.85</v>
      </c>
      <c r="F3350" s="3">
        <v>10.01</v>
      </c>
      <c r="G3350" s="3">
        <v>16.66</v>
      </c>
      <c r="H3350" s="3">
        <v>0.0</v>
      </c>
      <c r="I3350" s="3">
        <v>5.51</v>
      </c>
      <c r="J3350" s="3">
        <v>0.0</v>
      </c>
      <c r="K3350" s="4">
        <f t="shared" si="1"/>
        <v>377.7557</v>
      </c>
      <c r="L3350" s="4">
        <f t="shared" si="2"/>
        <v>2.303737574</v>
      </c>
    </row>
    <row r="3351">
      <c r="A3351" s="3" t="s">
        <v>45</v>
      </c>
      <c r="B3351" s="3">
        <v>4.35</v>
      </c>
      <c r="C3351" s="3">
        <v>0.42</v>
      </c>
      <c r="D3351" s="3">
        <v>14.2</v>
      </c>
      <c r="E3351" s="3">
        <v>1.91</v>
      </c>
      <c r="F3351" s="3">
        <v>4.87</v>
      </c>
      <c r="G3351" s="3">
        <v>4.78</v>
      </c>
      <c r="H3351" s="3">
        <v>0.0</v>
      </c>
      <c r="I3351" s="3">
        <v>11.05</v>
      </c>
      <c r="J3351" s="3">
        <v>0.0</v>
      </c>
      <c r="K3351" s="4">
        <f t="shared" si="1"/>
        <v>46.5653</v>
      </c>
      <c r="L3351" s="4">
        <f t="shared" si="2"/>
        <v>4.330263093</v>
      </c>
    </row>
    <row r="3352">
      <c r="A3352" s="3" t="s">
        <v>45</v>
      </c>
      <c r="B3352" s="3">
        <v>4.35</v>
      </c>
      <c r="C3352" s="3">
        <v>1.26</v>
      </c>
      <c r="D3352" s="3">
        <v>28.6</v>
      </c>
      <c r="E3352" s="3">
        <v>1.82</v>
      </c>
      <c r="F3352" s="3">
        <v>13.14</v>
      </c>
      <c r="G3352" s="3">
        <v>10.76</v>
      </c>
      <c r="H3352" s="3">
        <v>0.0</v>
      </c>
      <c r="I3352" s="3">
        <v>5.81</v>
      </c>
      <c r="J3352" s="3">
        <v>0.0</v>
      </c>
      <c r="K3352" s="4">
        <f t="shared" si="1"/>
        <v>288.4372</v>
      </c>
      <c r="L3352" s="4">
        <f t="shared" si="2"/>
        <v>2.835833935</v>
      </c>
    </row>
    <row r="3353">
      <c r="A3353" s="3" t="s">
        <v>45</v>
      </c>
      <c r="B3353" s="3">
        <v>4.35</v>
      </c>
      <c r="C3353" s="3">
        <v>2.11</v>
      </c>
      <c r="D3353" s="3">
        <v>41.0</v>
      </c>
      <c r="E3353" s="3">
        <v>1.74</v>
      </c>
      <c r="F3353" s="3">
        <v>19.65</v>
      </c>
      <c r="G3353" s="3">
        <v>13.6</v>
      </c>
      <c r="H3353" s="3">
        <v>0.0</v>
      </c>
      <c r="I3353" s="3">
        <v>2.75</v>
      </c>
      <c r="J3353" s="3">
        <v>0.0</v>
      </c>
      <c r="K3353" s="4">
        <f t="shared" si="1"/>
        <v>571.0825</v>
      </c>
      <c r="L3353" s="4">
        <f t="shared" si="2"/>
        <v>2.943532677</v>
      </c>
    </row>
    <row r="3354">
      <c r="A3354" s="3" t="s">
        <v>45</v>
      </c>
      <c r="B3354" s="3">
        <v>4.35</v>
      </c>
      <c r="C3354" s="3">
        <v>2.96</v>
      </c>
      <c r="D3354" s="3">
        <v>49.0</v>
      </c>
      <c r="E3354" s="3">
        <v>1.91</v>
      </c>
      <c r="F3354" s="3">
        <v>22.42</v>
      </c>
      <c r="G3354" s="3">
        <v>13.29</v>
      </c>
      <c r="H3354" s="3">
        <v>0.0</v>
      </c>
      <c r="I3354" s="3">
        <v>1.0</v>
      </c>
      <c r="J3354" s="3">
        <v>0.0</v>
      </c>
      <c r="K3354" s="4">
        <f t="shared" si="1"/>
        <v>679.2805</v>
      </c>
      <c r="L3354" s="4">
        <f t="shared" si="2"/>
        <v>3.534622295</v>
      </c>
    </row>
    <row r="3355">
      <c r="A3355" s="3" t="s">
        <v>45</v>
      </c>
      <c r="B3355" s="3">
        <v>4.35</v>
      </c>
      <c r="C3355" s="3">
        <v>3.79</v>
      </c>
      <c r="D3355" s="3">
        <v>54.8</v>
      </c>
      <c r="E3355" s="3">
        <v>2.05</v>
      </c>
      <c r="F3355" s="3">
        <v>22.82</v>
      </c>
      <c r="G3355" s="3">
        <v>12.56</v>
      </c>
      <c r="H3355" s="3">
        <v>0.0</v>
      </c>
      <c r="I3355" s="3">
        <v>0.72</v>
      </c>
      <c r="J3355" s="3">
        <v>0.0</v>
      </c>
      <c r="K3355" s="4">
        <f t="shared" si="1"/>
        <v>678.506</v>
      </c>
      <c r="L3355" s="4">
        <f t="shared" si="2"/>
        <v>4.425959387</v>
      </c>
    </row>
    <row r="3356">
      <c r="A3356" s="3" t="s">
        <v>45</v>
      </c>
      <c r="B3356" s="3">
        <v>4.35</v>
      </c>
      <c r="C3356" s="3">
        <v>4.65</v>
      </c>
      <c r="D3356" s="3">
        <v>56.4</v>
      </c>
      <c r="E3356" s="3">
        <v>3.12</v>
      </c>
      <c r="F3356" s="3">
        <v>21.37</v>
      </c>
      <c r="G3356" s="3">
        <v>12.33</v>
      </c>
      <c r="H3356" s="3">
        <v>0.0</v>
      </c>
      <c r="I3356" s="3">
        <v>0.43</v>
      </c>
      <c r="J3356" s="3">
        <v>0.0</v>
      </c>
      <c r="K3356" s="4">
        <f t="shared" si="1"/>
        <v>608.7058</v>
      </c>
      <c r="L3356" s="4">
        <f t="shared" si="2"/>
        <v>5.225775736</v>
      </c>
    </row>
    <row r="3357">
      <c r="A3357" s="3" t="s">
        <v>45</v>
      </c>
      <c r="B3357" s="3">
        <v>4.35</v>
      </c>
      <c r="C3357" s="3">
        <v>5.48</v>
      </c>
      <c r="D3357" s="3">
        <v>57.8</v>
      </c>
      <c r="E3357" s="3">
        <v>2.83</v>
      </c>
      <c r="F3357" s="3">
        <v>18.73</v>
      </c>
      <c r="G3357" s="3">
        <v>12.04</v>
      </c>
      <c r="H3357" s="3">
        <v>0.0</v>
      </c>
      <c r="I3357" s="3">
        <v>0.18</v>
      </c>
      <c r="J3357" s="3">
        <v>0.0</v>
      </c>
      <c r="K3357" s="4">
        <f t="shared" si="1"/>
        <v>495.7745</v>
      </c>
      <c r="L3357" s="4">
        <f t="shared" si="2"/>
        <v>6.738628146</v>
      </c>
    </row>
    <row r="3358">
      <c r="A3358" s="3" t="s">
        <v>45</v>
      </c>
      <c r="B3358" s="3">
        <v>4.35</v>
      </c>
      <c r="C3358" s="3">
        <v>6.33</v>
      </c>
      <c r="D3358" s="3">
        <v>56.5</v>
      </c>
      <c r="E3358" s="3">
        <v>0.65</v>
      </c>
      <c r="F3358" s="3">
        <v>16.75</v>
      </c>
      <c r="G3358" s="3">
        <v>10.62</v>
      </c>
      <c r="H3358" s="3">
        <v>0.0</v>
      </c>
      <c r="I3358" s="3">
        <v>0.0</v>
      </c>
      <c r="J3358" s="3">
        <v>0.0</v>
      </c>
      <c r="K3358" s="4">
        <f t="shared" si="1"/>
        <v>393.3469</v>
      </c>
      <c r="L3358" s="4">
        <f t="shared" si="2"/>
        <v>8.115609911</v>
      </c>
    </row>
    <row r="3359">
      <c r="A3359" s="3" t="s">
        <v>46</v>
      </c>
      <c r="B3359" s="3">
        <v>0.98</v>
      </c>
      <c r="C3359" s="3">
        <v>0.12</v>
      </c>
      <c r="D3359" s="3">
        <v>6.48</v>
      </c>
      <c r="E3359" s="3">
        <v>2.6</v>
      </c>
      <c r="F3359" s="3">
        <v>-0.66</v>
      </c>
      <c r="G3359" s="3">
        <v>2.2</v>
      </c>
      <c r="H3359" s="3">
        <v>0.0</v>
      </c>
      <c r="I3359" s="3">
        <v>2.83</v>
      </c>
      <c r="J3359" s="3">
        <v>0.0</v>
      </c>
      <c r="K3359" s="4">
        <f t="shared" si="1"/>
        <v>5.2756</v>
      </c>
      <c r="L3359" s="4">
        <f t="shared" si="2"/>
        <v>7.959360073</v>
      </c>
    </row>
    <row r="3360">
      <c r="A3360" s="3" t="s">
        <v>46</v>
      </c>
      <c r="B3360" s="3">
        <v>0.98</v>
      </c>
      <c r="C3360" s="3">
        <v>0.19</v>
      </c>
      <c r="D3360" s="3">
        <v>8.6</v>
      </c>
      <c r="E3360" s="3">
        <v>2.65</v>
      </c>
      <c r="F3360" s="3">
        <v>0.47</v>
      </c>
      <c r="G3360" s="3">
        <v>2.24</v>
      </c>
      <c r="H3360" s="3">
        <v>0.0</v>
      </c>
      <c r="I3360" s="3">
        <v>3.38</v>
      </c>
      <c r="J3360" s="3">
        <v>0.0</v>
      </c>
      <c r="K3360" s="4">
        <f t="shared" si="1"/>
        <v>5.2385</v>
      </c>
      <c r="L3360" s="4">
        <f t="shared" si="2"/>
        <v>14.11854539</v>
      </c>
    </row>
    <row r="3361">
      <c r="A3361" s="3" t="s">
        <v>46</v>
      </c>
      <c r="B3361" s="3">
        <v>0.98</v>
      </c>
      <c r="C3361" s="3">
        <v>0.26</v>
      </c>
      <c r="D3361" s="3">
        <v>10.2</v>
      </c>
      <c r="E3361" s="3">
        <v>3.03</v>
      </c>
      <c r="F3361" s="3">
        <v>1.82</v>
      </c>
      <c r="G3361" s="3">
        <v>2.72</v>
      </c>
      <c r="H3361" s="3">
        <v>0.0</v>
      </c>
      <c r="I3361" s="3">
        <v>2.43</v>
      </c>
      <c r="J3361" s="3">
        <v>0.0</v>
      </c>
      <c r="K3361" s="4">
        <f t="shared" si="1"/>
        <v>10.7108</v>
      </c>
      <c r="L3361" s="4">
        <f t="shared" si="2"/>
        <v>9.713560145</v>
      </c>
    </row>
    <row r="3362">
      <c r="A3362" s="3" t="s">
        <v>46</v>
      </c>
      <c r="B3362" s="3">
        <v>0.98</v>
      </c>
      <c r="C3362" s="3">
        <v>0.33</v>
      </c>
      <c r="D3362" s="3">
        <v>11.7</v>
      </c>
      <c r="E3362" s="3">
        <v>3.55</v>
      </c>
      <c r="F3362" s="3">
        <v>3.08</v>
      </c>
      <c r="G3362" s="3">
        <v>2.9</v>
      </c>
      <c r="H3362" s="3">
        <v>0.0</v>
      </c>
      <c r="I3362" s="3">
        <v>2.23</v>
      </c>
      <c r="J3362" s="3">
        <v>0.0</v>
      </c>
      <c r="K3362" s="4">
        <f t="shared" si="1"/>
        <v>17.8964</v>
      </c>
      <c r="L3362" s="4">
        <f t="shared" si="2"/>
        <v>7.649024385</v>
      </c>
    </row>
    <row r="3363">
      <c r="A3363" s="3" t="s">
        <v>46</v>
      </c>
      <c r="B3363" s="3">
        <v>0.98</v>
      </c>
      <c r="C3363" s="3">
        <v>0.4</v>
      </c>
      <c r="D3363" s="3">
        <v>12.7</v>
      </c>
      <c r="E3363" s="3">
        <v>3.75</v>
      </c>
      <c r="F3363" s="3">
        <v>4.2</v>
      </c>
      <c r="G3363" s="3">
        <v>2.92</v>
      </c>
      <c r="H3363" s="3">
        <v>0.0</v>
      </c>
      <c r="I3363" s="3">
        <v>1.76</v>
      </c>
      <c r="J3363" s="3">
        <v>0.0</v>
      </c>
      <c r="K3363" s="4">
        <f t="shared" si="1"/>
        <v>26.1664</v>
      </c>
      <c r="L3363" s="4">
        <f t="shared" si="2"/>
        <v>6.164011863</v>
      </c>
    </row>
    <row r="3364">
      <c r="A3364" s="3" t="s">
        <v>46</v>
      </c>
      <c r="B3364" s="3">
        <v>0.98</v>
      </c>
      <c r="C3364" s="3">
        <v>0.47</v>
      </c>
      <c r="D3364" s="3">
        <v>14.1</v>
      </c>
      <c r="E3364" s="3">
        <v>3.43</v>
      </c>
      <c r="F3364" s="3">
        <v>5.32</v>
      </c>
      <c r="G3364" s="3">
        <v>3.03</v>
      </c>
      <c r="H3364" s="3">
        <v>0.0</v>
      </c>
      <c r="I3364" s="3">
        <v>2.11</v>
      </c>
      <c r="J3364" s="3">
        <v>0.0</v>
      </c>
      <c r="K3364" s="4">
        <f t="shared" si="1"/>
        <v>37.4833</v>
      </c>
      <c r="L3364" s="4">
        <f t="shared" si="2"/>
        <v>5.303962031</v>
      </c>
    </row>
    <row r="3365">
      <c r="A3365" s="3" t="s">
        <v>46</v>
      </c>
      <c r="B3365" s="3">
        <v>0.98</v>
      </c>
      <c r="C3365" s="3">
        <v>0.55</v>
      </c>
      <c r="D3365" s="3">
        <v>16.0</v>
      </c>
      <c r="E3365" s="3">
        <v>3.33</v>
      </c>
      <c r="F3365" s="3">
        <v>6.65</v>
      </c>
      <c r="G3365" s="3">
        <v>3.44</v>
      </c>
      <c r="H3365" s="3">
        <v>0.0</v>
      </c>
      <c r="I3365" s="3">
        <v>2.0</v>
      </c>
      <c r="J3365" s="3">
        <v>0.0</v>
      </c>
      <c r="K3365" s="4">
        <f t="shared" si="1"/>
        <v>56.0561</v>
      </c>
      <c r="L3365" s="4">
        <f t="shared" si="2"/>
        <v>4.566853563</v>
      </c>
    </row>
    <row r="3366">
      <c r="A3366" s="3" t="s">
        <v>46</v>
      </c>
      <c r="B3366" s="3">
        <v>0.98</v>
      </c>
      <c r="C3366" s="3">
        <v>0.62</v>
      </c>
      <c r="D3366" s="3">
        <v>18.1</v>
      </c>
      <c r="E3366" s="3">
        <v>2.66</v>
      </c>
      <c r="F3366" s="3">
        <v>7.97</v>
      </c>
      <c r="G3366" s="3">
        <v>3.69</v>
      </c>
      <c r="H3366" s="3">
        <v>0.0</v>
      </c>
      <c r="I3366" s="3">
        <v>1.59</v>
      </c>
      <c r="J3366" s="3">
        <v>0.0</v>
      </c>
      <c r="K3366" s="4">
        <f t="shared" si="1"/>
        <v>77.137</v>
      </c>
      <c r="L3366" s="4">
        <f t="shared" si="2"/>
        <v>4.247118763</v>
      </c>
    </row>
    <row r="3367">
      <c r="A3367" s="3" t="s">
        <v>46</v>
      </c>
      <c r="B3367" s="3">
        <v>0.98</v>
      </c>
      <c r="C3367" s="3">
        <v>0.69</v>
      </c>
      <c r="D3367" s="3">
        <v>21.2</v>
      </c>
      <c r="E3367" s="3">
        <v>3.78</v>
      </c>
      <c r="F3367" s="3">
        <v>9.25</v>
      </c>
      <c r="G3367" s="3">
        <v>3.81</v>
      </c>
      <c r="H3367" s="3">
        <v>0.0</v>
      </c>
      <c r="I3367" s="3">
        <v>1.38</v>
      </c>
      <c r="J3367" s="3">
        <v>0.0</v>
      </c>
      <c r="K3367" s="4">
        <f t="shared" si="1"/>
        <v>100.0786</v>
      </c>
      <c r="L3367" s="4">
        <f t="shared" si="2"/>
        <v>4.490870176</v>
      </c>
    </row>
    <row r="3368">
      <c r="A3368" s="3" t="s">
        <v>46</v>
      </c>
      <c r="B3368" s="3">
        <v>0.98</v>
      </c>
      <c r="C3368" s="3">
        <v>0.76</v>
      </c>
      <c r="D3368" s="3">
        <v>21.6</v>
      </c>
      <c r="E3368" s="3">
        <v>3.33</v>
      </c>
      <c r="F3368" s="3">
        <v>10.36</v>
      </c>
      <c r="G3368" s="3">
        <v>3.95</v>
      </c>
      <c r="H3368" s="3">
        <v>0.0</v>
      </c>
      <c r="I3368" s="3">
        <v>1.39</v>
      </c>
      <c r="J3368" s="3">
        <v>0.0</v>
      </c>
      <c r="K3368" s="4">
        <f t="shared" si="1"/>
        <v>122.9321</v>
      </c>
      <c r="L3368" s="4">
        <f t="shared" si="2"/>
        <v>3.795265842</v>
      </c>
    </row>
    <row r="3369">
      <c r="A3369" s="3" t="s">
        <v>46</v>
      </c>
      <c r="B3369" s="3">
        <v>0.98</v>
      </c>
      <c r="C3369" s="3">
        <v>0.83</v>
      </c>
      <c r="D3369" s="3">
        <v>23.3</v>
      </c>
      <c r="E3369" s="3">
        <v>3.09</v>
      </c>
      <c r="F3369" s="3">
        <v>11.58</v>
      </c>
      <c r="G3369" s="3">
        <v>4.15</v>
      </c>
      <c r="H3369" s="3">
        <v>0.0</v>
      </c>
      <c r="I3369" s="3">
        <v>1.29</v>
      </c>
      <c r="J3369" s="3">
        <v>0.0</v>
      </c>
      <c r="K3369" s="4">
        <f t="shared" si="1"/>
        <v>151.3189</v>
      </c>
      <c r="L3369" s="4">
        <f t="shared" si="2"/>
        <v>3.587721032</v>
      </c>
    </row>
    <row r="3370">
      <c r="A3370" s="3" t="s">
        <v>46</v>
      </c>
      <c r="B3370" s="3">
        <v>0.98</v>
      </c>
      <c r="C3370" s="3">
        <v>0.9</v>
      </c>
      <c r="D3370" s="3">
        <v>24.5</v>
      </c>
      <c r="E3370" s="3">
        <v>3.26</v>
      </c>
      <c r="F3370" s="3">
        <v>12.39</v>
      </c>
      <c r="G3370" s="3">
        <v>4.32</v>
      </c>
      <c r="H3370" s="3">
        <v>0.0</v>
      </c>
      <c r="I3370" s="3">
        <v>1.17</v>
      </c>
      <c r="J3370" s="3">
        <v>0.0</v>
      </c>
      <c r="K3370" s="4">
        <f t="shared" si="1"/>
        <v>172.1745</v>
      </c>
      <c r="L3370" s="4">
        <f t="shared" si="2"/>
        <v>3.48628862</v>
      </c>
    </row>
    <row r="3371">
      <c r="A3371" s="3" t="s">
        <v>46</v>
      </c>
      <c r="B3371" s="3">
        <v>0.98</v>
      </c>
      <c r="C3371" s="3">
        <v>0.97</v>
      </c>
      <c r="D3371" s="3">
        <v>24.4</v>
      </c>
      <c r="E3371" s="3">
        <v>3.29</v>
      </c>
      <c r="F3371" s="3">
        <v>13.1</v>
      </c>
      <c r="G3371" s="3">
        <v>4.46</v>
      </c>
      <c r="H3371" s="3">
        <v>0.0</v>
      </c>
      <c r="I3371" s="3">
        <v>1.08</v>
      </c>
      <c r="J3371" s="3">
        <v>0.0</v>
      </c>
      <c r="K3371" s="4">
        <f t="shared" si="1"/>
        <v>191.5016</v>
      </c>
      <c r="L3371" s="4">
        <f t="shared" si="2"/>
        <v>3.108903529</v>
      </c>
    </row>
    <row r="3372">
      <c r="A3372" s="3" t="s">
        <v>46</v>
      </c>
      <c r="B3372" s="3">
        <v>0.98</v>
      </c>
      <c r="C3372" s="3">
        <v>1.04</v>
      </c>
      <c r="D3372" s="3">
        <v>25.3</v>
      </c>
      <c r="E3372" s="3">
        <v>2.78</v>
      </c>
      <c r="F3372" s="3">
        <v>13.71</v>
      </c>
      <c r="G3372" s="3">
        <v>4.57</v>
      </c>
      <c r="H3372" s="3">
        <v>0.0</v>
      </c>
      <c r="I3372" s="3">
        <v>0.99</v>
      </c>
      <c r="J3372" s="3">
        <v>0.0</v>
      </c>
      <c r="K3372" s="4">
        <f t="shared" si="1"/>
        <v>208.849</v>
      </c>
      <c r="L3372" s="4">
        <f t="shared" si="2"/>
        <v>3.064845893</v>
      </c>
    </row>
    <row r="3373">
      <c r="A3373" s="3" t="s">
        <v>46</v>
      </c>
      <c r="B3373" s="3">
        <v>0.98</v>
      </c>
      <c r="C3373" s="3">
        <v>1.11</v>
      </c>
      <c r="D3373" s="3">
        <v>25.4</v>
      </c>
      <c r="E3373" s="3">
        <v>2.78</v>
      </c>
      <c r="F3373" s="3">
        <v>14.22</v>
      </c>
      <c r="G3373" s="3">
        <v>4.69</v>
      </c>
      <c r="H3373" s="3">
        <v>0.0</v>
      </c>
      <c r="I3373" s="3">
        <v>0.91</v>
      </c>
      <c r="J3373" s="3">
        <v>0.0</v>
      </c>
      <c r="K3373" s="4">
        <f t="shared" si="1"/>
        <v>224.2045</v>
      </c>
      <c r="L3373" s="4">
        <f t="shared" si="2"/>
        <v>2.877551521</v>
      </c>
    </row>
    <row r="3374">
      <c r="A3374" s="3" t="s">
        <v>46</v>
      </c>
      <c r="B3374" s="3">
        <v>0.98</v>
      </c>
      <c r="C3374" s="3">
        <v>1.19</v>
      </c>
      <c r="D3374" s="3">
        <v>25.9</v>
      </c>
      <c r="E3374" s="3">
        <v>2.73</v>
      </c>
      <c r="F3374" s="3">
        <v>14.63</v>
      </c>
      <c r="G3374" s="3">
        <v>4.81</v>
      </c>
      <c r="H3374" s="3">
        <v>0.0</v>
      </c>
      <c r="I3374" s="3">
        <v>0.83</v>
      </c>
      <c r="J3374" s="3">
        <v>0.0</v>
      </c>
      <c r="K3374" s="4">
        <f t="shared" si="1"/>
        <v>237.173</v>
      </c>
      <c r="L3374" s="4">
        <f t="shared" si="2"/>
        <v>2.828357359</v>
      </c>
    </row>
    <row r="3375">
      <c r="A3375" s="3" t="s">
        <v>46</v>
      </c>
      <c r="B3375" s="3">
        <v>0.98</v>
      </c>
      <c r="C3375" s="3">
        <v>1.26</v>
      </c>
      <c r="D3375" s="3">
        <v>26.7</v>
      </c>
      <c r="E3375" s="3">
        <v>2.67</v>
      </c>
      <c r="F3375" s="3">
        <v>14.83</v>
      </c>
      <c r="G3375" s="3">
        <v>4.88</v>
      </c>
      <c r="H3375" s="3">
        <v>0.0</v>
      </c>
      <c r="I3375" s="3">
        <v>0.76</v>
      </c>
      <c r="J3375" s="3">
        <v>0.0</v>
      </c>
      <c r="K3375" s="4">
        <f t="shared" si="1"/>
        <v>243.7433</v>
      </c>
      <c r="L3375" s="4">
        <f t="shared" si="2"/>
        <v>2.924757316</v>
      </c>
    </row>
    <row r="3376">
      <c r="A3376" s="3" t="s">
        <v>46</v>
      </c>
      <c r="B3376" s="3">
        <v>0.98</v>
      </c>
      <c r="C3376" s="3">
        <v>1.33</v>
      </c>
      <c r="D3376" s="3">
        <v>27.1</v>
      </c>
      <c r="E3376" s="3">
        <v>3.16</v>
      </c>
      <c r="F3376" s="3">
        <v>15.03</v>
      </c>
      <c r="G3376" s="3">
        <v>4.95</v>
      </c>
      <c r="H3376" s="3">
        <v>0.0</v>
      </c>
      <c r="I3376" s="3">
        <v>0.7</v>
      </c>
      <c r="J3376" s="3">
        <v>0.0</v>
      </c>
      <c r="K3376" s="4">
        <f t="shared" si="1"/>
        <v>250.4034</v>
      </c>
      <c r="L3376" s="4">
        <f t="shared" si="2"/>
        <v>2.932907461</v>
      </c>
    </row>
    <row r="3377">
      <c r="A3377" s="3" t="s">
        <v>46</v>
      </c>
      <c r="B3377" s="3">
        <v>0.98</v>
      </c>
      <c r="C3377" s="3">
        <v>1.4</v>
      </c>
      <c r="D3377" s="3">
        <v>28.6</v>
      </c>
      <c r="E3377" s="3">
        <v>3.34</v>
      </c>
      <c r="F3377" s="3">
        <v>15.13</v>
      </c>
      <c r="G3377" s="3">
        <v>5.03</v>
      </c>
      <c r="H3377" s="3">
        <v>0.0</v>
      </c>
      <c r="I3377" s="3">
        <v>0.64</v>
      </c>
      <c r="J3377" s="3">
        <v>0.0</v>
      </c>
      <c r="K3377" s="4">
        <f t="shared" si="1"/>
        <v>254.2178</v>
      </c>
      <c r="L3377" s="4">
        <f t="shared" si="2"/>
        <v>3.21755597</v>
      </c>
    </row>
    <row r="3378">
      <c r="A3378" s="3" t="s">
        <v>46</v>
      </c>
      <c r="B3378" s="3">
        <v>0.98</v>
      </c>
      <c r="C3378" s="3">
        <v>1.48</v>
      </c>
      <c r="D3378" s="3">
        <v>28.9</v>
      </c>
      <c r="E3378" s="3">
        <v>3.21</v>
      </c>
      <c r="F3378" s="3">
        <v>15.24</v>
      </c>
      <c r="G3378" s="3">
        <v>5.09</v>
      </c>
      <c r="H3378" s="3">
        <v>0.0</v>
      </c>
      <c r="I3378" s="3">
        <v>0.58</v>
      </c>
      <c r="J3378" s="3">
        <v>0.0</v>
      </c>
      <c r="K3378" s="4">
        <f t="shared" si="1"/>
        <v>258.1657</v>
      </c>
      <c r="L3378" s="4">
        <f t="shared" si="2"/>
        <v>3.23517028</v>
      </c>
    </row>
    <row r="3379">
      <c r="A3379" s="3" t="s">
        <v>46</v>
      </c>
      <c r="B3379" s="3">
        <v>0.98</v>
      </c>
      <c r="C3379" s="3">
        <v>1.55</v>
      </c>
      <c r="D3379" s="3">
        <v>30.4</v>
      </c>
      <c r="E3379" s="3">
        <v>4.14</v>
      </c>
      <c r="F3379" s="3">
        <v>15.34</v>
      </c>
      <c r="G3379" s="3">
        <v>5.13</v>
      </c>
      <c r="H3379" s="3">
        <v>0.0</v>
      </c>
      <c r="I3379" s="3">
        <v>0.54</v>
      </c>
      <c r="J3379" s="3">
        <v>0.0</v>
      </c>
      <c r="K3379" s="4">
        <f t="shared" si="1"/>
        <v>261.6325</v>
      </c>
      <c r="L3379" s="4">
        <f t="shared" si="2"/>
        <v>3.532282878</v>
      </c>
    </row>
    <row r="3380">
      <c r="A3380" s="3" t="s">
        <v>46</v>
      </c>
      <c r="B3380" s="3">
        <v>0.98</v>
      </c>
      <c r="C3380" s="3">
        <v>1.62</v>
      </c>
      <c r="D3380" s="3">
        <v>30.8</v>
      </c>
      <c r="E3380" s="3">
        <v>4.35</v>
      </c>
      <c r="F3380" s="3">
        <v>15.54</v>
      </c>
      <c r="G3380" s="3">
        <v>5.17</v>
      </c>
      <c r="H3380" s="3">
        <v>0.0</v>
      </c>
      <c r="I3380" s="3">
        <v>0.49</v>
      </c>
      <c r="J3380" s="3">
        <v>0.0</v>
      </c>
      <c r="K3380" s="4">
        <f t="shared" si="1"/>
        <v>268.2205</v>
      </c>
      <c r="L3380" s="4">
        <f t="shared" si="2"/>
        <v>3.536791558</v>
      </c>
    </row>
    <row r="3381">
      <c r="A3381" s="3" t="s">
        <v>46</v>
      </c>
      <c r="B3381" s="3">
        <v>0.98</v>
      </c>
      <c r="C3381" s="3">
        <v>1.69</v>
      </c>
      <c r="D3381" s="3">
        <v>30.5</v>
      </c>
      <c r="E3381" s="3">
        <v>4.56</v>
      </c>
      <c r="F3381" s="3">
        <v>15.54</v>
      </c>
      <c r="G3381" s="3">
        <v>5.21</v>
      </c>
      <c r="H3381" s="3">
        <v>0.0</v>
      </c>
      <c r="I3381" s="3">
        <v>0.45</v>
      </c>
      <c r="J3381" s="3">
        <v>0.0</v>
      </c>
      <c r="K3381" s="4">
        <f t="shared" si="1"/>
        <v>268.6357</v>
      </c>
      <c r="L3381" s="4">
        <f t="shared" si="2"/>
        <v>3.462868115</v>
      </c>
    </row>
    <row r="3382">
      <c r="A3382" s="3" t="s">
        <v>46</v>
      </c>
      <c r="B3382" s="3">
        <v>0.98</v>
      </c>
      <c r="C3382" s="3">
        <v>1.75</v>
      </c>
      <c r="D3382" s="3">
        <v>33.0</v>
      </c>
      <c r="E3382" s="3">
        <v>4.04</v>
      </c>
      <c r="F3382" s="3">
        <v>15.54</v>
      </c>
      <c r="G3382" s="3">
        <v>5.22</v>
      </c>
      <c r="H3382" s="3">
        <v>0.0</v>
      </c>
      <c r="I3382" s="3">
        <v>0.42</v>
      </c>
      <c r="J3382" s="3">
        <v>0.0</v>
      </c>
      <c r="K3382" s="4">
        <f t="shared" si="1"/>
        <v>268.74</v>
      </c>
      <c r="L3382" s="4">
        <f t="shared" si="2"/>
        <v>4.052243804</v>
      </c>
    </row>
    <row r="3383">
      <c r="A3383" s="3" t="s">
        <v>46</v>
      </c>
      <c r="B3383" s="3">
        <v>0.98</v>
      </c>
      <c r="C3383" s="3">
        <v>1.83</v>
      </c>
      <c r="D3383" s="3">
        <v>32.1</v>
      </c>
      <c r="E3383" s="3">
        <v>4.35</v>
      </c>
      <c r="F3383" s="3">
        <v>15.64</v>
      </c>
      <c r="G3383" s="3">
        <v>5.25</v>
      </c>
      <c r="H3383" s="3">
        <v>0.0</v>
      </c>
      <c r="I3383" s="3">
        <v>0.38</v>
      </c>
      <c r="J3383" s="3">
        <v>0.0</v>
      </c>
      <c r="K3383" s="4">
        <f t="shared" si="1"/>
        <v>272.1721</v>
      </c>
      <c r="L3383" s="4">
        <f t="shared" si="2"/>
        <v>3.785876657</v>
      </c>
    </row>
    <row r="3384">
      <c r="A3384" s="3" t="s">
        <v>46</v>
      </c>
      <c r="B3384" s="3">
        <v>0.98</v>
      </c>
      <c r="C3384" s="3">
        <v>1.9</v>
      </c>
      <c r="D3384" s="3">
        <v>32.9</v>
      </c>
      <c r="E3384" s="3">
        <v>4.36</v>
      </c>
      <c r="F3384" s="3">
        <v>15.64</v>
      </c>
      <c r="G3384" s="3">
        <v>5.28</v>
      </c>
      <c r="H3384" s="3">
        <v>0.0</v>
      </c>
      <c r="I3384" s="3">
        <v>0.35</v>
      </c>
      <c r="J3384" s="3">
        <v>0.0</v>
      </c>
      <c r="K3384" s="4">
        <f t="shared" si="1"/>
        <v>272.488</v>
      </c>
      <c r="L3384" s="4">
        <f t="shared" si="2"/>
        <v>3.972321717</v>
      </c>
    </row>
    <row r="3385">
      <c r="A3385" s="3" t="s">
        <v>46</v>
      </c>
      <c r="B3385" s="3">
        <v>0.98</v>
      </c>
      <c r="C3385" s="3">
        <v>1.97</v>
      </c>
      <c r="D3385" s="3">
        <v>34.2</v>
      </c>
      <c r="E3385" s="3">
        <v>4.9</v>
      </c>
      <c r="F3385" s="3">
        <v>15.64</v>
      </c>
      <c r="G3385" s="3">
        <v>5.3</v>
      </c>
      <c r="H3385" s="3">
        <v>0.0</v>
      </c>
      <c r="I3385" s="3">
        <v>0.32</v>
      </c>
      <c r="J3385" s="3">
        <v>0.0</v>
      </c>
      <c r="K3385" s="4">
        <f t="shared" si="1"/>
        <v>272.6996</v>
      </c>
      <c r="L3385" s="4">
        <f t="shared" si="2"/>
        <v>4.289115202</v>
      </c>
    </row>
    <row r="3386">
      <c r="A3386" s="3" t="s">
        <v>46</v>
      </c>
      <c r="B3386" s="3">
        <v>0.98</v>
      </c>
      <c r="C3386" s="3">
        <v>2.04</v>
      </c>
      <c r="D3386" s="3">
        <v>32.6</v>
      </c>
      <c r="E3386" s="3">
        <v>3.98</v>
      </c>
      <c r="F3386" s="3">
        <v>15.64</v>
      </c>
      <c r="G3386" s="3">
        <v>5.31</v>
      </c>
      <c r="H3386" s="3">
        <v>0.0</v>
      </c>
      <c r="I3386" s="3">
        <v>0.3</v>
      </c>
      <c r="J3386" s="3">
        <v>0.0</v>
      </c>
      <c r="K3386" s="4">
        <f t="shared" si="1"/>
        <v>272.8057</v>
      </c>
      <c r="L3386" s="4">
        <f t="shared" si="2"/>
        <v>3.895666403</v>
      </c>
    </row>
    <row r="3387">
      <c r="A3387" s="3" t="s">
        <v>46</v>
      </c>
      <c r="B3387" s="3">
        <v>0.98</v>
      </c>
      <c r="C3387" s="3">
        <v>2.11</v>
      </c>
      <c r="D3387" s="3">
        <v>33.7</v>
      </c>
      <c r="E3387" s="3">
        <v>4.73</v>
      </c>
      <c r="F3387" s="3">
        <v>15.74</v>
      </c>
      <c r="G3387" s="3">
        <v>5.33</v>
      </c>
      <c r="H3387" s="3">
        <v>0.0</v>
      </c>
      <c r="I3387" s="3">
        <v>0.27</v>
      </c>
      <c r="J3387" s="3">
        <v>0.0</v>
      </c>
      <c r="K3387" s="4">
        <f t="shared" si="1"/>
        <v>276.1565</v>
      </c>
      <c r="L3387" s="4">
        <f t="shared" si="2"/>
        <v>4.112486941</v>
      </c>
    </row>
    <row r="3388">
      <c r="A3388" s="3" t="s">
        <v>46</v>
      </c>
      <c r="B3388" s="3">
        <v>0.98</v>
      </c>
      <c r="C3388" s="3">
        <v>2.19</v>
      </c>
      <c r="D3388" s="3">
        <v>33.8</v>
      </c>
      <c r="E3388" s="3">
        <v>4.67</v>
      </c>
      <c r="F3388" s="3">
        <v>15.64</v>
      </c>
      <c r="G3388" s="3">
        <v>5.35</v>
      </c>
      <c r="H3388" s="3">
        <v>0.0</v>
      </c>
      <c r="I3388" s="3">
        <v>0.25</v>
      </c>
      <c r="J3388" s="3">
        <v>0.0</v>
      </c>
      <c r="K3388" s="4">
        <f t="shared" si="1"/>
        <v>273.2321</v>
      </c>
      <c r="L3388" s="4">
        <f t="shared" si="2"/>
        <v>4.181207113</v>
      </c>
    </row>
    <row r="3389">
      <c r="A3389" s="3" t="s">
        <v>46</v>
      </c>
      <c r="B3389" s="3">
        <v>0.98</v>
      </c>
      <c r="C3389" s="3">
        <v>2.26</v>
      </c>
      <c r="D3389" s="3">
        <v>34.9</v>
      </c>
      <c r="E3389" s="3">
        <v>3.74</v>
      </c>
      <c r="F3389" s="3">
        <v>15.64</v>
      </c>
      <c r="G3389" s="3">
        <v>5.36</v>
      </c>
      <c r="H3389" s="3">
        <v>0.0</v>
      </c>
      <c r="I3389" s="3">
        <v>0.23</v>
      </c>
      <c r="J3389" s="3">
        <v>0.0</v>
      </c>
      <c r="K3389" s="4">
        <f t="shared" si="1"/>
        <v>273.3392</v>
      </c>
      <c r="L3389" s="4">
        <f t="shared" si="2"/>
        <v>4.456038505</v>
      </c>
    </row>
    <row r="3390">
      <c r="A3390" s="3" t="s">
        <v>46</v>
      </c>
      <c r="B3390" s="3">
        <v>0.98</v>
      </c>
      <c r="C3390" s="3">
        <v>2.33</v>
      </c>
      <c r="D3390" s="3">
        <v>36.1</v>
      </c>
      <c r="E3390" s="3">
        <v>5.47</v>
      </c>
      <c r="F3390" s="3">
        <v>15.64</v>
      </c>
      <c r="G3390" s="3">
        <v>5.39</v>
      </c>
      <c r="H3390" s="3">
        <v>0.0</v>
      </c>
      <c r="I3390" s="3">
        <v>0.21</v>
      </c>
      <c r="J3390" s="3">
        <v>0.0</v>
      </c>
      <c r="K3390" s="4">
        <f t="shared" si="1"/>
        <v>273.6617</v>
      </c>
      <c r="L3390" s="4">
        <f t="shared" si="2"/>
        <v>4.762120531</v>
      </c>
    </row>
    <row r="3391">
      <c r="A3391" s="3" t="s">
        <v>46</v>
      </c>
      <c r="B3391" s="3">
        <v>0.98</v>
      </c>
      <c r="C3391" s="3">
        <v>2.4</v>
      </c>
      <c r="D3391" s="3">
        <v>37.2</v>
      </c>
      <c r="E3391" s="3">
        <v>5.39</v>
      </c>
      <c r="F3391" s="3">
        <v>15.24</v>
      </c>
      <c r="G3391" s="3">
        <v>5.42</v>
      </c>
      <c r="H3391" s="3">
        <v>0.0</v>
      </c>
      <c r="I3391" s="3">
        <v>0.19</v>
      </c>
      <c r="J3391" s="3">
        <v>0.0</v>
      </c>
      <c r="K3391" s="4">
        <f t="shared" si="1"/>
        <v>261.634</v>
      </c>
      <c r="L3391" s="4">
        <f t="shared" si="2"/>
        <v>5.28922082</v>
      </c>
    </row>
    <row r="3392">
      <c r="A3392" s="3" t="s">
        <v>46</v>
      </c>
      <c r="B3392" s="3">
        <v>0.98</v>
      </c>
      <c r="C3392" s="3">
        <v>2.48</v>
      </c>
      <c r="D3392" s="3">
        <v>37.6</v>
      </c>
      <c r="E3392" s="3">
        <v>7.1</v>
      </c>
      <c r="F3392" s="3">
        <v>14.73</v>
      </c>
      <c r="G3392" s="3">
        <v>5.5</v>
      </c>
      <c r="H3392" s="3">
        <v>0.0</v>
      </c>
      <c r="I3392" s="3">
        <v>0.17</v>
      </c>
      <c r="J3392" s="3">
        <v>0.0</v>
      </c>
      <c r="K3392" s="4">
        <f t="shared" si="1"/>
        <v>247.2229</v>
      </c>
      <c r="L3392" s="4">
        <f t="shared" si="2"/>
        <v>5.718564097</v>
      </c>
    </row>
    <row r="3393">
      <c r="A3393" s="3" t="s">
        <v>46</v>
      </c>
      <c r="B3393" s="3">
        <v>0.98</v>
      </c>
      <c r="C3393" s="3">
        <v>2.55</v>
      </c>
      <c r="D3393" s="3">
        <v>35.6</v>
      </c>
      <c r="E3393" s="3">
        <v>4.73</v>
      </c>
      <c r="F3393" s="3">
        <v>14.22</v>
      </c>
      <c r="G3393" s="3">
        <v>5.46</v>
      </c>
      <c r="H3393" s="3">
        <v>0.0</v>
      </c>
      <c r="I3393" s="3">
        <v>0.0</v>
      </c>
      <c r="J3393" s="3">
        <v>0.0</v>
      </c>
      <c r="K3393" s="4">
        <f t="shared" si="1"/>
        <v>232.02</v>
      </c>
      <c r="L3393" s="4">
        <f t="shared" si="2"/>
        <v>5.462287734</v>
      </c>
    </row>
    <row r="3394">
      <c r="A3394" s="3" t="s">
        <v>46</v>
      </c>
      <c r="B3394" s="3">
        <v>0.98</v>
      </c>
      <c r="C3394" s="3">
        <v>2.62</v>
      </c>
      <c r="D3394" s="3">
        <v>38.3</v>
      </c>
      <c r="E3394" s="3">
        <v>7.78</v>
      </c>
      <c r="F3394" s="3">
        <v>13.81</v>
      </c>
      <c r="G3394" s="3">
        <v>5.25</v>
      </c>
      <c r="H3394" s="3">
        <v>0.0</v>
      </c>
      <c r="I3394" s="3">
        <v>0.0</v>
      </c>
      <c r="J3394" s="3">
        <v>0.0</v>
      </c>
      <c r="K3394" s="4">
        <f t="shared" si="1"/>
        <v>218.2786</v>
      </c>
      <c r="L3394" s="4">
        <f t="shared" si="2"/>
        <v>6.720264836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IFERROR(__xludf.DUMMYFUNCTION("FILTER(Table2!A:Z, COUNTIF(Table1!A2:A47, Table2!A:A))"),"CamB")</f>
        <v>CamB</v>
      </c>
      <c r="B1" s="4">
        <f>IFERROR(__xludf.DUMMYFUNCTION("""COMPUTED_VALUE"""),3.36)</f>
        <v>3.36</v>
      </c>
      <c r="C1" s="4">
        <f>IFERROR(__xludf.DUMMYFUNCTION("""COMPUTED_VALUE"""),0.16)</f>
        <v>0.16</v>
      </c>
      <c r="D1" s="4">
        <f>IFERROR(__xludf.DUMMYFUNCTION("""COMPUTED_VALUE"""),1.99)</f>
        <v>1.99</v>
      </c>
      <c r="E1" s="4">
        <f>IFERROR(__xludf.DUMMYFUNCTION("""COMPUTED_VALUE"""),1.5)</f>
        <v>1.5</v>
      </c>
      <c r="F1" s="4">
        <f>IFERROR(__xludf.DUMMYFUNCTION("""COMPUTED_VALUE"""),1.86)</f>
        <v>1.86</v>
      </c>
      <c r="G1" s="4">
        <f>IFERROR(__xludf.DUMMYFUNCTION("""COMPUTED_VALUE"""),3.75)</f>
        <v>3.75</v>
      </c>
      <c r="H1" s="4">
        <f>IFERROR(__xludf.DUMMYFUNCTION("""COMPUTED_VALUE"""),0.0)</f>
        <v>0</v>
      </c>
      <c r="I1" s="4">
        <f>IFERROR(__xludf.DUMMYFUNCTION("""COMPUTED_VALUE"""),30.32)</f>
        <v>30.32</v>
      </c>
      <c r="J1" s="4">
        <f>IFERROR(__xludf.DUMMYFUNCTION("""COMPUTED_VALUE"""),0.0)</f>
        <v>0</v>
      </c>
      <c r="K1" s="4">
        <f>IFERROR(__xludf.DUMMYFUNCTION("""COMPUTED_VALUE"""),17.522100000000002)</f>
        <v>17.5221</v>
      </c>
      <c r="L1" s="4">
        <f>IFERROR(__xludf.DUMMYFUNCTION("""COMPUTED_VALUE"""),0.22600601526072786)</f>
        <v>0.2260060153</v>
      </c>
    </row>
    <row r="2">
      <c r="A2" s="4" t="str">
        <f>IFERROR(__xludf.DUMMYFUNCTION("""COMPUTED_VALUE"""),"CamB")</f>
        <v>CamB</v>
      </c>
      <c r="B2" s="4">
        <f>IFERROR(__xludf.DUMMYFUNCTION("""COMPUTED_VALUE"""),3.36)</f>
        <v>3.36</v>
      </c>
      <c r="C2" s="4">
        <f>IFERROR(__xludf.DUMMYFUNCTION("""COMPUTED_VALUE"""),0.41)</f>
        <v>0.41</v>
      </c>
      <c r="D2" s="4">
        <f>IFERROR(__xludf.DUMMYFUNCTION("""COMPUTED_VALUE"""),4.84)</f>
        <v>4.84</v>
      </c>
      <c r="E2" s="4">
        <f>IFERROR(__xludf.DUMMYFUNCTION("""COMPUTED_VALUE"""),1.5)</f>
        <v>1.5</v>
      </c>
      <c r="F2" s="4">
        <f>IFERROR(__xludf.DUMMYFUNCTION("""COMPUTED_VALUE"""),4.24)</f>
        <v>4.24</v>
      </c>
      <c r="G2" s="4">
        <f>IFERROR(__xludf.DUMMYFUNCTION("""COMPUTED_VALUE"""),9.47)</f>
        <v>9.47</v>
      </c>
      <c r="H2" s="4">
        <f>IFERROR(__xludf.DUMMYFUNCTION("""COMPUTED_VALUE"""),0.0)</f>
        <v>0</v>
      </c>
      <c r="I2" s="4">
        <f>IFERROR(__xludf.DUMMYFUNCTION("""COMPUTED_VALUE"""),23.77)</f>
        <v>23.77</v>
      </c>
      <c r="J2" s="4">
        <f>IFERROR(__xludf.DUMMYFUNCTION("""COMPUTED_VALUE"""),0.0)</f>
        <v>0</v>
      </c>
      <c r="K2" s="4">
        <f>IFERROR(__xludf.DUMMYFUNCTION("""COMPUTED_VALUE"""),107.6585)</f>
        <v>107.6585</v>
      </c>
      <c r="L2" s="4">
        <f>IFERROR(__xludf.DUMMYFUNCTION("""COMPUTED_VALUE"""),0.21759173683452768)</f>
        <v>0.2175917368</v>
      </c>
    </row>
    <row r="3">
      <c r="A3" s="4" t="str">
        <f>IFERROR(__xludf.DUMMYFUNCTION("""COMPUTED_VALUE"""),"CamB")</f>
        <v>CamB</v>
      </c>
      <c r="B3" s="4">
        <f>IFERROR(__xludf.DUMMYFUNCTION("""COMPUTED_VALUE"""),3.36)</f>
        <v>3.36</v>
      </c>
      <c r="C3" s="4">
        <f>IFERROR(__xludf.DUMMYFUNCTION("""COMPUTED_VALUE"""),0.57)</f>
        <v>0.57</v>
      </c>
      <c r="D3" s="4">
        <f>IFERROR(__xludf.DUMMYFUNCTION("""COMPUTED_VALUE"""),6.79)</f>
        <v>6.79</v>
      </c>
      <c r="E3" s="4">
        <f>IFERROR(__xludf.DUMMYFUNCTION("""COMPUTED_VALUE"""),1.5)</f>
        <v>1.5</v>
      </c>
      <c r="F3" s="4">
        <f>IFERROR(__xludf.DUMMYFUNCTION("""COMPUTED_VALUE"""),5.61)</f>
        <v>5.61</v>
      </c>
      <c r="G3" s="4">
        <f>IFERROR(__xludf.DUMMYFUNCTION("""COMPUTED_VALUE"""),11.76)</f>
        <v>11.76</v>
      </c>
      <c r="H3" s="4">
        <f>IFERROR(__xludf.DUMMYFUNCTION("""COMPUTED_VALUE"""),0.0)</f>
        <v>0</v>
      </c>
      <c r="I3" s="4">
        <f>IFERROR(__xludf.DUMMYFUNCTION("""COMPUTED_VALUE"""),15.87)</f>
        <v>15.87</v>
      </c>
      <c r="J3" s="4">
        <f>IFERROR(__xludf.DUMMYFUNCTION("""COMPUTED_VALUE"""),0.0)</f>
        <v>0</v>
      </c>
      <c r="K3" s="4">
        <f>IFERROR(__xludf.DUMMYFUNCTION("""COMPUTED_VALUE"""),169.7697)</f>
        <v>169.7697</v>
      </c>
      <c r="L3" s="4">
        <f>IFERROR(__xludf.DUMMYFUNCTION("""COMPUTED_VALUE"""),0.2715684836575667)</f>
        <v>0.2715684837</v>
      </c>
    </row>
    <row r="4">
      <c r="A4" s="4" t="str">
        <f>IFERROR(__xludf.DUMMYFUNCTION("""COMPUTED_VALUE"""),"CamB")</f>
        <v>CamB</v>
      </c>
      <c r="B4" s="4">
        <f>IFERROR(__xludf.DUMMYFUNCTION("""COMPUTED_VALUE"""),3.36)</f>
        <v>3.36</v>
      </c>
      <c r="C4" s="4">
        <f>IFERROR(__xludf.DUMMYFUNCTION("""COMPUTED_VALUE"""),0.73)</f>
        <v>0.73</v>
      </c>
      <c r="D4" s="4">
        <f>IFERROR(__xludf.DUMMYFUNCTION("""COMPUTED_VALUE"""),8.87)</f>
        <v>8.87</v>
      </c>
      <c r="E4" s="4">
        <f>IFERROR(__xludf.DUMMYFUNCTION("""COMPUTED_VALUE"""),1.5)</f>
        <v>1.5</v>
      </c>
      <c r="F4" s="4">
        <f>IFERROR(__xludf.DUMMYFUNCTION("""COMPUTED_VALUE"""),6.77)</f>
        <v>6.77</v>
      </c>
      <c r="G4" s="4">
        <f>IFERROR(__xludf.DUMMYFUNCTION("""COMPUTED_VALUE"""),13.72)</f>
        <v>13.72</v>
      </c>
      <c r="H4" s="4">
        <f>IFERROR(__xludf.DUMMYFUNCTION("""COMPUTED_VALUE"""),0.0)</f>
        <v>0</v>
      </c>
      <c r="I4" s="4">
        <f>IFERROR(__xludf.DUMMYFUNCTION("""COMPUTED_VALUE"""),12.4)</f>
        <v>12.4</v>
      </c>
      <c r="J4" s="4">
        <f>IFERROR(__xludf.DUMMYFUNCTION("""COMPUTED_VALUE"""),0.0)</f>
        <v>0</v>
      </c>
      <c r="K4" s="4">
        <f>IFERROR(__xludf.DUMMYFUNCTION("""COMPUTED_VALUE"""),234.0713)</f>
        <v>234.0713</v>
      </c>
      <c r="L4" s="4">
        <f>IFERROR(__xludf.DUMMYFUNCTION("""COMPUTED_VALUE"""),0.3361236512122588)</f>
        <v>0.3361236512</v>
      </c>
    </row>
    <row r="5">
      <c r="A5" s="4" t="str">
        <f>IFERROR(__xludf.DUMMYFUNCTION("""COMPUTED_VALUE"""),"CamB")</f>
        <v>CamB</v>
      </c>
      <c r="B5" s="4">
        <f>IFERROR(__xludf.DUMMYFUNCTION("""COMPUTED_VALUE"""),3.36)</f>
        <v>3.36</v>
      </c>
      <c r="C5" s="4">
        <f>IFERROR(__xludf.DUMMYFUNCTION("""COMPUTED_VALUE"""),0.9)</f>
        <v>0.9</v>
      </c>
      <c r="D5" s="4">
        <f>IFERROR(__xludf.DUMMYFUNCTION("""COMPUTED_VALUE"""),10.9)</f>
        <v>10.9</v>
      </c>
      <c r="E5" s="4">
        <f>IFERROR(__xludf.DUMMYFUNCTION("""COMPUTED_VALUE"""),1.5)</f>
        <v>1.5</v>
      </c>
      <c r="F5" s="4">
        <f>IFERROR(__xludf.DUMMYFUNCTION("""COMPUTED_VALUE"""),7.77)</f>
        <v>7.77</v>
      </c>
      <c r="G5" s="4">
        <f>IFERROR(__xludf.DUMMYFUNCTION("""COMPUTED_VALUE"""),14.8)</f>
        <v>14.8</v>
      </c>
      <c r="H5" s="4">
        <f>IFERROR(__xludf.DUMMYFUNCTION("""COMPUTED_VALUE"""),0.0)</f>
        <v>0</v>
      </c>
      <c r="I5" s="4">
        <f>IFERROR(__xludf.DUMMYFUNCTION("""COMPUTED_VALUE"""),9.63)</f>
        <v>9.63</v>
      </c>
      <c r="J5" s="4">
        <f>IFERROR(__xludf.DUMMYFUNCTION("""COMPUTED_VALUE"""),0.0)</f>
        <v>0</v>
      </c>
      <c r="K5" s="4">
        <f>IFERROR(__xludf.DUMMYFUNCTION("""COMPUTED_VALUE"""),279.41290000000004)</f>
        <v>279.4129</v>
      </c>
      <c r="L5" s="4">
        <f>IFERROR(__xludf.DUMMYFUNCTION("""COMPUTED_VALUE"""),0.4252130091345102)</f>
        <v>0.4252130091</v>
      </c>
    </row>
    <row r="6">
      <c r="A6" s="4" t="str">
        <f>IFERROR(__xludf.DUMMYFUNCTION("""COMPUTED_VALUE"""),"CamB")</f>
        <v>CamB</v>
      </c>
      <c r="B6" s="4">
        <f>IFERROR(__xludf.DUMMYFUNCTION("""COMPUTED_VALUE"""),3.36)</f>
        <v>3.36</v>
      </c>
      <c r="C6" s="4">
        <f>IFERROR(__xludf.DUMMYFUNCTION("""COMPUTED_VALUE"""),1.06)</f>
        <v>1.06</v>
      </c>
      <c r="D6" s="4">
        <f>IFERROR(__xludf.DUMMYFUNCTION("""COMPUTED_VALUE"""),12.9)</f>
        <v>12.9</v>
      </c>
      <c r="E6" s="4">
        <f>IFERROR(__xludf.DUMMYFUNCTION("""COMPUTED_VALUE"""),1.5)</f>
        <v>1.5</v>
      </c>
      <c r="F6" s="4">
        <f>IFERROR(__xludf.DUMMYFUNCTION("""COMPUTED_VALUE"""),8.44)</f>
        <v>8.44</v>
      </c>
      <c r="G6" s="4">
        <f>IFERROR(__xludf.DUMMYFUNCTION("""COMPUTED_VALUE"""),15.24)</f>
        <v>15.24</v>
      </c>
      <c r="H6" s="4">
        <f>IFERROR(__xludf.DUMMYFUNCTION("""COMPUTED_VALUE"""),0.0)</f>
        <v>0</v>
      </c>
      <c r="I6" s="4">
        <f>IFERROR(__xludf.DUMMYFUNCTION("""COMPUTED_VALUE"""),5.86)</f>
        <v>5.86</v>
      </c>
      <c r="J6" s="4">
        <f>IFERROR(__xludf.DUMMYFUNCTION("""COMPUTED_VALUE"""),0.0)</f>
        <v>0</v>
      </c>
      <c r="K6" s="4">
        <f>IFERROR(__xludf.DUMMYFUNCTION("""COMPUTED_VALUE"""),303.4912)</f>
        <v>303.4912</v>
      </c>
      <c r="L6" s="4">
        <f>IFERROR(__xludf.DUMMYFUNCTION("""COMPUTED_VALUE"""),0.5483190286901235)</f>
        <v>0.5483190287</v>
      </c>
    </row>
    <row r="7">
      <c r="A7" s="4" t="str">
        <f>IFERROR(__xludf.DUMMYFUNCTION("""COMPUTED_VALUE"""),"CamB")</f>
        <v>CamB</v>
      </c>
      <c r="B7" s="4">
        <f>IFERROR(__xludf.DUMMYFUNCTION("""COMPUTED_VALUE"""),3.36)</f>
        <v>3.36</v>
      </c>
      <c r="C7" s="4">
        <f>IFERROR(__xludf.DUMMYFUNCTION("""COMPUTED_VALUE"""),1.22)</f>
        <v>1.22</v>
      </c>
      <c r="D7" s="4">
        <f>IFERROR(__xludf.DUMMYFUNCTION("""COMPUTED_VALUE"""),14.7)</f>
        <v>14.7</v>
      </c>
      <c r="E7" s="4">
        <f>IFERROR(__xludf.DUMMYFUNCTION("""COMPUTED_VALUE"""),1.5)</f>
        <v>1.5</v>
      </c>
      <c r="F7" s="4">
        <f>IFERROR(__xludf.DUMMYFUNCTION("""COMPUTED_VALUE"""),8.64)</f>
        <v>8.64</v>
      </c>
      <c r="G7" s="4">
        <f>IFERROR(__xludf.DUMMYFUNCTION("""COMPUTED_VALUE"""),15.11)</f>
        <v>15.11</v>
      </c>
      <c r="H7" s="4">
        <f>IFERROR(__xludf.DUMMYFUNCTION("""COMPUTED_VALUE"""),0.0)</f>
        <v>0</v>
      </c>
      <c r="I7" s="4">
        <f>IFERROR(__xludf.DUMMYFUNCTION("""COMPUTED_VALUE"""),5.19)</f>
        <v>5.19</v>
      </c>
      <c r="J7" s="4">
        <f>IFERROR(__xludf.DUMMYFUNCTION("""COMPUTED_VALUE"""),0.0)</f>
        <v>0</v>
      </c>
      <c r="K7" s="4">
        <f>IFERROR(__xludf.DUMMYFUNCTION("""COMPUTED_VALUE"""),302.9617)</f>
        <v>302.9617</v>
      </c>
      <c r="L7" s="4">
        <f>IFERROR(__xludf.DUMMYFUNCTION("""COMPUTED_VALUE"""),0.7132584745860614)</f>
        <v>0.7132584746</v>
      </c>
    </row>
    <row r="8">
      <c r="A8" s="4" t="str">
        <f>IFERROR(__xludf.DUMMYFUNCTION("""COMPUTED_VALUE"""),"CamB")</f>
        <v>CamB</v>
      </c>
      <c r="B8" s="4">
        <f>IFERROR(__xludf.DUMMYFUNCTION("""COMPUTED_VALUE"""),3.36)</f>
        <v>3.36</v>
      </c>
      <c r="C8" s="4">
        <f>IFERROR(__xludf.DUMMYFUNCTION("""COMPUTED_VALUE"""),1.47)</f>
        <v>1.47</v>
      </c>
      <c r="D8" s="4">
        <f>IFERROR(__xludf.DUMMYFUNCTION("""COMPUTED_VALUE"""),16.8)</f>
        <v>16.8</v>
      </c>
      <c r="E8" s="4">
        <f>IFERROR(__xludf.DUMMYFUNCTION("""COMPUTED_VALUE"""),1.5)</f>
        <v>1.5</v>
      </c>
      <c r="F8" s="4">
        <f>IFERROR(__xludf.DUMMYFUNCTION("""COMPUTED_VALUE"""),8.08)</f>
        <v>8.08</v>
      </c>
      <c r="G8" s="4">
        <f>IFERROR(__xludf.DUMMYFUNCTION("""COMPUTED_VALUE"""),15.9)</f>
        <v>15.9</v>
      </c>
      <c r="H8" s="4">
        <f>IFERROR(__xludf.DUMMYFUNCTION("""COMPUTED_VALUE"""),0.0)</f>
        <v>0</v>
      </c>
      <c r="I8" s="4">
        <f>IFERROR(__xludf.DUMMYFUNCTION("""COMPUTED_VALUE"""),3.02)</f>
        <v>3.02</v>
      </c>
      <c r="J8" s="4">
        <f>IFERROR(__xludf.DUMMYFUNCTION("""COMPUTED_VALUE"""),0.0)</f>
        <v>0</v>
      </c>
      <c r="K8" s="4">
        <f>IFERROR(__xludf.DUMMYFUNCTION("""COMPUTED_VALUE"""),318.0964)</f>
        <v>318.0964</v>
      </c>
      <c r="L8" s="4">
        <f>IFERROR(__xludf.DUMMYFUNCTION("""COMPUTED_VALUE"""),0.8872781961694631)</f>
        <v>0.8872781962</v>
      </c>
    </row>
    <row r="9">
      <c r="A9" s="5" t="str">
        <f>IFERROR(__xludf.DUMMYFUNCTION("""COMPUTED_VALUE"""),"CamB")</f>
        <v>CamB</v>
      </c>
      <c r="B9" s="5">
        <f>IFERROR(__xludf.DUMMYFUNCTION("""COMPUTED_VALUE"""),3.36)</f>
        <v>3.36</v>
      </c>
      <c r="C9" s="5">
        <f>IFERROR(__xludf.DUMMYFUNCTION("""COMPUTED_VALUE"""),1.79)</f>
        <v>1.79</v>
      </c>
      <c r="D9" s="5">
        <f>IFERROR(__xludf.DUMMYFUNCTION("""COMPUTED_VALUE"""),20.1)</f>
        <v>20.1</v>
      </c>
      <c r="E9" s="5">
        <f>IFERROR(__xludf.DUMMYFUNCTION("""COMPUTED_VALUE"""),1.5)</f>
        <v>1.5</v>
      </c>
      <c r="F9" s="5">
        <f>IFERROR(__xludf.DUMMYFUNCTION("""COMPUTED_VALUE"""),6.91)</f>
        <v>6.91</v>
      </c>
      <c r="G9" s="5">
        <f>IFERROR(__xludf.DUMMYFUNCTION("""COMPUTED_VALUE"""),14.91)</f>
        <v>14.91</v>
      </c>
      <c r="H9" s="5">
        <f>IFERROR(__xludf.DUMMYFUNCTION("""COMPUTED_VALUE"""),0.0)</f>
        <v>0</v>
      </c>
      <c r="I9" s="5">
        <f>IFERROR(__xludf.DUMMYFUNCTION("""COMPUTED_VALUE"""),0.88)</f>
        <v>0.88</v>
      </c>
      <c r="J9" s="5">
        <f>IFERROR(__xludf.DUMMYFUNCTION("""COMPUTED_VALUE"""),0.0)</f>
        <v>0</v>
      </c>
      <c r="K9" s="5">
        <f>IFERROR(__xludf.DUMMYFUNCTION("""COMPUTED_VALUE"""),270.0562)</f>
        <v>270.0562</v>
      </c>
      <c r="L9" s="5">
        <f>IFERROR(__xludf.DUMMYFUNCTION("""COMPUTED_VALUE"""),1.4960219391371132)</f>
        <v>1.496021939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tr">
        <f>IFERROR(__xludf.DUMMYFUNCTION("""COMPUTED_VALUE"""),"D512-2")</f>
        <v>D512-2</v>
      </c>
      <c r="B10" s="4">
        <f>IFERROR(__xludf.DUMMYFUNCTION("""COMPUTED_VALUE"""),15.2)</f>
        <v>15.2</v>
      </c>
      <c r="C10" s="4">
        <f>IFERROR(__xludf.DUMMYFUNCTION("""COMPUTED_VALUE"""),0.96)</f>
        <v>0.96</v>
      </c>
      <c r="D10" s="4">
        <f>IFERROR(__xludf.DUMMYFUNCTION("""COMPUTED_VALUE"""),22.9)</f>
        <v>22.9</v>
      </c>
      <c r="E10" s="4">
        <f>IFERROR(__xludf.DUMMYFUNCTION("""COMPUTED_VALUE"""),2.71)</f>
        <v>2.71</v>
      </c>
      <c r="F10" s="4">
        <f>IFERROR(__xludf.DUMMYFUNCTION("""COMPUTED_VALUE"""),4.08)</f>
        <v>4.08</v>
      </c>
      <c r="G10" s="4">
        <f>IFERROR(__xludf.DUMMYFUNCTION("""COMPUTED_VALUE"""),14.85)</f>
        <v>14.85</v>
      </c>
      <c r="H10" s="4">
        <f>IFERROR(__xludf.DUMMYFUNCTION("""COMPUTED_VALUE"""),0.0)</f>
        <v>0</v>
      </c>
      <c r="I10" s="4">
        <f>IFERROR(__xludf.DUMMYFUNCTION("""COMPUTED_VALUE"""),16.45)</f>
        <v>16.45</v>
      </c>
      <c r="J10" s="4">
        <f>IFERROR(__xludf.DUMMYFUNCTION("""COMPUTED_VALUE"""),0.0)</f>
        <v>0</v>
      </c>
      <c r="K10" s="4">
        <f>IFERROR(__xludf.DUMMYFUNCTION("""COMPUTED_VALUE"""),237.16889999999998)</f>
        <v>237.1689</v>
      </c>
      <c r="L10" s="4">
        <f>IFERROR(__xludf.DUMMYFUNCTION("""COMPUTED_VALUE"""),2.211124645769323)</f>
        <v>2.211124646</v>
      </c>
    </row>
    <row r="11">
      <c r="A11" s="4" t="str">
        <f>IFERROR(__xludf.DUMMYFUNCTION("""COMPUTED_VALUE"""),"D512-2")</f>
        <v>D512-2</v>
      </c>
      <c r="B11" s="4">
        <f>IFERROR(__xludf.DUMMYFUNCTION("""COMPUTED_VALUE"""),15.2)</f>
        <v>15.2</v>
      </c>
      <c r="C11" s="4">
        <f>IFERROR(__xludf.DUMMYFUNCTION("""COMPUTED_VALUE"""),1.92)</f>
        <v>1.92</v>
      </c>
      <c r="D11" s="4">
        <f>IFERROR(__xludf.DUMMYFUNCTION("""COMPUTED_VALUE"""),33.5)</f>
        <v>33.5</v>
      </c>
      <c r="E11" s="4">
        <f>IFERROR(__xludf.DUMMYFUNCTION("""COMPUTED_VALUE"""),2.71)</f>
        <v>2.71</v>
      </c>
      <c r="F11" s="4">
        <f>IFERROR(__xludf.DUMMYFUNCTION("""COMPUTED_VALUE"""),6.24)</f>
        <v>6.24</v>
      </c>
      <c r="G11" s="4">
        <f>IFERROR(__xludf.DUMMYFUNCTION("""COMPUTED_VALUE"""),21.2)</f>
        <v>21.2</v>
      </c>
      <c r="H11" s="4">
        <f>IFERROR(__xludf.DUMMYFUNCTION("""COMPUTED_VALUE"""),0.0)</f>
        <v>0</v>
      </c>
      <c r="I11" s="4">
        <f>IFERROR(__xludf.DUMMYFUNCTION("""COMPUTED_VALUE"""),7.4)</f>
        <v>7.4</v>
      </c>
      <c r="J11" s="4">
        <f>IFERROR(__xludf.DUMMYFUNCTION("""COMPUTED_VALUE"""),0.0)</f>
        <v>0</v>
      </c>
      <c r="K11" s="4">
        <f>IFERROR(__xludf.DUMMYFUNCTION("""COMPUTED_VALUE"""),488.37760000000003)</f>
        <v>488.3776</v>
      </c>
      <c r="L11" s="4">
        <f>IFERROR(__xludf.DUMMYFUNCTION("""COMPUTED_VALUE"""),2.297914564468149)</f>
        <v>2.297914564</v>
      </c>
    </row>
    <row r="12">
      <c r="A12" s="4" t="str">
        <f>IFERROR(__xludf.DUMMYFUNCTION("""COMPUTED_VALUE"""),"D512-2")</f>
        <v>D512-2</v>
      </c>
      <c r="B12" s="4">
        <f>IFERROR(__xludf.DUMMYFUNCTION("""COMPUTED_VALUE"""),15.2)</f>
        <v>15.2</v>
      </c>
      <c r="C12" s="4">
        <f>IFERROR(__xludf.DUMMYFUNCTION("""COMPUTED_VALUE"""),2.88)</f>
        <v>2.88</v>
      </c>
      <c r="D12" s="4">
        <f>IFERROR(__xludf.DUMMYFUNCTION("""COMPUTED_VALUE"""),37.2)</f>
        <v>37.2</v>
      </c>
      <c r="E12" s="4">
        <f>IFERROR(__xludf.DUMMYFUNCTION("""COMPUTED_VALUE"""),4.19)</f>
        <v>4.19</v>
      </c>
      <c r="F12" s="4">
        <f>IFERROR(__xludf.DUMMYFUNCTION("""COMPUTED_VALUE"""),7.45)</f>
        <v>7.45</v>
      </c>
      <c r="G12" s="4">
        <f>IFERROR(__xludf.DUMMYFUNCTION("""COMPUTED_VALUE"""),20.56)</f>
        <v>20.56</v>
      </c>
      <c r="H12" s="4">
        <f>IFERROR(__xludf.DUMMYFUNCTION("""COMPUTED_VALUE"""),0.0)</f>
        <v>0</v>
      </c>
      <c r="I12" s="4">
        <f>IFERROR(__xludf.DUMMYFUNCTION("""COMPUTED_VALUE"""),2.72)</f>
        <v>2.72</v>
      </c>
      <c r="J12" s="4">
        <f>IFERROR(__xludf.DUMMYFUNCTION("""COMPUTED_VALUE"""),0.0)</f>
        <v>0</v>
      </c>
      <c r="K12" s="4">
        <f>IFERROR(__xludf.DUMMYFUNCTION("""COMPUTED_VALUE"""),478.2160999999999)</f>
        <v>478.2161</v>
      </c>
      <c r="L12" s="4">
        <f>IFERROR(__xludf.DUMMYFUNCTION("""COMPUTED_VALUE"""),2.89375451809339)</f>
        <v>2.893754518</v>
      </c>
    </row>
    <row r="13">
      <c r="A13" s="5" t="str">
        <f>IFERROR(__xludf.DUMMYFUNCTION("""COMPUTED_VALUE"""),"D512-2")</f>
        <v>D512-2</v>
      </c>
      <c r="B13" s="5">
        <f>IFERROR(__xludf.DUMMYFUNCTION("""COMPUTED_VALUE"""),15.2)</f>
        <v>15.2</v>
      </c>
      <c r="C13" s="5">
        <f>IFERROR(__xludf.DUMMYFUNCTION("""COMPUTED_VALUE"""),3.83)</f>
        <v>3.83</v>
      </c>
      <c r="D13" s="5">
        <f>IFERROR(__xludf.DUMMYFUNCTION("""COMPUTED_VALUE"""),35.9)</f>
        <v>35.9</v>
      </c>
      <c r="E13" s="5">
        <f>IFERROR(__xludf.DUMMYFUNCTION("""COMPUTED_VALUE"""),5.98)</f>
        <v>5.98</v>
      </c>
      <c r="F13" s="5">
        <f>IFERROR(__xludf.DUMMYFUNCTION("""COMPUTED_VALUE"""),8.09)</f>
        <v>8.09</v>
      </c>
      <c r="G13" s="5">
        <f>IFERROR(__xludf.DUMMYFUNCTION("""COMPUTED_VALUE"""),20.08)</f>
        <v>20.08</v>
      </c>
      <c r="H13" s="5">
        <f>IFERROR(__xludf.DUMMYFUNCTION("""COMPUTED_VALUE"""),0.0)</f>
        <v>0</v>
      </c>
      <c r="I13" s="5">
        <f>IFERROR(__xludf.DUMMYFUNCTION("""COMPUTED_VALUE"""),1.79)</f>
        <v>1.79</v>
      </c>
      <c r="J13" s="5">
        <f>IFERROR(__xludf.DUMMYFUNCTION("""COMPUTED_VALUE"""),0.0)</f>
        <v>0</v>
      </c>
      <c r="K13" s="5">
        <f>IFERROR(__xludf.DUMMYFUNCTION("""COMPUTED_VALUE"""),468.6544999999999)</f>
        <v>468.6545</v>
      </c>
      <c r="L13" s="5">
        <f>IFERROR(__xludf.DUMMYFUNCTION("""COMPUTED_VALUE"""),2.750021604401537)</f>
        <v>2.750021604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tr">
        <f>IFERROR(__xludf.DUMMYFUNCTION("""COMPUTED_VALUE"""),"D564-8")</f>
        <v>D564-8</v>
      </c>
      <c r="B14" s="4">
        <f>IFERROR(__xludf.DUMMYFUNCTION("""COMPUTED_VALUE"""),8.79)</f>
        <v>8.79</v>
      </c>
      <c r="C14" s="4">
        <f>IFERROR(__xludf.DUMMYFUNCTION("""COMPUTED_VALUE"""),0.51)</f>
        <v>0.51</v>
      </c>
      <c r="D14" s="4">
        <f>IFERROR(__xludf.DUMMYFUNCTION("""COMPUTED_VALUE"""),8.54)</f>
        <v>8.54</v>
      </c>
      <c r="E14" s="4">
        <f>IFERROR(__xludf.DUMMYFUNCTION("""COMPUTED_VALUE"""),1.53)</f>
        <v>1.53</v>
      </c>
      <c r="F14" s="4">
        <f>IFERROR(__xludf.DUMMYFUNCTION("""COMPUTED_VALUE"""),3.47)</f>
        <v>3.47</v>
      </c>
      <c r="G14" s="4">
        <f>IFERROR(__xludf.DUMMYFUNCTION("""COMPUTED_VALUE"""),6.36)</f>
        <v>6.36</v>
      </c>
      <c r="H14" s="4">
        <f>IFERROR(__xludf.DUMMYFUNCTION("""COMPUTED_VALUE"""),0.0)</f>
        <v>0</v>
      </c>
      <c r="I14" s="4">
        <f>IFERROR(__xludf.DUMMYFUNCTION("""COMPUTED_VALUE"""),6.37)</f>
        <v>6.37</v>
      </c>
      <c r="J14" s="4">
        <f>IFERROR(__xludf.DUMMYFUNCTION("""COMPUTED_VALUE"""),0.0)</f>
        <v>0</v>
      </c>
      <c r="K14" s="4">
        <f>IFERROR(__xludf.DUMMYFUNCTION("""COMPUTED_VALUE"""),52.490500000000004)</f>
        <v>52.4905</v>
      </c>
      <c r="L14" s="4">
        <f>IFERROR(__xludf.DUMMYFUNCTION("""COMPUTED_VALUE"""),1.3894247530505517)</f>
        <v>1.389424753</v>
      </c>
    </row>
    <row r="15">
      <c r="A15" s="4" t="str">
        <f>IFERROR(__xludf.DUMMYFUNCTION("""COMPUTED_VALUE"""),"D564-8")</f>
        <v>D564-8</v>
      </c>
      <c r="B15" s="4">
        <f>IFERROR(__xludf.DUMMYFUNCTION("""COMPUTED_VALUE"""),8.79)</f>
        <v>8.79</v>
      </c>
      <c r="C15" s="4">
        <f>IFERROR(__xludf.DUMMYFUNCTION("""COMPUTED_VALUE"""),1.02)</f>
        <v>1.02</v>
      </c>
      <c r="D15" s="4">
        <f>IFERROR(__xludf.DUMMYFUNCTION("""COMPUTED_VALUE"""),15.1)</f>
        <v>15.1</v>
      </c>
      <c r="E15" s="4">
        <f>IFERROR(__xludf.DUMMYFUNCTION("""COMPUTED_VALUE"""),1.41)</f>
        <v>1.41</v>
      </c>
      <c r="F15" s="4">
        <f>IFERROR(__xludf.DUMMYFUNCTION("""COMPUTED_VALUE"""),5.33)</f>
        <v>5.33</v>
      </c>
      <c r="G15" s="4">
        <f>IFERROR(__xludf.DUMMYFUNCTION("""COMPUTED_VALUE"""),8.66)</f>
        <v>8.66</v>
      </c>
      <c r="H15" s="4">
        <f>IFERROR(__xludf.DUMMYFUNCTION("""COMPUTED_VALUE"""),0.0)</f>
        <v>0</v>
      </c>
      <c r="I15" s="4">
        <f>IFERROR(__xludf.DUMMYFUNCTION("""COMPUTED_VALUE"""),2.82)</f>
        <v>2.82</v>
      </c>
      <c r="J15" s="4">
        <f>IFERROR(__xludf.DUMMYFUNCTION("""COMPUTED_VALUE"""),0.0)</f>
        <v>0</v>
      </c>
      <c r="K15" s="4">
        <f>IFERROR(__xludf.DUMMYFUNCTION("""COMPUTED_VALUE"""),103.4045)</f>
        <v>103.4045</v>
      </c>
      <c r="L15" s="4">
        <f>IFERROR(__xludf.DUMMYFUNCTION("""COMPUTED_VALUE"""),2.205029761760852)</f>
        <v>2.205029762</v>
      </c>
    </row>
    <row r="16">
      <c r="A16" s="4" t="str">
        <f>IFERROR(__xludf.DUMMYFUNCTION("""COMPUTED_VALUE"""),"D564-8")</f>
        <v>D564-8</v>
      </c>
      <c r="B16" s="4">
        <f>IFERROR(__xludf.DUMMYFUNCTION("""COMPUTED_VALUE"""),8.79)</f>
        <v>8.79</v>
      </c>
      <c r="C16" s="4">
        <f>IFERROR(__xludf.DUMMYFUNCTION("""COMPUTED_VALUE"""),1.53)</f>
        <v>1.53</v>
      </c>
      <c r="D16" s="4">
        <f>IFERROR(__xludf.DUMMYFUNCTION("""COMPUTED_VALUE"""),19.8)</f>
        <v>19.8</v>
      </c>
      <c r="E16" s="4">
        <f>IFERROR(__xludf.DUMMYFUNCTION("""COMPUTED_VALUE"""),1.8)</f>
        <v>1.8</v>
      </c>
      <c r="F16" s="4">
        <f>IFERROR(__xludf.DUMMYFUNCTION("""COMPUTED_VALUE"""),6.34)</f>
        <v>6.34</v>
      </c>
      <c r="G16" s="4">
        <f>IFERROR(__xludf.DUMMYFUNCTION("""COMPUTED_VALUE"""),9.09)</f>
        <v>9.09</v>
      </c>
      <c r="H16" s="4">
        <f>IFERROR(__xludf.DUMMYFUNCTION("""COMPUTED_VALUE"""),0.0)</f>
        <v>0</v>
      </c>
      <c r="I16" s="4">
        <f>IFERROR(__xludf.DUMMYFUNCTION("""COMPUTED_VALUE"""),1.19)</f>
        <v>1.19</v>
      </c>
      <c r="J16" s="4">
        <f>IFERROR(__xludf.DUMMYFUNCTION("""COMPUTED_VALUE"""),0.0)</f>
        <v>0</v>
      </c>
      <c r="K16" s="4">
        <f>IFERROR(__xludf.DUMMYFUNCTION("""COMPUTED_VALUE"""),122.8237)</f>
        <v>122.8237</v>
      </c>
      <c r="L16" s="4">
        <f>IFERROR(__xludf.DUMMYFUNCTION("""COMPUTED_VALUE"""),3.19189211854064)</f>
        <v>3.191892119</v>
      </c>
    </row>
    <row r="17">
      <c r="A17" s="4" t="str">
        <f>IFERROR(__xludf.DUMMYFUNCTION("""COMPUTED_VALUE"""),"D564-8")</f>
        <v>D564-8</v>
      </c>
      <c r="B17" s="4">
        <f>IFERROR(__xludf.DUMMYFUNCTION("""COMPUTED_VALUE"""),8.79)</f>
        <v>8.79</v>
      </c>
      <c r="C17" s="4">
        <f>IFERROR(__xludf.DUMMYFUNCTION("""COMPUTED_VALUE"""),2.04)</f>
        <v>2.04</v>
      </c>
      <c r="D17" s="4">
        <f>IFERROR(__xludf.DUMMYFUNCTION("""COMPUTED_VALUE"""),21.9)</f>
        <v>21.9</v>
      </c>
      <c r="E17" s="4">
        <f>IFERROR(__xludf.DUMMYFUNCTION("""COMPUTED_VALUE"""),1.82)</f>
        <v>1.82</v>
      </c>
      <c r="F17" s="4">
        <f>IFERROR(__xludf.DUMMYFUNCTION("""COMPUTED_VALUE"""),6.86)</f>
        <v>6.86</v>
      </c>
      <c r="G17" s="4">
        <f>IFERROR(__xludf.DUMMYFUNCTION("""COMPUTED_VALUE"""),8.75)</f>
        <v>8.75</v>
      </c>
      <c r="H17" s="4">
        <f>IFERROR(__xludf.DUMMYFUNCTION("""COMPUTED_VALUE"""),0.0)</f>
        <v>0</v>
      </c>
      <c r="I17" s="4">
        <f>IFERROR(__xludf.DUMMYFUNCTION("""COMPUTED_VALUE"""),0.52)</f>
        <v>0.52</v>
      </c>
      <c r="J17" s="4">
        <f>IFERROR(__xludf.DUMMYFUNCTION("""COMPUTED_VALUE"""),0.0)</f>
        <v>0</v>
      </c>
      <c r="K17" s="4">
        <f>IFERROR(__xludf.DUMMYFUNCTION("""COMPUTED_VALUE"""),123.6221)</f>
        <v>123.6221</v>
      </c>
      <c r="L17" s="4">
        <f>IFERROR(__xludf.DUMMYFUNCTION("""COMPUTED_VALUE"""),3.879646115055479)</f>
        <v>3.879646115</v>
      </c>
    </row>
    <row r="18">
      <c r="A18" s="4" t="str">
        <f>IFERROR(__xludf.DUMMYFUNCTION("""COMPUTED_VALUE"""),"D564-8")</f>
        <v>D564-8</v>
      </c>
      <c r="B18" s="4">
        <f>IFERROR(__xludf.DUMMYFUNCTION("""COMPUTED_VALUE"""),8.79)</f>
        <v>8.79</v>
      </c>
      <c r="C18" s="4">
        <f>IFERROR(__xludf.DUMMYFUNCTION("""COMPUTED_VALUE"""),2.56)</f>
        <v>2.56</v>
      </c>
      <c r="D18" s="4">
        <f>IFERROR(__xludf.DUMMYFUNCTION("""COMPUTED_VALUE"""),24.0)</f>
        <v>24</v>
      </c>
      <c r="E18" s="4">
        <f>IFERROR(__xludf.DUMMYFUNCTION("""COMPUTED_VALUE"""),1.89)</f>
        <v>1.89</v>
      </c>
      <c r="F18" s="4">
        <f>IFERROR(__xludf.DUMMYFUNCTION("""COMPUTED_VALUE"""),7.05)</f>
        <v>7.05</v>
      </c>
      <c r="G18" s="4">
        <f>IFERROR(__xludf.DUMMYFUNCTION("""COMPUTED_VALUE"""),8.17)</f>
        <v>8.17</v>
      </c>
      <c r="H18" s="4">
        <f>IFERROR(__xludf.DUMMYFUNCTION("""COMPUTED_VALUE"""),0.0)</f>
        <v>0</v>
      </c>
      <c r="I18" s="4">
        <f>IFERROR(__xludf.DUMMYFUNCTION("""COMPUTED_VALUE"""),0.22)</f>
        <v>0.22</v>
      </c>
      <c r="J18" s="4">
        <f>IFERROR(__xludf.DUMMYFUNCTION("""COMPUTED_VALUE"""),0.0)</f>
        <v>0</v>
      </c>
      <c r="K18" s="4">
        <f>IFERROR(__xludf.DUMMYFUNCTION("""COMPUTED_VALUE"""),116.45139999999999)</f>
        <v>116.4514</v>
      </c>
      <c r="L18" s="4">
        <f>IFERROR(__xludf.DUMMYFUNCTION("""COMPUTED_VALUE"""),4.946269430852699)</f>
        <v>4.946269431</v>
      </c>
    </row>
    <row r="19">
      <c r="A19" s="5" t="str">
        <f>IFERROR(__xludf.DUMMYFUNCTION("""COMPUTED_VALUE"""),"D564-8")</f>
        <v>D564-8</v>
      </c>
      <c r="B19" s="5">
        <f>IFERROR(__xludf.DUMMYFUNCTION("""COMPUTED_VALUE"""),8.79)</f>
        <v>8.79</v>
      </c>
      <c r="C19" s="5">
        <f>IFERROR(__xludf.DUMMYFUNCTION("""COMPUTED_VALUE"""),3.07)</f>
        <v>3.07</v>
      </c>
      <c r="D19" s="5">
        <f>IFERROR(__xludf.DUMMYFUNCTION("""COMPUTED_VALUE"""),25.0)</f>
        <v>25</v>
      </c>
      <c r="E19" s="5">
        <f>IFERROR(__xludf.DUMMYFUNCTION("""COMPUTED_VALUE"""),2.05)</f>
        <v>2.05</v>
      </c>
      <c r="F19" s="5">
        <f>IFERROR(__xludf.DUMMYFUNCTION("""COMPUTED_VALUE"""),7.04)</f>
        <v>7.04</v>
      </c>
      <c r="G19" s="5">
        <f>IFERROR(__xludf.DUMMYFUNCTION("""COMPUTED_VALUE"""),7.65)</f>
        <v>7.65</v>
      </c>
      <c r="H19" s="5">
        <f>IFERROR(__xludf.DUMMYFUNCTION("""COMPUTED_VALUE"""),0.0)</f>
        <v>0</v>
      </c>
      <c r="I19" s="5">
        <f>IFERROR(__xludf.DUMMYFUNCTION("""COMPUTED_VALUE"""),0.0)</f>
        <v>0</v>
      </c>
      <c r="J19" s="5">
        <f>IFERROR(__xludf.DUMMYFUNCTION("""COMPUTED_VALUE"""),0.0)</f>
        <v>0</v>
      </c>
      <c r="K19" s="5">
        <f>IFERROR(__xludf.DUMMYFUNCTION("""COMPUTED_VALUE"""),108.0841)</f>
        <v>108.0841</v>
      </c>
      <c r="L19" s="5">
        <f>IFERROR(__xludf.DUMMYFUNCTION("""COMPUTED_VALUE"""),5.782534156272754)</f>
        <v>5.782534156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tr">
        <f>IFERROR(__xludf.DUMMYFUNCTION("""COMPUTED_VALUE"""),"D631-7")</f>
        <v>D631-7</v>
      </c>
      <c r="B20" s="4">
        <f>IFERROR(__xludf.DUMMYFUNCTION("""COMPUTED_VALUE"""),7.72)</f>
        <v>7.72</v>
      </c>
      <c r="C20" s="4">
        <f>IFERROR(__xludf.DUMMYFUNCTION("""COMPUTED_VALUE"""),0.45)</f>
        <v>0.45</v>
      </c>
      <c r="D20" s="4">
        <f>IFERROR(__xludf.DUMMYFUNCTION("""COMPUTED_VALUE"""),8.41)</f>
        <v>8.41</v>
      </c>
      <c r="E20" s="4">
        <f>IFERROR(__xludf.DUMMYFUNCTION("""COMPUTED_VALUE"""),1.58)</f>
        <v>1.58</v>
      </c>
      <c r="F20" s="4">
        <f>IFERROR(__xludf.DUMMYFUNCTION("""COMPUTED_VALUE"""),8.4)</f>
        <v>8.4</v>
      </c>
      <c r="G20" s="4">
        <f>IFERROR(__xludf.DUMMYFUNCTION("""COMPUTED_VALUE"""),9.99)</f>
        <v>9.99</v>
      </c>
      <c r="H20" s="4">
        <f>IFERROR(__xludf.DUMMYFUNCTION("""COMPUTED_VALUE"""),0.0)</f>
        <v>0</v>
      </c>
      <c r="I20" s="4">
        <f>IFERROR(__xludf.DUMMYFUNCTION("""COMPUTED_VALUE"""),26.06)</f>
        <v>26.06</v>
      </c>
      <c r="J20" s="4">
        <f>IFERROR(__xludf.DUMMYFUNCTION("""COMPUTED_VALUE"""),0.0)</f>
        <v>0</v>
      </c>
      <c r="K20" s="4">
        <f>IFERROR(__xludf.DUMMYFUNCTION("""COMPUTED_VALUE"""),170.3601)</f>
        <v>170.3601</v>
      </c>
      <c r="L20" s="4">
        <f>IFERROR(__xludf.DUMMYFUNCTION("""COMPUTED_VALUE"""),0.41516822307570844)</f>
        <v>0.4151682231</v>
      </c>
    </row>
    <row r="21">
      <c r="A21" s="4" t="str">
        <f>IFERROR(__xludf.DUMMYFUNCTION("""COMPUTED_VALUE"""),"D631-7")</f>
        <v>D631-7</v>
      </c>
      <c r="B21" s="4">
        <f>IFERROR(__xludf.DUMMYFUNCTION("""COMPUTED_VALUE"""),7.72)</f>
        <v>7.72</v>
      </c>
      <c r="C21" s="4">
        <f>IFERROR(__xludf.DUMMYFUNCTION("""COMPUTED_VALUE"""),0.9)</f>
        <v>0.9</v>
      </c>
      <c r="D21" s="4">
        <f>IFERROR(__xludf.DUMMYFUNCTION("""COMPUTED_VALUE"""),17.8)</f>
        <v>17.8</v>
      </c>
      <c r="E21" s="4">
        <f>IFERROR(__xludf.DUMMYFUNCTION("""COMPUTED_VALUE"""),2.22)</f>
        <v>2.22</v>
      </c>
      <c r="F21" s="4">
        <f>IFERROR(__xludf.DUMMYFUNCTION("""COMPUTED_VALUE"""),13.51)</f>
        <v>13.51</v>
      </c>
      <c r="G21" s="4">
        <f>IFERROR(__xludf.DUMMYFUNCTION("""COMPUTED_VALUE"""),15.52)</f>
        <v>15.52</v>
      </c>
      <c r="H21" s="4">
        <f>IFERROR(__xludf.DUMMYFUNCTION("""COMPUTED_VALUE"""),0.0)</f>
        <v>0</v>
      </c>
      <c r="I21" s="4">
        <f>IFERROR(__xludf.DUMMYFUNCTION("""COMPUTED_VALUE"""),19.64)</f>
        <v>19.64</v>
      </c>
      <c r="J21" s="4">
        <f>IFERROR(__xludf.DUMMYFUNCTION("""COMPUTED_VALUE"""),0.0)</f>
        <v>0</v>
      </c>
      <c r="K21" s="4">
        <f>IFERROR(__xludf.DUMMYFUNCTION("""COMPUTED_VALUE"""),423.3905)</f>
        <v>423.3905</v>
      </c>
      <c r="L21" s="4">
        <f>IFERROR(__xludf.DUMMYFUNCTION("""COMPUTED_VALUE"""),0.7483398895346023)</f>
        <v>0.7483398895</v>
      </c>
    </row>
    <row r="22">
      <c r="A22" s="4" t="str">
        <f>IFERROR(__xludf.DUMMYFUNCTION("""COMPUTED_VALUE"""),"D631-7")</f>
        <v>D631-7</v>
      </c>
      <c r="B22" s="4">
        <f>IFERROR(__xludf.DUMMYFUNCTION("""COMPUTED_VALUE"""),7.72)</f>
        <v>7.72</v>
      </c>
      <c r="C22" s="4">
        <f>IFERROR(__xludf.DUMMYFUNCTION("""COMPUTED_VALUE"""),1.35)</f>
        <v>1.35</v>
      </c>
      <c r="D22" s="4">
        <f>IFERROR(__xludf.DUMMYFUNCTION("""COMPUTED_VALUE"""),26.0)</f>
        <v>26</v>
      </c>
      <c r="E22" s="4">
        <f>IFERROR(__xludf.DUMMYFUNCTION("""COMPUTED_VALUE"""),2.35)</f>
        <v>2.35</v>
      </c>
      <c r="F22" s="4">
        <f>IFERROR(__xludf.DUMMYFUNCTION("""COMPUTED_VALUE"""),16.7)</f>
        <v>16.7</v>
      </c>
      <c r="G22" s="4">
        <f>IFERROR(__xludf.DUMMYFUNCTION("""COMPUTED_VALUE"""),20.76)</f>
        <v>20.76</v>
      </c>
      <c r="H22" s="4">
        <f>IFERROR(__xludf.DUMMYFUNCTION("""COMPUTED_VALUE"""),0.0)</f>
        <v>0</v>
      </c>
      <c r="I22" s="4">
        <f>IFERROR(__xludf.DUMMYFUNCTION("""COMPUTED_VALUE"""),12.17)</f>
        <v>12.17</v>
      </c>
      <c r="J22" s="4">
        <f>IFERROR(__xludf.DUMMYFUNCTION("""COMPUTED_VALUE"""),0.0)</f>
        <v>0</v>
      </c>
      <c r="K22" s="4">
        <f>IFERROR(__xludf.DUMMYFUNCTION("""COMPUTED_VALUE"""),709.8676)</f>
        <v>709.8676</v>
      </c>
      <c r="L22" s="4">
        <f>IFERROR(__xludf.DUMMYFUNCTION("""COMPUTED_VALUE"""),0.9522902580706599)</f>
        <v>0.9522902581</v>
      </c>
    </row>
    <row r="23">
      <c r="A23" s="4" t="str">
        <f>IFERROR(__xludf.DUMMYFUNCTION("""COMPUTED_VALUE"""),"D631-7")</f>
        <v>D631-7</v>
      </c>
      <c r="B23" s="4">
        <f>IFERROR(__xludf.DUMMYFUNCTION("""COMPUTED_VALUE"""),7.72)</f>
        <v>7.72</v>
      </c>
      <c r="C23" s="4">
        <f>IFERROR(__xludf.DUMMYFUNCTION("""COMPUTED_VALUE"""),1.8)</f>
        <v>1.8</v>
      </c>
      <c r="D23" s="4">
        <f>IFERROR(__xludf.DUMMYFUNCTION("""COMPUTED_VALUE"""),30.9)</f>
        <v>30.9</v>
      </c>
      <c r="E23" s="4">
        <f>IFERROR(__xludf.DUMMYFUNCTION("""COMPUTED_VALUE"""),2.22)</f>
        <v>2.22</v>
      </c>
      <c r="F23" s="4">
        <f>IFERROR(__xludf.DUMMYFUNCTION("""COMPUTED_VALUE"""),18.72)</f>
        <v>18.72</v>
      </c>
      <c r="G23" s="4">
        <f>IFERROR(__xludf.DUMMYFUNCTION("""COMPUTED_VALUE"""),21.37)</f>
        <v>21.37</v>
      </c>
      <c r="H23" s="4">
        <f>IFERROR(__xludf.DUMMYFUNCTION("""COMPUTED_VALUE"""),0.0)</f>
        <v>0</v>
      </c>
      <c r="I23" s="4">
        <f>IFERROR(__xludf.DUMMYFUNCTION("""COMPUTED_VALUE"""),4.5)</f>
        <v>4.5</v>
      </c>
      <c r="J23" s="4">
        <f>IFERROR(__xludf.DUMMYFUNCTION("""COMPUTED_VALUE"""),0.0)</f>
        <v>0</v>
      </c>
      <c r="K23" s="4">
        <f>IFERROR(__xludf.DUMMYFUNCTION("""COMPUTED_VALUE"""),807.1152999999999)</f>
        <v>807.1153</v>
      </c>
      <c r="L23" s="4">
        <f>IFERROR(__xludf.DUMMYFUNCTION("""COMPUTED_VALUE"""),1.1829908316692794)</f>
        <v>1.182990832</v>
      </c>
    </row>
    <row r="24">
      <c r="A24" s="4" t="str">
        <f>IFERROR(__xludf.DUMMYFUNCTION("""COMPUTED_VALUE"""),"D631-7")</f>
        <v>D631-7</v>
      </c>
      <c r="B24" s="4">
        <f>IFERROR(__xludf.DUMMYFUNCTION("""COMPUTED_VALUE"""),7.72)</f>
        <v>7.72</v>
      </c>
      <c r="C24" s="4">
        <f>IFERROR(__xludf.DUMMYFUNCTION("""COMPUTED_VALUE"""),2.25)</f>
        <v>2.25</v>
      </c>
      <c r="D24" s="4">
        <f>IFERROR(__xludf.DUMMYFUNCTION("""COMPUTED_VALUE"""),34.7)</f>
        <v>34.7</v>
      </c>
      <c r="E24" s="4">
        <f>IFERROR(__xludf.DUMMYFUNCTION("""COMPUTED_VALUE"""),1.82)</f>
        <v>1.82</v>
      </c>
      <c r="F24" s="4">
        <f>IFERROR(__xludf.DUMMYFUNCTION("""COMPUTED_VALUE"""),19.9)</f>
        <v>19.9</v>
      </c>
      <c r="G24" s="4">
        <f>IFERROR(__xludf.DUMMYFUNCTION("""COMPUTED_VALUE"""),19.92)</f>
        <v>19.92</v>
      </c>
      <c r="H24" s="4">
        <f>IFERROR(__xludf.DUMMYFUNCTION("""COMPUTED_VALUE"""),0.0)</f>
        <v>0</v>
      </c>
      <c r="I24" s="4">
        <f>IFERROR(__xludf.DUMMYFUNCTION("""COMPUTED_VALUE"""),2.1)</f>
        <v>2.1</v>
      </c>
      <c r="J24" s="4">
        <f>IFERROR(__xludf.DUMMYFUNCTION("""COMPUTED_VALUE"""),0.0)</f>
        <v>0</v>
      </c>
      <c r="K24" s="4">
        <f>IFERROR(__xludf.DUMMYFUNCTION("""COMPUTED_VALUE"""),792.8163999999999)</f>
        <v>792.8164</v>
      </c>
      <c r="L24" s="4">
        <f>IFERROR(__xludf.DUMMYFUNCTION("""COMPUTED_VALUE"""),1.5187501166726625)</f>
        <v>1.518750117</v>
      </c>
    </row>
    <row r="25">
      <c r="A25" s="4" t="str">
        <f>IFERROR(__xludf.DUMMYFUNCTION("""COMPUTED_VALUE"""),"D631-7")</f>
        <v>D631-7</v>
      </c>
      <c r="B25" s="4">
        <f>IFERROR(__xludf.DUMMYFUNCTION("""COMPUTED_VALUE"""),7.72)</f>
        <v>7.72</v>
      </c>
      <c r="C25" s="4">
        <f>IFERROR(__xludf.DUMMYFUNCTION("""COMPUTED_VALUE"""),2.69)</f>
        <v>2.69</v>
      </c>
      <c r="D25" s="4">
        <f>IFERROR(__xludf.DUMMYFUNCTION("""COMPUTED_VALUE"""),38.8)</f>
        <v>38.8</v>
      </c>
      <c r="E25" s="4">
        <f>IFERROR(__xludf.DUMMYFUNCTION("""COMPUTED_VALUE"""),1.81)</f>
        <v>1.81</v>
      </c>
      <c r="F25" s="4">
        <f>IFERROR(__xludf.DUMMYFUNCTION("""COMPUTED_VALUE"""),20.61)</f>
        <v>20.61</v>
      </c>
      <c r="G25" s="4">
        <f>IFERROR(__xludf.DUMMYFUNCTION("""COMPUTED_VALUE"""),18.76)</f>
        <v>18.76</v>
      </c>
      <c r="H25" s="4">
        <f>IFERROR(__xludf.DUMMYFUNCTION("""COMPUTED_VALUE"""),0.0)</f>
        <v>0</v>
      </c>
      <c r="I25" s="4">
        <f>IFERROR(__xludf.DUMMYFUNCTION("""COMPUTED_VALUE"""),1.13)</f>
        <v>1.13</v>
      </c>
      <c r="J25" s="4">
        <f>IFERROR(__xludf.DUMMYFUNCTION("""COMPUTED_VALUE"""),0.0)</f>
        <v>0</v>
      </c>
      <c r="K25" s="4">
        <f>IFERROR(__xludf.DUMMYFUNCTION("""COMPUTED_VALUE"""),776.7097)</f>
        <v>776.7097</v>
      </c>
      <c r="L25" s="4">
        <f>IFERROR(__xludf.DUMMYFUNCTION("""COMPUTED_VALUE"""),1.938227371178704)</f>
        <v>1.938227371</v>
      </c>
    </row>
    <row r="26">
      <c r="A26" s="4" t="str">
        <f>IFERROR(__xludf.DUMMYFUNCTION("""COMPUTED_VALUE"""),"D631-7")</f>
        <v>D631-7</v>
      </c>
      <c r="B26" s="4">
        <f>IFERROR(__xludf.DUMMYFUNCTION("""COMPUTED_VALUE"""),7.72)</f>
        <v>7.72</v>
      </c>
      <c r="C26" s="4">
        <f>IFERROR(__xludf.DUMMYFUNCTION("""COMPUTED_VALUE"""),3.14)</f>
        <v>3.14</v>
      </c>
      <c r="D26" s="4">
        <f>IFERROR(__xludf.DUMMYFUNCTION("""COMPUTED_VALUE"""),42.5)</f>
        <v>42.5</v>
      </c>
      <c r="E26" s="4">
        <f>IFERROR(__xludf.DUMMYFUNCTION("""COMPUTED_VALUE"""),1.57)</f>
        <v>1.57</v>
      </c>
      <c r="F26" s="4">
        <f>IFERROR(__xludf.DUMMYFUNCTION("""COMPUTED_VALUE"""),20.73)</f>
        <v>20.73</v>
      </c>
      <c r="G26" s="4">
        <f>IFERROR(__xludf.DUMMYFUNCTION("""COMPUTED_VALUE"""),17.36)</f>
        <v>17.36</v>
      </c>
      <c r="H26" s="4">
        <f>IFERROR(__xludf.DUMMYFUNCTION("""COMPUTED_VALUE"""),0.0)</f>
        <v>0</v>
      </c>
      <c r="I26" s="4">
        <f>IFERROR(__xludf.DUMMYFUNCTION("""COMPUTED_VALUE"""),0.54)</f>
        <v>0.54</v>
      </c>
      <c r="J26" s="4">
        <f>IFERROR(__xludf.DUMMYFUNCTION("""COMPUTED_VALUE"""),0.0)</f>
        <v>0</v>
      </c>
      <c r="K26" s="4">
        <f>IFERROR(__xludf.DUMMYFUNCTION("""COMPUTED_VALUE"""),731.1025)</f>
        <v>731.1025</v>
      </c>
      <c r="L26" s="4">
        <f>IFERROR(__xludf.DUMMYFUNCTION("""COMPUTED_VALUE"""),2.470583810067672)</f>
        <v>2.47058381</v>
      </c>
    </row>
    <row r="27">
      <c r="A27" s="4" t="str">
        <f>IFERROR(__xludf.DUMMYFUNCTION("""COMPUTED_VALUE"""),"D631-7")</f>
        <v>D631-7</v>
      </c>
      <c r="B27" s="4">
        <f>IFERROR(__xludf.DUMMYFUNCTION("""COMPUTED_VALUE"""),7.72)</f>
        <v>7.72</v>
      </c>
      <c r="C27" s="4">
        <f>IFERROR(__xludf.DUMMYFUNCTION("""COMPUTED_VALUE"""),3.59)</f>
        <v>3.59</v>
      </c>
      <c r="D27" s="4">
        <f>IFERROR(__xludf.DUMMYFUNCTION("""COMPUTED_VALUE"""),45.6)</f>
        <v>45.6</v>
      </c>
      <c r="E27" s="4">
        <f>IFERROR(__xludf.DUMMYFUNCTION("""COMPUTED_VALUE"""),1.59)</f>
        <v>1.59</v>
      </c>
      <c r="F27" s="4">
        <f>IFERROR(__xludf.DUMMYFUNCTION("""COMPUTED_VALUE"""),20.61)</f>
        <v>20.61</v>
      </c>
      <c r="G27" s="4">
        <f>IFERROR(__xludf.DUMMYFUNCTION("""COMPUTED_VALUE"""),16.32)</f>
        <v>16.32</v>
      </c>
      <c r="H27" s="4">
        <f>IFERROR(__xludf.DUMMYFUNCTION("""COMPUTED_VALUE"""),0.0)</f>
        <v>0</v>
      </c>
      <c r="I27" s="4">
        <f>IFERROR(__xludf.DUMMYFUNCTION("""COMPUTED_VALUE"""),0.37)</f>
        <v>0.37</v>
      </c>
      <c r="J27" s="4">
        <f>IFERROR(__xludf.DUMMYFUNCTION("""COMPUTED_VALUE"""),0.0)</f>
        <v>0</v>
      </c>
      <c r="K27" s="4">
        <f>IFERROR(__xludf.DUMMYFUNCTION("""COMPUTED_VALUE"""),691.1144999999999)</f>
        <v>691.1145</v>
      </c>
      <c r="L27" s="4">
        <f>IFERROR(__xludf.DUMMYFUNCTION("""COMPUTED_VALUE"""),3.008705503936034)</f>
        <v>3.008705504</v>
      </c>
    </row>
    <row r="28">
      <c r="A28" s="4" t="str">
        <f>IFERROR(__xludf.DUMMYFUNCTION("""COMPUTED_VALUE"""),"D631-7")</f>
        <v>D631-7</v>
      </c>
      <c r="B28" s="4">
        <f>IFERROR(__xludf.DUMMYFUNCTION("""COMPUTED_VALUE"""),7.72)</f>
        <v>7.72</v>
      </c>
      <c r="C28" s="4">
        <f>IFERROR(__xludf.DUMMYFUNCTION("""COMPUTED_VALUE"""),4.04)</f>
        <v>4.04</v>
      </c>
      <c r="D28" s="4">
        <f>IFERROR(__xludf.DUMMYFUNCTION("""COMPUTED_VALUE"""),48.8)</f>
        <v>48.8</v>
      </c>
      <c r="E28" s="4">
        <f>IFERROR(__xludf.DUMMYFUNCTION("""COMPUTED_VALUE"""),1.83)</f>
        <v>1.83</v>
      </c>
      <c r="F28" s="4">
        <f>IFERROR(__xludf.DUMMYFUNCTION("""COMPUTED_VALUE"""),20.38)</f>
        <v>20.38</v>
      </c>
      <c r="G28" s="4">
        <f>IFERROR(__xludf.DUMMYFUNCTION("""COMPUTED_VALUE"""),15.37)</f>
        <v>15.37</v>
      </c>
      <c r="H28" s="4">
        <f>IFERROR(__xludf.DUMMYFUNCTION("""COMPUTED_VALUE"""),0.0)</f>
        <v>0</v>
      </c>
      <c r="I28" s="4">
        <f>IFERROR(__xludf.DUMMYFUNCTION("""COMPUTED_VALUE"""),0.18)</f>
        <v>0.18</v>
      </c>
      <c r="J28" s="4">
        <f>IFERROR(__xludf.DUMMYFUNCTION("""COMPUTED_VALUE"""),0.0)</f>
        <v>0</v>
      </c>
      <c r="K28" s="4">
        <f>IFERROR(__xludf.DUMMYFUNCTION("""COMPUTED_VALUE"""),651.5812999999999)</f>
        <v>651.5813</v>
      </c>
      <c r="L28" s="4">
        <f>IFERROR(__xludf.DUMMYFUNCTION("""COMPUTED_VALUE"""),3.654862409341704)</f>
        <v>3.654862409</v>
      </c>
    </row>
    <row r="29">
      <c r="A29" s="4" t="str">
        <f>IFERROR(__xludf.DUMMYFUNCTION("""COMPUTED_VALUE"""),"D631-7")</f>
        <v>D631-7</v>
      </c>
      <c r="B29" s="4">
        <f>IFERROR(__xludf.DUMMYFUNCTION("""COMPUTED_VALUE"""),7.72)</f>
        <v>7.72</v>
      </c>
      <c r="C29" s="4">
        <f>IFERROR(__xludf.DUMMYFUNCTION("""COMPUTED_VALUE"""),4.49)</f>
        <v>4.49</v>
      </c>
      <c r="D29" s="4">
        <f>IFERROR(__xludf.DUMMYFUNCTION("""COMPUTED_VALUE"""),51.8)</f>
        <v>51.8</v>
      </c>
      <c r="E29" s="4">
        <f>IFERROR(__xludf.DUMMYFUNCTION("""COMPUTED_VALUE"""),1.91)</f>
        <v>1.91</v>
      </c>
      <c r="F29" s="4">
        <f>IFERROR(__xludf.DUMMYFUNCTION("""COMPUTED_VALUE"""),19.9)</f>
        <v>19.9</v>
      </c>
      <c r="G29" s="4">
        <f>IFERROR(__xludf.DUMMYFUNCTION("""COMPUTED_VALUE"""),14.49)</f>
        <v>14.49</v>
      </c>
      <c r="H29" s="4">
        <f>IFERROR(__xludf.DUMMYFUNCTION("""COMPUTED_VALUE"""),0.0)</f>
        <v>0</v>
      </c>
      <c r="I29" s="4">
        <f>IFERROR(__xludf.DUMMYFUNCTION("""COMPUTED_VALUE"""),0.1)</f>
        <v>0.1</v>
      </c>
      <c r="J29" s="4">
        <f>IFERROR(__xludf.DUMMYFUNCTION("""COMPUTED_VALUE"""),0.0)</f>
        <v>0</v>
      </c>
      <c r="K29" s="4">
        <f>IFERROR(__xludf.DUMMYFUNCTION("""COMPUTED_VALUE"""),605.9701)</f>
        <v>605.9701</v>
      </c>
      <c r="L29" s="4">
        <f>IFERROR(__xludf.DUMMYFUNCTION("""COMPUTED_VALUE"""),4.428007256463643)</f>
        <v>4.428007256</v>
      </c>
    </row>
    <row r="30">
      <c r="A30" s="4" t="str">
        <f>IFERROR(__xludf.DUMMYFUNCTION("""COMPUTED_VALUE"""),"D631-7")</f>
        <v>D631-7</v>
      </c>
      <c r="B30" s="4">
        <f>IFERROR(__xludf.DUMMYFUNCTION("""COMPUTED_VALUE"""),7.72)</f>
        <v>7.72</v>
      </c>
      <c r="C30" s="4">
        <f>IFERROR(__xludf.DUMMYFUNCTION("""COMPUTED_VALUE"""),4.94)</f>
        <v>4.94</v>
      </c>
      <c r="D30" s="4">
        <f>IFERROR(__xludf.DUMMYFUNCTION("""COMPUTED_VALUE"""),54.8)</f>
        <v>54.8</v>
      </c>
      <c r="E30" s="4">
        <f>IFERROR(__xludf.DUMMYFUNCTION("""COMPUTED_VALUE"""),2.19)</f>
        <v>2.19</v>
      </c>
      <c r="F30" s="4">
        <f>IFERROR(__xludf.DUMMYFUNCTION("""COMPUTED_VALUE"""),19.43)</f>
        <v>19.43</v>
      </c>
      <c r="G30" s="4">
        <f>IFERROR(__xludf.DUMMYFUNCTION("""COMPUTED_VALUE"""),13.72)</f>
        <v>13.72</v>
      </c>
      <c r="H30" s="4">
        <f>IFERROR(__xludf.DUMMYFUNCTION("""COMPUTED_VALUE"""),0.0)</f>
        <v>0</v>
      </c>
      <c r="I30" s="4">
        <f>IFERROR(__xludf.DUMMYFUNCTION("""COMPUTED_VALUE"""),0.05)</f>
        <v>0.05</v>
      </c>
      <c r="J30" s="4">
        <f>IFERROR(__xludf.DUMMYFUNCTION("""COMPUTED_VALUE"""),0.0)</f>
        <v>0</v>
      </c>
      <c r="K30" s="4">
        <f>IFERROR(__xludf.DUMMYFUNCTION("""COMPUTED_VALUE"""),565.7633000000001)</f>
        <v>565.7633</v>
      </c>
      <c r="L30" s="4">
        <f>IFERROR(__xludf.DUMMYFUNCTION("""COMPUTED_VALUE"""),5.307944152616472)</f>
        <v>5.307944153</v>
      </c>
    </row>
    <row r="31">
      <c r="A31" s="4" t="str">
        <f>IFERROR(__xludf.DUMMYFUNCTION("""COMPUTED_VALUE"""),"D631-7")</f>
        <v>D631-7</v>
      </c>
      <c r="B31" s="4">
        <f>IFERROR(__xludf.DUMMYFUNCTION("""COMPUTED_VALUE"""),7.72)</f>
        <v>7.72</v>
      </c>
      <c r="C31" s="4">
        <f>IFERROR(__xludf.DUMMYFUNCTION("""COMPUTED_VALUE"""),5.39)</f>
        <v>5.39</v>
      </c>
      <c r="D31" s="4">
        <f>IFERROR(__xludf.DUMMYFUNCTION("""COMPUTED_VALUE"""),56.6)</f>
        <v>56.6</v>
      </c>
      <c r="E31" s="4">
        <f>IFERROR(__xludf.DUMMYFUNCTION("""COMPUTED_VALUE"""),2.73)</f>
        <v>2.73</v>
      </c>
      <c r="F31" s="4">
        <f>IFERROR(__xludf.DUMMYFUNCTION("""COMPUTED_VALUE"""),18.84)</f>
        <v>18.84</v>
      </c>
      <c r="G31" s="4">
        <f>IFERROR(__xludf.DUMMYFUNCTION("""COMPUTED_VALUE"""),13.04)</f>
        <v>13.04</v>
      </c>
      <c r="H31" s="4">
        <f>IFERROR(__xludf.DUMMYFUNCTION("""COMPUTED_VALUE"""),0.0)</f>
        <v>0</v>
      </c>
      <c r="I31" s="4">
        <f>IFERROR(__xludf.DUMMYFUNCTION("""COMPUTED_VALUE"""),0.03)</f>
        <v>0.03</v>
      </c>
      <c r="J31" s="4">
        <f>IFERROR(__xludf.DUMMYFUNCTION("""COMPUTED_VALUE"""),0.0)</f>
        <v>0</v>
      </c>
      <c r="K31" s="4">
        <f>IFERROR(__xludf.DUMMYFUNCTION("""COMPUTED_VALUE"""),524.9872)</f>
        <v>524.9872</v>
      </c>
      <c r="L31" s="4">
        <f>IFERROR(__xludf.DUMMYFUNCTION("""COMPUTED_VALUE"""),6.1021678242821915)</f>
        <v>6.102167824</v>
      </c>
    </row>
    <row r="32">
      <c r="A32" s="4" t="str">
        <f>IFERROR(__xludf.DUMMYFUNCTION("""COMPUTED_VALUE"""),"D631-7")</f>
        <v>D631-7</v>
      </c>
      <c r="B32" s="4">
        <f>IFERROR(__xludf.DUMMYFUNCTION("""COMPUTED_VALUE"""),7.72)</f>
        <v>7.72</v>
      </c>
      <c r="C32" s="4">
        <f>IFERROR(__xludf.DUMMYFUNCTION("""COMPUTED_VALUE"""),5.84)</f>
        <v>5.84</v>
      </c>
      <c r="D32" s="4">
        <f>IFERROR(__xludf.DUMMYFUNCTION("""COMPUTED_VALUE"""),58.4)</f>
        <v>58.4</v>
      </c>
      <c r="E32" s="4">
        <f>IFERROR(__xludf.DUMMYFUNCTION("""COMPUTED_VALUE"""),3.27)</f>
        <v>3.27</v>
      </c>
      <c r="F32" s="4">
        <f>IFERROR(__xludf.DUMMYFUNCTION("""COMPUTED_VALUE"""),18.25)</f>
        <v>18.25</v>
      </c>
      <c r="G32" s="4">
        <f>IFERROR(__xludf.DUMMYFUNCTION("""COMPUTED_VALUE"""),12.45)</f>
        <v>12.45</v>
      </c>
      <c r="H32" s="4">
        <f>IFERROR(__xludf.DUMMYFUNCTION("""COMPUTED_VALUE"""),0.0)</f>
        <v>0</v>
      </c>
      <c r="I32" s="4">
        <f>IFERROR(__xludf.DUMMYFUNCTION("""COMPUTED_VALUE"""),0.01)</f>
        <v>0.01</v>
      </c>
      <c r="J32" s="4">
        <f>IFERROR(__xludf.DUMMYFUNCTION("""COMPUTED_VALUE"""),0.0)</f>
        <v>0</v>
      </c>
      <c r="K32" s="4">
        <f>IFERROR(__xludf.DUMMYFUNCTION("""COMPUTED_VALUE"""),488.06499999999994)</f>
        <v>488.065</v>
      </c>
      <c r="L32" s="4">
        <f>IFERROR(__xludf.DUMMYFUNCTION("""COMPUTED_VALUE"""),6.987921690758403)</f>
        <v>6.987921691</v>
      </c>
    </row>
    <row r="33">
      <c r="A33" s="4" t="str">
        <f>IFERROR(__xludf.DUMMYFUNCTION("""COMPUTED_VALUE"""),"D631-7")</f>
        <v>D631-7</v>
      </c>
      <c r="B33" s="4">
        <f>IFERROR(__xludf.DUMMYFUNCTION("""COMPUTED_VALUE"""),7.72)</f>
        <v>7.72</v>
      </c>
      <c r="C33" s="4">
        <f>IFERROR(__xludf.DUMMYFUNCTION("""COMPUTED_VALUE"""),6.29)</f>
        <v>6.29</v>
      </c>
      <c r="D33" s="4">
        <f>IFERROR(__xludf.DUMMYFUNCTION("""COMPUTED_VALUE"""),58.5)</f>
        <v>58.5</v>
      </c>
      <c r="E33" s="4">
        <f>IFERROR(__xludf.DUMMYFUNCTION("""COMPUTED_VALUE"""),3.95)</f>
        <v>3.95</v>
      </c>
      <c r="F33" s="4">
        <f>IFERROR(__xludf.DUMMYFUNCTION("""COMPUTED_VALUE"""),17.65)</f>
        <v>17.65</v>
      </c>
      <c r="G33" s="4">
        <f>IFERROR(__xludf.DUMMYFUNCTION("""COMPUTED_VALUE"""),11.93)</f>
        <v>11.93</v>
      </c>
      <c r="H33" s="4">
        <f>IFERROR(__xludf.DUMMYFUNCTION("""COMPUTED_VALUE"""),0.0)</f>
        <v>0</v>
      </c>
      <c r="I33" s="4">
        <f>IFERROR(__xludf.DUMMYFUNCTION("""COMPUTED_VALUE"""),0.01)</f>
        <v>0.01</v>
      </c>
      <c r="J33" s="4">
        <f>IFERROR(__xludf.DUMMYFUNCTION("""COMPUTED_VALUE"""),0.0)</f>
        <v>0</v>
      </c>
      <c r="K33" s="4">
        <f>IFERROR(__xludf.DUMMYFUNCTION("""COMPUTED_VALUE"""),453.8473999999999)</f>
        <v>453.8474</v>
      </c>
      <c r="L33" s="4">
        <f>IFERROR(__xludf.DUMMYFUNCTION("""COMPUTED_VALUE"""),7.540530142951135)</f>
        <v>7.540530143</v>
      </c>
    </row>
    <row r="34">
      <c r="A34" s="4" t="str">
        <f>IFERROR(__xludf.DUMMYFUNCTION("""COMPUTED_VALUE"""),"D631-7")</f>
        <v>D631-7</v>
      </c>
      <c r="B34" s="4">
        <f>IFERROR(__xludf.DUMMYFUNCTION("""COMPUTED_VALUE"""),7.72)</f>
        <v>7.72</v>
      </c>
      <c r="C34" s="4">
        <f>IFERROR(__xludf.DUMMYFUNCTION("""COMPUTED_VALUE"""),6.74)</f>
        <v>6.74</v>
      </c>
      <c r="D34" s="4">
        <f>IFERROR(__xludf.DUMMYFUNCTION("""COMPUTED_VALUE"""),57.7)</f>
        <v>57.7</v>
      </c>
      <c r="E34" s="4">
        <f>IFERROR(__xludf.DUMMYFUNCTION("""COMPUTED_VALUE"""),4.07)</f>
        <v>4.07</v>
      </c>
      <c r="F34" s="4">
        <f>IFERROR(__xludf.DUMMYFUNCTION("""COMPUTED_VALUE"""),17.06)</f>
        <v>17.06</v>
      </c>
      <c r="G34" s="4">
        <f>IFERROR(__xludf.DUMMYFUNCTION("""COMPUTED_VALUE"""),11.48)</f>
        <v>11.48</v>
      </c>
      <c r="H34" s="4">
        <f>IFERROR(__xludf.DUMMYFUNCTION("""COMPUTED_VALUE"""),0.0)</f>
        <v>0</v>
      </c>
      <c r="I34" s="4">
        <f>IFERROR(__xludf.DUMMYFUNCTION("""COMPUTED_VALUE"""),0.0)</f>
        <v>0</v>
      </c>
      <c r="J34" s="4">
        <f>IFERROR(__xludf.DUMMYFUNCTION("""COMPUTED_VALUE"""),0.0)</f>
        <v>0</v>
      </c>
      <c r="K34" s="4">
        <f>IFERROR(__xludf.DUMMYFUNCTION("""COMPUTED_VALUE"""),422.83399999999995)</f>
        <v>422.834</v>
      </c>
      <c r="L34" s="4">
        <f>IFERROR(__xludf.DUMMYFUNCTION("""COMPUTED_VALUE"""),7.873751874257985)</f>
        <v>7.873751874</v>
      </c>
    </row>
    <row r="35">
      <c r="A35" s="5" t="str">
        <f>IFERROR(__xludf.DUMMYFUNCTION("""COMPUTED_VALUE"""),"D631-7")</f>
        <v>D631-7</v>
      </c>
      <c r="B35" s="5">
        <f>IFERROR(__xludf.DUMMYFUNCTION("""COMPUTED_VALUE"""),7.72)</f>
        <v>7.72</v>
      </c>
      <c r="C35" s="5">
        <f>IFERROR(__xludf.DUMMYFUNCTION("""COMPUTED_VALUE"""),7.19)</f>
        <v>7.19</v>
      </c>
      <c r="D35" s="5">
        <f>IFERROR(__xludf.DUMMYFUNCTION("""COMPUTED_VALUE"""),57.3)</f>
        <v>57.3</v>
      </c>
      <c r="E35" s="5">
        <f>IFERROR(__xludf.DUMMYFUNCTION("""COMPUTED_VALUE"""),3.94)</f>
        <v>3.94</v>
      </c>
      <c r="F35" s="5">
        <f>IFERROR(__xludf.DUMMYFUNCTION("""COMPUTED_VALUE"""),16.47)</f>
        <v>16.47</v>
      </c>
      <c r="G35" s="5">
        <f>IFERROR(__xludf.DUMMYFUNCTION("""COMPUTED_VALUE"""),11.08)</f>
        <v>11.08</v>
      </c>
      <c r="H35" s="5">
        <f>IFERROR(__xludf.DUMMYFUNCTION("""COMPUTED_VALUE"""),0.0)</f>
        <v>0</v>
      </c>
      <c r="I35" s="5">
        <f>IFERROR(__xludf.DUMMYFUNCTION("""COMPUTED_VALUE"""),0.0)</f>
        <v>0</v>
      </c>
      <c r="J35" s="5">
        <f>IFERROR(__xludf.DUMMYFUNCTION("""COMPUTED_VALUE"""),0.0)</f>
        <v>0</v>
      </c>
      <c r="K35" s="5">
        <f>IFERROR(__xludf.DUMMYFUNCTION("""COMPUTED_VALUE"""),394.02729999999997)</f>
        <v>394.0273</v>
      </c>
      <c r="L35" s="5">
        <f>IFERROR(__xludf.DUMMYFUNCTION("""COMPUTED_VALUE"""),8.332645986712087)</f>
        <v>8.332645987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 t="str">
        <f>IFERROR(__xludf.DUMMYFUNCTION("""COMPUTED_VALUE"""),"DDO064")</f>
        <v>DDO064</v>
      </c>
      <c r="B36" s="4">
        <f>IFERROR(__xludf.DUMMYFUNCTION("""COMPUTED_VALUE"""),6.8)</f>
        <v>6.8</v>
      </c>
      <c r="C36" s="4">
        <f>IFERROR(__xludf.DUMMYFUNCTION("""COMPUTED_VALUE"""),0.1)</f>
        <v>0.1</v>
      </c>
      <c r="D36" s="4">
        <f>IFERROR(__xludf.DUMMYFUNCTION("""COMPUTED_VALUE"""),6.29)</f>
        <v>6.29</v>
      </c>
      <c r="E36" s="4">
        <f>IFERROR(__xludf.DUMMYFUNCTION("""COMPUTED_VALUE"""),4.62)</f>
        <v>4.62</v>
      </c>
      <c r="F36" s="4">
        <f>IFERROR(__xludf.DUMMYFUNCTION("""COMPUTED_VALUE"""),-1.13)</f>
        <v>-1.13</v>
      </c>
      <c r="G36" s="4">
        <f>IFERROR(__xludf.DUMMYFUNCTION("""COMPUTED_VALUE"""),1.96)</f>
        <v>1.96</v>
      </c>
      <c r="H36" s="4">
        <f>IFERROR(__xludf.DUMMYFUNCTION("""COMPUTED_VALUE"""),0.0)</f>
        <v>0</v>
      </c>
      <c r="I36" s="4">
        <f>IFERROR(__xludf.DUMMYFUNCTION("""COMPUTED_VALUE"""),28.5)</f>
        <v>28.5</v>
      </c>
      <c r="J36" s="4">
        <f>IFERROR(__xludf.DUMMYFUNCTION("""COMPUTED_VALUE"""),0.0)</f>
        <v>0</v>
      </c>
      <c r="K36" s="4">
        <f>IFERROR(__xludf.DUMMYFUNCTION("""COMPUTED_VALUE"""),5.118499999999999)</f>
        <v>5.1185</v>
      </c>
      <c r="L36" s="4">
        <f>IFERROR(__xludf.DUMMYFUNCTION("""COMPUTED_VALUE"""),7.729627820650583)</f>
        <v>7.729627821</v>
      </c>
    </row>
    <row r="37">
      <c r="A37" s="4" t="str">
        <f>IFERROR(__xludf.DUMMYFUNCTION("""COMPUTED_VALUE"""),"DDO064")</f>
        <v>DDO064</v>
      </c>
      <c r="B37" s="4">
        <f>IFERROR(__xludf.DUMMYFUNCTION("""COMPUTED_VALUE"""),6.8)</f>
        <v>6.8</v>
      </c>
      <c r="C37" s="4">
        <f>IFERROR(__xludf.DUMMYFUNCTION("""COMPUTED_VALUE"""),0.3)</f>
        <v>0.3</v>
      </c>
      <c r="D37" s="4">
        <f>IFERROR(__xludf.DUMMYFUNCTION("""COMPUTED_VALUE"""),13.9)</f>
        <v>13.9</v>
      </c>
      <c r="E37" s="4">
        <f>IFERROR(__xludf.DUMMYFUNCTION("""COMPUTED_VALUE"""),4.62)</f>
        <v>4.62</v>
      </c>
      <c r="F37" s="4">
        <f>IFERROR(__xludf.DUMMYFUNCTION("""COMPUTED_VALUE"""),-2.45)</f>
        <v>-2.45</v>
      </c>
      <c r="G37" s="4">
        <f>IFERROR(__xludf.DUMMYFUNCTION("""COMPUTED_VALUE"""),6.31)</f>
        <v>6.31</v>
      </c>
      <c r="H37" s="4">
        <f>IFERROR(__xludf.DUMMYFUNCTION("""COMPUTED_VALUE"""),0.0)</f>
        <v>0</v>
      </c>
      <c r="I37" s="4">
        <f>IFERROR(__xludf.DUMMYFUNCTION("""COMPUTED_VALUE"""),27.26)</f>
        <v>27.26</v>
      </c>
      <c r="J37" s="4">
        <f>IFERROR(__xludf.DUMMYFUNCTION("""COMPUTED_VALUE"""),0.0)</f>
        <v>0</v>
      </c>
      <c r="K37" s="4">
        <f>IFERROR(__xludf.DUMMYFUNCTION("""COMPUTED_VALUE"""),45.81859999999999)</f>
        <v>45.8186</v>
      </c>
      <c r="L37" s="4">
        <f>IFERROR(__xludf.DUMMYFUNCTION("""COMPUTED_VALUE"""),4.216846433544457)</f>
        <v>4.216846434</v>
      </c>
    </row>
    <row r="38">
      <c r="A38" s="4" t="str">
        <f>IFERROR(__xludf.DUMMYFUNCTION("""COMPUTED_VALUE"""),"DDO064")</f>
        <v>DDO064</v>
      </c>
      <c r="B38" s="4">
        <f>IFERROR(__xludf.DUMMYFUNCTION("""COMPUTED_VALUE"""),6.8)</f>
        <v>6.8</v>
      </c>
      <c r="C38" s="4">
        <f>IFERROR(__xludf.DUMMYFUNCTION("""COMPUTED_VALUE"""),0.49)</f>
        <v>0.49</v>
      </c>
      <c r="D38" s="4">
        <f>IFERROR(__xludf.DUMMYFUNCTION("""COMPUTED_VALUE"""),15.6)</f>
        <v>15.6</v>
      </c>
      <c r="E38" s="4">
        <f>IFERROR(__xludf.DUMMYFUNCTION("""COMPUTED_VALUE"""),4.62)</f>
        <v>4.62</v>
      </c>
      <c r="F38" s="4">
        <f>IFERROR(__xludf.DUMMYFUNCTION("""COMPUTED_VALUE"""),-0.64)</f>
        <v>-0.64</v>
      </c>
      <c r="G38" s="4">
        <f>IFERROR(__xludf.DUMMYFUNCTION("""COMPUTED_VALUE"""),9.67)</f>
        <v>9.67</v>
      </c>
      <c r="H38" s="4">
        <f>IFERROR(__xludf.DUMMYFUNCTION("""COMPUTED_VALUE"""),0.0)</f>
        <v>0</v>
      </c>
      <c r="I38" s="4">
        <f>IFERROR(__xludf.DUMMYFUNCTION("""COMPUTED_VALUE"""),24.99)</f>
        <v>24.99</v>
      </c>
      <c r="J38" s="4">
        <f>IFERROR(__xludf.DUMMYFUNCTION("""COMPUTED_VALUE"""),0.0)</f>
        <v>0</v>
      </c>
      <c r="K38" s="4">
        <f>IFERROR(__xludf.DUMMYFUNCTION("""COMPUTED_VALUE"""),93.9185)</f>
        <v>93.9185</v>
      </c>
      <c r="L38" s="4">
        <f>IFERROR(__xludf.DUMMYFUNCTION("""COMPUTED_VALUE"""),2.591182780815281)</f>
        <v>2.591182781</v>
      </c>
    </row>
    <row r="39">
      <c r="A39" s="4" t="str">
        <f>IFERROR(__xludf.DUMMYFUNCTION("""COMPUTED_VALUE"""),"DDO064")</f>
        <v>DDO064</v>
      </c>
      <c r="B39" s="4">
        <f>IFERROR(__xludf.DUMMYFUNCTION("""COMPUTED_VALUE"""),6.8)</f>
        <v>6.8</v>
      </c>
      <c r="C39" s="4">
        <f>IFERROR(__xludf.DUMMYFUNCTION("""COMPUTED_VALUE"""),0.69)</f>
        <v>0.69</v>
      </c>
      <c r="D39" s="4">
        <f>IFERROR(__xludf.DUMMYFUNCTION("""COMPUTED_VALUE"""),18.4)</f>
        <v>18.4</v>
      </c>
      <c r="E39" s="4">
        <f>IFERROR(__xludf.DUMMYFUNCTION("""COMPUTED_VALUE"""),4.62)</f>
        <v>4.62</v>
      </c>
      <c r="F39" s="4">
        <f>IFERROR(__xludf.DUMMYFUNCTION("""COMPUTED_VALUE"""),2.49)</f>
        <v>2.49</v>
      </c>
      <c r="G39" s="4">
        <f>IFERROR(__xludf.DUMMYFUNCTION("""COMPUTED_VALUE"""),13.92)</f>
        <v>13.92</v>
      </c>
      <c r="H39" s="4">
        <f>IFERROR(__xludf.DUMMYFUNCTION("""COMPUTED_VALUE"""),0.0)</f>
        <v>0</v>
      </c>
      <c r="I39" s="4">
        <f>IFERROR(__xludf.DUMMYFUNCTION("""COMPUTED_VALUE"""),20.86)</f>
        <v>20.86</v>
      </c>
      <c r="J39" s="4">
        <f>IFERROR(__xludf.DUMMYFUNCTION("""COMPUTED_VALUE"""),0.0)</f>
        <v>0</v>
      </c>
      <c r="K39" s="4">
        <f>IFERROR(__xludf.DUMMYFUNCTION("""COMPUTED_VALUE"""),199.9665)</f>
        <v>199.9665</v>
      </c>
      <c r="L39" s="4">
        <f>IFERROR(__xludf.DUMMYFUNCTION("""COMPUTED_VALUE"""),1.6930835915015763)</f>
        <v>1.693083592</v>
      </c>
    </row>
    <row r="40">
      <c r="A40" s="4" t="str">
        <f>IFERROR(__xludf.DUMMYFUNCTION("""COMPUTED_VALUE"""),"DDO064")</f>
        <v>DDO064</v>
      </c>
      <c r="B40" s="4">
        <f>IFERROR(__xludf.DUMMYFUNCTION("""COMPUTED_VALUE"""),6.8)</f>
        <v>6.8</v>
      </c>
      <c r="C40" s="4">
        <f>IFERROR(__xludf.DUMMYFUNCTION("""COMPUTED_VALUE"""),0.89)</f>
        <v>0.89</v>
      </c>
      <c r="D40" s="4">
        <f>IFERROR(__xludf.DUMMYFUNCTION("""COMPUTED_VALUE"""),22.5)</f>
        <v>22.5</v>
      </c>
      <c r="E40" s="4">
        <f>IFERROR(__xludf.DUMMYFUNCTION("""COMPUTED_VALUE"""),4.62)</f>
        <v>4.62</v>
      </c>
      <c r="F40" s="4">
        <f>IFERROR(__xludf.DUMMYFUNCTION("""COMPUTED_VALUE"""),1.87)</f>
        <v>1.87</v>
      </c>
      <c r="G40" s="4">
        <f>IFERROR(__xludf.DUMMYFUNCTION("""COMPUTED_VALUE"""),15.16)</f>
        <v>15.16</v>
      </c>
      <c r="H40" s="4">
        <f>IFERROR(__xludf.DUMMYFUNCTION("""COMPUTED_VALUE"""),0.0)</f>
        <v>0</v>
      </c>
      <c r="I40" s="4">
        <f>IFERROR(__xludf.DUMMYFUNCTION("""COMPUTED_VALUE"""),13.91)</f>
        <v>13.91</v>
      </c>
      <c r="J40" s="4">
        <f>IFERROR(__xludf.DUMMYFUNCTION("""COMPUTED_VALUE"""),0.0)</f>
        <v>0</v>
      </c>
      <c r="K40" s="4">
        <f>IFERROR(__xludf.DUMMYFUNCTION("""COMPUTED_VALUE"""),233.32250000000002)</f>
        <v>233.3225</v>
      </c>
      <c r="L40" s="4">
        <f>IFERROR(__xludf.DUMMYFUNCTION("""COMPUTED_VALUE"""),2.16974359523835)</f>
        <v>2.169743595</v>
      </c>
    </row>
    <row r="41">
      <c r="A41" s="4" t="str">
        <f>IFERROR(__xludf.DUMMYFUNCTION("""COMPUTED_VALUE"""),"DDO064")</f>
        <v>DDO064</v>
      </c>
      <c r="B41" s="4">
        <f>IFERROR(__xludf.DUMMYFUNCTION("""COMPUTED_VALUE"""),6.8)</f>
        <v>6.8</v>
      </c>
      <c r="C41" s="4">
        <f>IFERROR(__xludf.DUMMYFUNCTION("""COMPUTED_VALUE"""),1.09)</f>
        <v>1.09</v>
      </c>
      <c r="D41" s="4">
        <f>IFERROR(__xludf.DUMMYFUNCTION("""COMPUTED_VALUE"""),26.5)</f>
        <v>26.5</v>
      </c>
      <c r="E41" s="4">
        <f>IFERROR(__xludf.DUMMYFUNCTION("""COMPUTED_VALUE"""),4.62)</f>
        <v>4.62</v>
      </c>
      <c r="F41" s="4">
        <f>IFERROR(__xludf.DUMMYFUNCTION("""COMPUTED_VALUE"""),4.97)</f>
        <v>4.97</v>
      </c>
      <c r="G41" s="4">
        <f>IFERROR(__xludf.DUMMYFUNCTION("""COMPUTED_VALUE"""),16.41)</f>
        <v>16.41</v>
      </c>
      <c r="H41" s="4">
        <f>IFERROR(__xludf.DUMMYFUNCTION("""COMPUTED_VALUE"""),0.0)</f>
        <v>0</v>
      </c>
      <c r="I41" s="4">
        <f>IFERROR(__xludf.DUMMYFUNCTION("""COMPUTED_VALUE"""),11.73)</f>
        <v>11.73</v>
      </c>
      <c r="J41" s="4">
        <f>IFERROR(__xludf.DUMMYFUNCTION("""COMPUTED_VALUE"""),0.0)</f>
        <v>0</v>
      </c>
      <c r="K41" s="4">
        <f>IFERROR(__xludf.DUMMYFUNCTION("""COMPUTED_VALUE"""),293.989)</f>
        <v>293.989</v>
      </c>
      <c r="L41" s="4">
        <f>IFERROR(__xludf.DUMMYFUNCTION("""COMPUTED_VALUE"""),2.3886948151121303)</f>
        <v>2.388694815</v>
      </c>
    </row>
    <row r="42">
      <c r="A42" s="4" t="str">
        <f>IFERROR(__xludf.DUMMYFUNCTION("""COMPUTED_VALUE"""),"DDO064")</f>
        <v>DDO064</v>
      </c>
      <c r="B42" s="4">
        <f>IFERROR(__xludf.DUMMYFUNCTION("""COMPUTED_VALUE"""),6.8)</f>
        <v>6.8</v>
      </c>
      <c r="C42" s="4">
        <f>IFERROR(__xludf.DUMMYFUNCTION("""COMPUTED_VALUE"""),1.29)</f>
        <v>1.29</v>
      </c>
      <c r="D42" s="4">
        <f>IFERROR(__xludf.DUMMYFUNCTION("""COMPUTED_VALUE"""),35.3)</f>
        <v>35.3</v>
      </c>
      <c r="E42" s="4">
        <f>IFERROR(__xludf.DUMMYFUNCTION("""COMPUTED_VALUE"""),4.62)</f>
        <v>4.62</v>
      </c>
      <c r="F42" s="4">
        <f>IFERROR(__xludf.DUMMYFUNCTION("""COMPUTED_VALUE"""),9.29)</f>
        <v>9.29</v>
      </c>
      <c r="G42" s="4">
        <f>IFERROR(__xludf.DUMMYFUNCTION("""COMPUTED_VALUE"""),17.34)</f>
        <v>17.34</v>
      </c>
      <c r="H42" s="4">
        <f>IFERROR(__xludf.DUMMYFUNCTION("""COMPUTED_VALUE"""),0.0)</f>
        <v>0</v>
      </c>
      <c r="I42" s="4">
        <f>IFERROR(__xludf.DUMMYFUNCTION("""COMPUTED_VALUE"""),10.3)</f>
        <v>10.3</v>
      </c>
      <c r="J42" s="4">
        <f>IFERROR(__xludf.DUMMYFUNCTION("""COMPUTED_VALUE"""),0.0)</f>
        <v>0</v>
      </c>
      <c r="K42" s="4">
        <f>IFERROR(__xludf.DUMMYFUNCTION("""COMPUTED_VALUE"""),386.9797)</f>
        <v>386.9797</v>
      </c>
      <c r="L42" s="4">
        <f>IFERROR(__xludf.DUMMYFUNCTION("""COMPUTED_VALUE"""),3.2200397075092044)</f>
        <v>3.220039708</v>
      </c>
    </row>
    <row r="43">
      <c r="A43" s="4" t="str">
        <f>IFERROR(__xludf.DUMMYFUNCTION("""COMPUTED_VALUE"""),"DDO064")</f>
        <v>DDO064</v>
      </c>
      <c r="B43" s="4">
        <f>IFERROR(__xludf.DUMMYFUNCTION("""COMPUTED_VALUE"""),6.8)</f>
        <v>6.8</v>
      </c>
      <c r="C43" s="4">
        <f>IFERROR(__xludf.DUMMYFUNCTION("""COMPUTED_VALUE"""),1.48)</f>
        <v>1.48</v>
      </c>
      <c r="D43" s="4">
        <f>IFERROR(__xludf.DUMMYFUNCTION("""COMPUTED_VALUE"""),40.5)</f>
        <v>40.5</v>
      </c>
      <c r="E43" s="4">
        <f>IFERROR(__xludf.DUMMYFUNCTION("""COMPUTED_VALUE"""),4.62)</f>
        <v>4.62</v>
      </c>
      <c r="F43" s="4">
        <f>IFERROR(__xludf.DUMMYFUNCTION("""COMPUTED_VALUE"""),13.62)</f>
        <v>13.62</v>
      </c>
      <c r="G43" s="4">
        <f>IFERROR(__xludf.DUMMYFUNCTION("""COMPUTED_VALUE"""),18.34)</f>
        <v>18.34</v>
      </c>
      <c r="H43" s="4">
        <f>IFERROR(__xludf.DUMMYFUNCTION("""COMPUTED_VALUE"""),0.0)</f>
        <v>0</v>
      </c>
      <c r="I43" s="4">
        <f>IFERROR(__xludf.DUMMYFUNCTION("""COMPUTED_VALUE"""),7.96)</f>
        <v>7.96</v>
      </c>
      <c r="J43" s="4">
        <f>IFERROR(__xludf.DUMMYFUNCTION("""COMPUTED_VALUE"""),0.0)</f>
        <v>0</v>
      </c>
      <c r="K43" s="4">
        <f>IFERROR(__xludf.DUMMYFUNCTION("""COMPUTED_VALUE"""),521.8599999999999)</f>
        <v>521.86</v>
      </c>
      <c r="L43" s="4">
        <f>IFERROR(__xludf.DUMMYFUNCTION("""COMPUTED_VALUE"""),3.1430843521250917)</f>
        <v>3.143084352</v>
      </c>
    </row>
    <row r="44">
      <c r="A44" s="4" t="str">
        <f>IFERROR(__xludf.DUMMYFUNCTION("""COMPUTED_VALUE"""),"DDO064")</f>
        <v>DDO064</v>
      </c>
      <c r="B44" s="4">
        <f>IFERROR(__xludf.DUMMYFUNCTION("""COMPUTED_VALUE"""),6.8)</f>
        <v>6.8</v>
      </c>
      <c r="C44" s="4">
        <f>IFERROR(__xludf.DUMMYFUNCTION("""COMPUTED_VALUE"""),1.68)</f>
        <v>1.68</v>
      </c>
      <c r="D44" s="4">
        <f>IFERROR(__xludf.DUMMYFUNCTION("""COMPUTED_VALUE"""),44.2)</f>
        <v>44.2</v>
      </c>
      <c r="E44" s="4">
        <f>IFERROR(__xludf.DUMMYFUNCTION("""COMPUTED_VALUE"""),4.89)</f>
        <v>4.89</v>
      </c>
      <c r="F44" s="4">
        <f>IFERROR(__xludf.DUMMYFUNCTION("""COMPUTED_VALUE"""),16.26)</f>
        <v>16.26</v>
      </c>
      <c r="G44" s="4">
        <f>IFERROR(__xludf.DUMMYFUNCTION("""COMPUTED_VALUE"""),19.12)</f>
        <v>19.12</v>
      </c>
      <c r="H44" s="4">
        <f>IFERROR(__xludf.DUMMYFUNCTION("""COMPUTED_VALUE"""),0.0)</f>
        <v>0</v>
      </c>
      <c r="I44" s="4">
        <f>IFERROR(__xludf.DUMMYFUNCTION("""COMPUTED_VALUE"""),6.72)</f>
        <v>6.72</v>
      </c>
      <c r="J44" s="4">
        <f>IFERROR(__xludf.DUMMYFUNCTION("""COMPUTED_VALUE"""),0.0)</f>
        <v>0</v>
      </c>
      <c r="K44" s="4">
        <f>IFERROR(__xludf.DUMMYFUNCTION("""COMPUTED_VALUE"""),629.9620000000001)</f>
        <v>629.962</v>
      </c>
      <c r="L44" s="4">
        <f>IFERROR(__xludf.DUMMYFUNCTION("""COMPUTED_VALUE"""),3.1012029297005217)</f>
        <v>3.10120293</v>
      </c>
    </row>
    <row r="45">
      <c r="A45" s="4" t="str">
        <f>IFERROR(__xludf.DUMMYFUNCTION("""COMPUTED_VALUE"""),"DDO064")</f>
        <v>DDO064</v>
      </c>
      <c r="B45" s="4">
        <f>IFERROR(__xludf.DUMMYFUNCTION("""COMPUTED_VALUE"""),6.8)</f>
        <v>6.8</v>
      </c>
      <c r="C45" s="4">
        <f>IFERROR(__xludf.DUMMYFUNCTION("""COMPUTED_VALUE"""),1.88)</f>
        <v>1.88</v>
      </c>
      <c r="D45" s="4">
        <f>IFERROR(__xludf.DUMMYFUNCTION("""COMPUTED_VALUE"""),46.3)</f>
        <v>46.3</v>
      </c>
      <c r="E45" s="4">
        <f>IFERROR(__xludf.DUMMYFUNCTION("""COMPUTED_VALUE"""),4.62)</f>
        <v>4.62</v>
      </c>
      <c r="F45" s="4">
        <f>IFERROR(__xludf.DUMMYFUNCTION("""COMPUTED_VALUE"""),18.16)</f>
        <v>18.16</v>
      </c>
      <c r="G45" s="4">
        <f>IFERROR(__xludf.DUMMYFUNCTION("""COMPUTED_VALUE"""),19.54)</f>
        <v>19.54</v>
      </c>
      <c r="H45" s="4">
        <f>IFERROR(__xludf.DUMMYFUNCTION("""COMPUTED_VALUE"""),0.0)</f>
        <v>0</v>
      </c>
      <c r="I45" s="4">
        <f>IFERROR(__xludf.DUMMYFUNCTION("""COMPUTED_VALUE"""),3.97)</f>
        <v>3.97</v>
      </c>
      <c r="J45" s="4">
        <f>IFERROR(__xludf.DUMMYFUNCTION("""COMPUTED_VALUE"""),0.0)</f>
        <v>0</v>
      </c>
      <c r="K45" s="4">
        <f>IFERROR(__xludf.DUMMYFUNCTION("""COMPUTED_VALUE"""),711.5971999999999)</f>
        <v>711.5972</v>
      </c>
      <c r="L45" s="4">
        <f>IFERROR(__xludf.DUMMYFUNCTION("""COMPUTED_VALUE"""),3.012504827169078)</f>
        <v>3.012504827</v>
      </c>
    </row>
    <row r="46">
      <c r="A46" s="4" t="str">
        <f>IFERROR(__xludf.DUMMYFUNCTION("""COMPUTED_VALUE"""),"DDO064")</f>
        <v>DDO064</v>
      </c>
      <c r="B46" s="4">
        <f>IFERROR(__xludf.DUMMYFUNCTION("""COMPUTED_VALUE"""),6.8)</f>
        <v>6.8</v>
      </c>
      <c r="C46" s="4">
        <f>IFERROR(__xludf.DUMMYFUNCTION("""COMPUTED_VALUE"""),2.08)</f>
        <v>2.08</v>
      </c>
      <c r="D46" s="4">
        <f>IFERROR(__xludf.DUMMYFUNCTION("""COMPUTED_VALUE"""),46.4)</f>
        <v>46.4</v>
      </c>
      <c r="E46" s="4">
        <f>IFERROR(__xludf.DUMMYFUNCTION("""COMPUTED_VALUE"""),4.62)</f>
        <v>4.62</v>
      </c>
      <c r="F46" s="4">
        <f>IFERROR(__xludf.DUMMYFUNCTION("""COMPUTED_VALUE"""),19.64)</f>
        <v>19.64</v>
      </c>
      <c r="G46" s="4">
        <f>IFERROR(__xludf.DUMMYFUNCTION("""COMPUTED_VALUE"""),19.1)</f>
        <v>19.1</v>
      </c>
      <c r="H46" s="4">
        <f>IFERROR(__xludf.DUMMYFUNCTION("""COMPUTED_VALUE"""),0.0)</f>
        <v>0</v>
      </c>
      <c r="I46" s="4">
        <f>IFERROR(__xludf.DUMMYFUNCTION("""COMPUTED_VALUE"""),2.84)</f>
        <v>2.84</v>
      </c>
      <c r="J46" s="4">
        <f>IFERROR(__xludf.DUMMYFUNCTION("""COMPUTED_VALUE"""),0.0)</f>
        <v>0</v>
      </c>
      <c r="K46" s="4">
        <f>IFERROR(__xludf.DUMMYFUNCTION("""COMPUTED_VALUE"""),750.5396000000001)</f>
        <v>750.5396</v>
      </c>
      <c r="L46" s="4">
        <f>IFERROR(__xludf.DUMMYFUNCTION("""COMPUTED_VALUE"""),2.8685495075809455)</f>
        <v>2.868549508</v>
      </c>
    </row>
    <row r="47">
      <c r="A47" s="4" t="str">
        <f>IFERROR(__xludf.DUMMYFUNCTION("""COMPUTED_VALUE"""),"DDO064")</f>
        <v>DDO064</v>
      </c>
      <c r="B47" s="4">
        <f>IFERROR(__xludf.DUMMYFUNCTION("""COMPUTED_VALUE"""),6.8)</f>
        <v>6.8</v>
      </c>
      <c r="C47" s="4">
        <f>IFERROR(__xludf.DUMMYFUNCTION("""COMPUTED_VALUE"""),2.27)</f>
        <v>2.27</v>
      </c>
      <c r="D47" s="4">
        <f>IFERROR(__xludf.DUMMYFUNCTION("""COMPUTED_VALUE"""),46.3)</f>
        <v>46.3</v>
      </c>
      <c r="E47" s="4">
        <f>IFERROR(__xludf.DUMMYFUNCTION("""COMPUTED_VALUE"""),4.62)</f>
        <v>4.62</v>
      </c>
      <c r="F47" s="4">
        <f>IFERROR(__xludf.DUMMYFUNCTION("""COMPUTED_VALUE"""),20.17)</f>
        <v>20.17</v>
      </c>
      <c r="G47" s="4">
        <f>IFERROR(__xludf.DUMMYFUNCTION("""COMPUTED_VALUE"""),18.77)</f>
        <v>18.77</v>
      </c>
      <c r="H47" s="4">
        <f>IFERROR(__xludf.DUMMYFUNCTION("""COMPUTED_VALUE"""),0.0)</f>
        <v>0</v>
      </c>
      <c r="I47" s="4">
        <f>IFERROR(__xludf.DUMMYFUNCTION("""COMPUTED_VALUE"""),2.16)</f>
        <v>2.16</v>
      </c>
      <c r="J47" s="4">
        <f>IFERROR(__xludf.DUMMYFUNCTION("""COMPUTED_VALUE"""),0.0)</f>
        <v>0</v>
      </c>
      <c r="K47" s="4">
        <f>IFERROR(__xludf.DUMMYFUNCTION("""COMPUTED_VALUE"""),759.1418000000001)</f>
        <v>759.1418</v>
      </c>
      <c r="L47" s="4">
        <f>IFERROR(__xludf.DUMMYFUNCTION("""COMPUTED_VALUE"""),2.823833439286309)</f>
        <v>2.823833439</v>
      </c>
    </row>
    <row r="48">
      <c r="A48" s="4" t="str">
        <f>IFERROR(__xludf.DUMMYFUNCTION("""COMPUTED_VALUE"""),"DDO064")</f>
        <v>DDO064</v>
      </c>
      <c r="B48" s="4">
        <f>IFERROR(__xludf.DUMMYFUNCTION("""COMPUTED_VALUE"""),6.8)</f>
        <v>6.8</v>
      </c>
      <c r="C48" s="4">
        <f>IFERROR(__xludf.DUMMYFUNCTION("""COMPUTED_VALUE"""),2.37)</f>
        <v>2.37</v>
      </c>
      <c r="D48" s="4">
        <f>IFERROR(__xludf.DUMMYFUNCTION("""COMPUTED_VALUE"""),46.4)</f>
        <v>46.4</v>
      </c>
      <c r="E48" s="4">
        <f>IFERROR(__xludf.DUMMYFUNCTION("""COMPUTED_VALUE"""),6.73)</f>
        <v>6.73</v>
      </c>
      <c r="F48" s="4">
        <f>IFERROR(__xludf.DUMMYFUNCTION("""COMPUTED_VALUE"""),20.59)</f>
        <v>20.59</v>
      </c>
      <c r="G48" s="4">
        <f>IFERROR(__xludf.DUMMYFUNCTION("""COMPUTED_VALUE"""),18.61)</f>
        <v>18.61</v>
      </c>
      <c r="H48" s="4">
        <f>IFERROR(__xludf.DUMMYFUNCTION("""COMPUTED_VALUE"""),0.0)</f>
        <v>0</v>
      </c>
      <c r="I48" s="4">
        <f>IFERROR(__xludf.DUMMYFUNCTION("""COMPUTED_VALUE"""),1.86)</f>
        <v>1.86</v>
      </c>
      <c r="J48" s="4">
        <f>IFERROR(__xludf.DUMMYFUNCTION("""COMPUTED_VALUE"""),0.0)</f>
        <v>0</v>
      </c>
      <c r="K48" s="4">
        <f>IFERROR(__xludf.DUMMYFUNCTION("""COMPUTED_VALUE"""),770.2801999999999)</f>
        <v>770.2802</v>
      </c>
      <c r="L48" s="4">
        <f>IFERROR(__xludf.DUMMYFUNCTION("""COMPUTED_VALUE"""),2.795034845761322)</f>
        <v>2.795034846</v>
      </c>
    </row>
    <row r="49">
      <c r="A49" s="5" t="str">
        <f>IFERROR(__xludf.DUMMYFUNCTION("""COMPUTED_VALUE"""),"DDO064")</f>
        <v>DDO064</v>
      </c>
      <c r="B49" s="5">
        <f>IFERROR(__xludf.DUMMYFUNCTION("""COMPUTED_VALUE"""),6.8)</f>
        <v>6.8</v>
      </c>
      <c r="C49" s="5">
        <f>IFERROR(__xludf.DUMMYFUNCTION("""COMPUTED_VALUE"""),2.98)</f>
        <v>2.98</v>
      </c>
      <c r="D49" s="5">
        <f>IFERROR(__xludf.DUMMYFUNCTION("""COMPUTED_VALUE"""),46.9)</f>
        <v>46.9</v>
      </c>
      <c r="E49" s="5">
        <f>IFERROR(__xludf.DUMMYFUNCTION("""COMPUTED_VALUE"""),8.65)</f>
        <v>8.65</v>
      </c>
      <c r="F49" s="5">
        <f>IFERROR(__xludf.DUMMYFUNCTION("""COMPUTED_VALUE"""),22.17)</f>
        <v>22.17</v>
      </c>
      <c r="G49" s="5">
        <f>IFERROR(__xludf.DUMMYFUNCTION("""COMPUTED_VALUE"""),17.21)</f>
        <v>17.21</v>
      </c>
      <c r="H49" s="5">
        <f>IFERROR(__xludf.DUMMYFUNCTION("""COMPUTED_VALUE"""),0.0)</f>
        <v>0</v>
      </c>
      <c r="I49" s="5">
        <f>IFERROR(__xludf.DUMMYFUNCTION("""COMPUTED_VALUE"""),0.0)</f>
        <v>0</v>
      </c>
      <c r="J49" s="5">
        <f>IFERROR(__xludf.DUMMYFUNCTION("""COMPUTED_VALUE"""),0.0)</f>
        <v>0</v>
      </c>
      <c r="K49" s="5">
        <f>IFERROR(__xludf.DUMMYFUNCTION("""COMPUTED_VALUE"""),787.6930000000002)</f>
        <v>787.693</v>
      </c>
      <c r="L49" s="5">
        <f>IFERROR(__xludf.DUMMYFUNCTION("""COMPUTED_VALUE"""),2.7924711784921272)</f>
        <v>2.792471178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 t="str">
        <f>IFERROR(__xludf.DUMMYFUNCTION("""COMPUTED_VALUE"""),"DDO154")</f>
        <v>DDO154</v>
      </c>
      <c r="B50" s="4">
        <f>IFERROR(__xludf.DUMMYFUNCTION("""COMPUTED_VALUE"""),4.04)</f>
        <v>4.04</v>
      </c>
      <c r="C50" s="4">
        <f>IFERROR(__xludf.DUMMYFUNCTION("""COMPUTED_VALUE"""),0.49)</f>
        <v>0.49</v>
      </c>
      <c r="D50" s="4">
        <f>IFERROR(__xludf.DUMMYFUNCTION("""COMPUTED_VALUE"""),13.8)</f>
        <v>13.8</v>
      </c>
      <c r="E50" s="4">
        <f>IFERROR(__xludf.DUMMYFUNCTION("""COMPUTED_VALUE"""),1.6)</f>
        <v>1.6</v>
      </c>
      <c r="F50" s="4">
        <f>IFERROR(__xludf.DUMMYFUNCTION("""COMPUTED_VALUE"""),3.74)</f>
        <v>3.74</v>
      </c>
      <c r="G50" s="4">
        <f>IFERROR(__xludf.DUMMYFUNCTION("""COMPUTED_VALUE"""),12.31)</f>
        <v>12.31</v>
      </c>
      <c r="H50" s="4">
        <f>IFERROR(__xludf.DUMMYFUNCTION("""COMPUTED_VALUE"""),0.0)</f>
        <v>0</v>
      </c>
      <c r="I50" s="4">
        <f>IFERROR(__xludf.DUMMYFUNCTION("""COMPUTED_VALUE"""),15.93)</f>
        <v>15.93</v>
      </c>
      <c r="J50" s="4">
        <f>IFERROR(__xludf.DUMMYFUNCTION("""COMPUTED_VALUE"""),0.0)</f>
        <v>0</v>
      </c>
      <c r="K50" s="4">
        <f>IFERROR(__xludf.DUMMYFUNCTION("""COMPUTED_VALUE"""),165.52370000000002)</f>
        <v>165.5237</v>
      </c>
      <c r="L50" s="4">
        <f>IFERROR(__xludf.DUMMYFUNCTION("""COMPUTED_VALUE"""),1.150530105356514)</f>
        <v>1.150530105</v>
      </c>
    </row>
    <row r="51">
      <c r="A51" s="4" t="str">
        <f>IFERROR(__xludf.DUMMYFUNCTION("""COMPUTED_VALUE"""),"DDO154")</f>
        <v>DDO154</v>
      </c>
      <c r="B51" s="4">
        <f>IFERROR(__xludf.DUMMYFUNCTION("""COMPUTED_VALUE"""),4.04)</f>
        <v>4.04</v>
      </c>
      <c r="C51" s="4">
        <f>IFERROR(__xludf.DUMMYFUNCTION("""COMPUTED_VALUE"""),0.99)</f>
        <v>0.99</v>
      </c>
      <c r="D51" s="4">
        <f>IFERROR(__xludf.DUMMYFUNCTION("""COMPUTED_VALUE"""),21.6)</f>
        <v>21.6</v>
      </c>
      <c r="E51" s="4">
        <f>IFERROR(__xludf.DUMMYFUNCTION("""COMPUTED_VALUE"""),0.8)</f>
        <v>0.8</v>
      </c>
      <c r="F51" s="4">
        <f>IFERROR(__xludf.DUMMYFUNCTION("""COMPUTED_VALUE"""),7.46)</f>
        <v>7.46</v>
      </c>
      <c r="G51" s="4">
        <f>IFERROR(__xludf.DUMMYFUNCTION("""COMPUTED_VALUE"""),14.55)</f>
        <v>14.55</v>
      </c>
      <c r="H51" s="4">
        <f>IFERROR(__xludf.DUMMYFUNCTION("""COMPUTED_VALUE"""),0.0)</f>
        <v>0</v>
      </c>
      <c r="I51" s="4">
        <f>IFERROR(__xludf.DUMMYFUNCTION("""COMPUTED_VALUE"""),5.52)</f>
        <v>5.52</v>
      </c>
      <c r="J51" s="4">
        <f>IFERROR(__xludf.DUMMYFUNCTION("""COMPUTED_VALUE"""),0.0)</f>
        <v>0</v>
      </c>
      <c r="K51" s="4">
        <f>IFERROR(__xludf.DUMMYFUNCTION("""COMPUTED_VALUE"""),267.3541)</f>
        <v>267.3541</v>
      </c>
      <c r="L51" s="4">
        <f>IFERROR(__xludf.DUMMYFUNCTION("""COMPUTED_VALUE"""),1.7451013468654493)</f>
        <v>1.745101347</v>
      </c>
    </row>
    <row r="52">
      <c r="A52" s="4" t="str">
        <f>IFERROR(__xludf.DUMMYFUNCTION("""COMPUTED_VALUE"""),"DDO154")</f>
        <v>DDO154</v>
      </c>
      <c r="B52" s="4">
        <f>IFERROR(__xludf.DUMMYFUNCTION("""COMPUTED_VALUE"""),4.04)</f>
        <v>4.04</v>
      </c>
      <c r="C52" s="4">
        <f>IFERROR(__xludf.DUMMYFUNCTION("""COMPUTED_VALUE"""),1.48)</f>
        <v>1.48</v>
      </c>
      <c r="D52" s="4">
        <f>IFERROR(__xludf.DUMMYFUNCTION("""COMPUTED_VALUE"""),28.9)</f>
        <v>28.9</v>
      </c>
      <c r="E52" s="4">
        <f>IFERROR(__xludf.DUMMYFUNCTION("""COMPUTED_VALUE"""),0.7)</f>
        <v>0.7</v>
      </c>
      <c r="F52" s="4">
        <f>IFERROR(__xludf.DUMMYFUNCTION("""COMPUTED_VALUE"""),10.87)</f>
        <v>10.87</v>
      </c>
      <c r="G52" s="4">
        <f>IFERROR(__xludf.DUMMYFUNCTION("""COMPUTED_VALUE"""),12.95)</f>
        <v>12.95</v>
      </c>
      <c r="H52" s="4">
        <f>IFERROR(__xludf.DUMMYFUNCTION("""COMPUTED_VALUE"""),0.0)</f>
        <v>0</v>
      </c>
      <c r="I52" s="4">
        <f>IFERROR(__xludf.DUMMYFUNCTION("""COMPUTED_VALUE"""),1.26)</f>
        <v>1.26</v>
      </c>
      <c r="J52" s="4">
        <f>IFERROR(__xludf.DUMMYFUNCTION("""COMPUTED_VALUE"""),0.0)</f>
        <v>0</v>
      </c>
      <c r="K52" s="4">
        <f>IFERROR(__xludf.DUMMYFUNCTION("""COMPUTED_VALUE"""),285.85939999999994)</f>
        <v>285.8594</v>
      </c>
      <c r="L52" s="4">
        <f>IFERROR(__xludf.DUMMYFUNCTION("""COMPUTED_VALUE"""),2.921751042645441)</f>
        <v>2.921751043</v>
      </c>
    </row>
    <row r="53">
      <c r="A53" s="4" t="str">
        <f>IFERROR(__xludf.DUMMYFUNCTION("""COMPUTED_VALUE"""),"DDO154")</f>
        <v>DDO154</v>
      </c>
      <c r="B53" s="4">
        <f>IFERROR(__xludf.DUMMYFUNCTION("""COMPUTED_VALUE"""),4.04)</f>
        <v>4.04</v>
      </c>
      <c r="C53" s="4">
        <f>IFERROR(__xludf.DUMMYFUNCTION("""COMPUTED_VALUE"""),1.97)</f>
        <v>1.97</v>
      </c>
      <c r="D53" s="4">
        <f>IFERROR(__xludf.DUMMYFUNCTION("""COMPUTED_VALUE"""),34.3)</f>
        <v>34.3</v>
      </c>
      <c r="E53" s="4">
        <f>IFERROR(__xludf.DUMMYFUNCTION("""COMPUTED_VALUE"""),0.5)</f>
        <v>0.5</v>
      </c>
      <c r="F53" s="4">
        <f>IFERROR(__xludf.DUMMYFUNCTION("""COMPUTED_VALUE"""),13.32)</f>
        <v>13.32</v>
      </c>
      <c r="G53" s="4">
        <f>IFERROR(__xludf.DUMMYFUNCTION("""COMPUTED_VALUE"""),11.54)</f>
        <v>11.54</v>
      </c>
      <c r="H53" s="4">
        <f>IFERROR(__xludf.DUMMYFUNCTION("""COMPUTED_VALUE"""),0.0)</f>
        <v>0</v>
      </c>
      <c r="I53" s="4">
        <f>IFERROR(__xludf.DUMMYFUNCTION("""COMPUTED_VALUE"""),0.29)</f>
        <v>0.29</v>
      </c>
      <c r="J53" s="4">
        <f>IFERROR(__xludf.DUMMYFUNCTION("""COMPUTED_VALUE"""),0.0)</f>
        <v>0</v>
      </c>
      <c r="K53" s="4">
        <f>IFERROR(__xludf.DUMMYFUNCTION("""COMPUTED_VALUE"""),310.594)</f>
        <v>310.594</v>
      </c>
      <c r="L53" s="4">
        <f>IFERROR(__xludf.DUMMYFUNCTION("""COMPUTED_VALUE"""),3.787870982697669)</f>
        <v>3.787870983</v>
      </c>
    </row>
    <row r="54">
      <c r="A54" s="4" t="str">
        <f>IFERROR(__xludf.DUMMYFUNCTION("""COMPUTED_VALUE"""),"DDO154")</f>
        <v>DDO154</v>
      </c>
      <c r="B54" s="4">
        <f>IFERROR(__xludf.DUMMYFUNCTION("""COMPUTED_VALUE"""),4.04)</f>
        <v>4.04</v>
      </c>
      <c r="C54" s="4">
        <f>IFERROR(__xludf.DUMMYFUNCTION("""COMPUTED_VALUE"""),2.47)</f>
        <v>2.47</v>
      </c>
      <c r="D54" s="4">
        <f>IFERROR(__xludf.DUMMYFUNCTION("""COMPUTED_VALUE"""),38.2)</f>
        <v>38.2</v>
      </c>
      <c r="E54" s="4">
        <f>IFERROR(__xludf.DUMMYFUNCTION("""COMPUTED_VALUE"""),0.4)</f>
        <v>0.4</v>
      </c>
      <c r="F54" s="4">
        <f>IFERROR(__xludf.DUMMYFUNCTION("""COMPUTED_VALUE"""),14.77)</f>
        <v>14.77</v>
      </c>
      <c r="G54" s="4">
        <f>IFERROR(__xludf.DUMMYFUNCTION("""COMPUTED_VALUE"""),10.18)</f>
        <v>10.18</v>
      </c>
      <c r="H54" s="4">
        <f>IFERROR(__xludf.DUMMYFUNCTION("""COMPUTED_VALUE"""),0.0)</f>
        <v>0</v>
      </c>
      <c r="I54" s="4">
        <f>IFERROR(__xludf.DUMMYFUNCTION("""COMPUTED_VALUE"""),0.08)</f>
        <v>0.08</v>
      </c>
      <c r="J54" s="4">
        <f>IFERROR(__xludf.DUMMYFUNCTION("""COMPUTED_VALUE"""),0.0)</f>
        <v>0</v>
      </c>
      <c r="K54" s="4">
        <f>IFERROR(__xludf.DUMMYFUNCTION("""COMPUTED_VALUE"""),321.7853)</f>
        <v>321.7853</v>
      </c>
      <c r="L54" s="4">
        <f>IFERROR(__xludf.DUMMYFUNCTION("""COMPUTED_VALUE"""),4.534824928298465)</f>
        <v>4.534824928</v>
      </c>
    </row>
    <row r="55">
      <c r="A55" s="4" t="str">
        <f>IFERROR(__xludf.DUMMYFUNCTION("""COMPUTED_VALUE"""),"DDO154")</f>
        <v>DDO154</v>
      </c>
      <c r="B55" s="4">
        <f>IFERROR(__xludf.DUMMYFUNCTION("""COMPUTED_VALUE"""),4.04)</f>
        <v>4.04</v>
      </c>
      <c r="C55" s="4">
        <f>IFERROR(__xludf.DUMMYFUNCTION("""COMPUTED_VALUE"""),2.96)</f>
        <v>2.96</v>
      </c>
      <c r="D55" s="4">
        <f>IFERROR(__xludf.DUMMYFUNCTION("""COMPUTED_VALUE"""),42.0)</f>
        <v>42</v>
      </c>
      <c r="E55" s="4">
        <f>IFERROR(__xludf.DUMMYFUNCTION("""COMPUTED_VALUE"""),0.2)</f>
        <v>0.2</v>
      </c>
      <c r="F55" s="4">
        <f>IFERROR(__xludf.DUMMYFUNCTION("""COMPUTED_VALUE"""),16.2)</f>
        <v>16.2</v>
      </c>
      <c r="G55" s="4">
        <f>IFERROR(__xludf.DUMMYFUNCTION("""COMPUTED_VALUE"""),9.16)</f>
        <v>9.16</v>
      </c>
      <c r="H55" s="4">
        <f>IFERROR(__xludf.DUMMYFUNCTION("""COMPUTED_VALUE"""),0.0)</f>
        <v>0</v>
      </c>
      <c r="I55" s="4">
        <f>IFERROR(__xludf.DUMMYFUNCTION("""COMPUTED_VALUE"""),0.02)</f>
        <v>0.02</v>
      </c>
      <c r="J55" s="4">
        <f>IFERROR(__xludf.DUMMYFUNCTION("""COMPUTED_VALUE"""),0.0)</f>
        <v>0</v>
      </c>
      <c r="K55" s="4">
        <f>IFERROR(__xludf.DUMMYFUNCTION("""COMPUTED_VALUE"""),346.3456)</f>
        <v>346.3456</v>
      </c>
      <c r="L55" s="4">
        <f>IFERROR(__xludf.DUMMYFUNCTION("""COMPUTED_VALUE"""),5.093178605416093)</f>
        <v>5.093178605</v>
      </c>
    </row>
    <row r="56">
      <c r="A56" s="4" t="str">
        <f>IFERROR(__xludf.DUMMYFUNCTION("""COMPUTED_VALUE"""),"DDO154")</f>
        <v>DDO154</v>
      </c>
      <c r="B56" s="4">
        <f>IFERROR(__xludf.DUMMYFUNCTION("""COMPUTED_VALUE"""),4.04)</f>
        <v>4.04</v>
      </c>
      <c r="C56" s="4">
        <f>IFERROR(__xludf.DUMMYFUNCTION("""COMPUTED_VALUE"""),3.46)</f>
        <v>3.46</v>
      </c>
      <c r="D56" s="4">
        <f>IFERROR(__xludf.DUMMYFUNCTION("""COMPUTED_VALUE"""),44.6)</f>
        <v>44.6</v>
      </c>
      <c r="E56" s="4">
        <f>IFERROR(__xludf.DUMMYFUNCTION("""COMPUTED_VALUE"""),0.2)</f>
        <v>0.2</v>
      </c>
      <c r="F56" s="4">
        <f>IFERROR(__xludf.DUMMYFUNCTION("""COMPUTED_VALUE"""),17.6)</f>
        <v>17.6</v>
      </c>
      <c r="G56" s="4">
        <f>IFERROR(__xludf.DUMMYFUNCTION("""COMPUTED_VALUE"""),8.37)</f>
        <v>8.37</v>
      </c>
      <c r="H56" s="4">
        <f>IFERROR(__xludf.DUMMYFUNCTION("""COMPUTED_VALUE"""),0.0)</f>
        <v>0</v>
      </c>
      <c r="I56" s="4">
        <f>IFERROR(__xludf.DUMMYFUNCTION("""COMPUTED_VALUE"""),0.01)</f>
        <v>0.01</v>
      </c>
      <c r="J56" s="4">
        <f>IFERROR(__xludf.DUMMYFUNCTION("""COMPUTED_VALUE"""),0.0)</f>
        <v>0</v>
      </c>
      <c r="K56" s="4">
        <f>IFERROR(__xludf.DUMMYFUNCTION("""COMPUTED_VALUE"""),379.81690000000003)</f>
        <v>379.8169</v>
      </c>
      <c r="L56" s="4">
        <f>IFERROR(__xludf.DUMMYFUNCTION("""COMPUTED_VALUE"""),5.237155060767438)</f>
        <v>5.237155061</v>
      </c>
    </row>
    <row r="57">
      <c r="A57" s="4" t="str">
        <f>IFERROR(__xludf.DUMMYFUNCTION("""COMPUTED_VALUE"""),"DDO154")</f>
        <v>DDO154</v>
      </c>
      <c r="B57" s="4">
        <f>IFERROR(__xludf.DUMMYFUNCTION("""COMPUTED_VALUE"""),4.04)</f>
        <v>4.04</v>
      </c>
      <c r="C57" s="4">
        <f>IFERROR(__xludf.DUMMYFUNCTION("""COMPUTED_VALUE"""),3.95)</f>
        <v>3.95</v>
      </c>
      <c r="D57" s="4">
        <f>IFERROR(__xludf.DUMMYFUNCTION("""COMPUTED_VALUE"""),46.3)</f>
        <v>46.3</v>
      </c>
      <c r="E57" s="4">
        <f>IFERROR(__xludf.DUMMYFUNCTION("""COMPUTED_VALUE"""),0.2)</f>
        <v>0.2</v>
      </c>
      <c r="F57" s="4">
        <f>IFERROR(__xludf.DUMMYFUNCTION("""COMPUTED_VALUE"""),17.91)</f>
        <v>17.91</v>
      </c>
      <c r="G57" s="4">
        <f>IFERROR(__xludf.DUMMYFUNCTION("""COMPUTED_VALUE"""),7.77)</f>
        <v>7.77</v>
      </c>
      <c r="H57" s="4">
        <f>IFERROR(__xludf.DUMMYFUNCTION("""COMPUTED_VALUE"""),0.0)</f>
        <v>0</v>
      </c>
      <c r="I57" s="4">
        <f>IFERROR(__xludf.DUMMYFUNCTION("""COMPUTED_VALUE"""),0.0)</f>
        <v>0</v>
      </c>
      <c r="J57" s="4">
        <f>IFERROR(__xludf.DUMMYFUNCTION("""COMPUTED_VALUE"""),0.0)</f>
        <v>0</v>
      </c>
      <c r="K57" s="4">
        <f>IFERROR(__xludf.DUMMYFUNCTION("""COMPUTED_VALUE"""),381.141)</f>
        <v>381.141</v>
      </c>
      <c r="L57" s="4">
        <f>IFERROR(__xludf.DUMMYFUNCTION("""COMPUTED_VALUE"""),5.624401468223045)</f>
        <v>5.624401468</v>
      </c>
    </row>
    <row r="58">
      <c r="A58" s="4" t="str">
        <f>IFERROR(__xludf.DUMMYFUNCTION("""COMPUTED_VALUE"""),"DDO154")</f>
        <v>DDO154</v>
      </c>
      <c r="B58" s="4">
        <f>IFERROR(__xludf.DUMMYFUNCTION("""COMPUTED_VALUE"""),4.04)</f>
        <v>4.04</v>
      </c>
      <c r="C58" s="4">
        <f>IFERROR(__xludf.DUMMYFUNCTION("""COMPUTED_VALUE"""),4.44)</f>
        <v>4.44</v>
      </c>
      <c r="D58" s="4">
        <f>IFERROR(__xludf.DUMMYFUNCTION("""COMPUTED_VALUE"""),47.4)</f>
        <v>47.4</v>
      </c>
      <c r="E58" s="4">
        <f>IFERROR(__xludf.DUMMYFUNCTION("""COMPUTED_VALUE"""),0.3)</f>
        <v>0.3</v>
      </c>
      <c r="F58" s="4">
        <f>IFERROR(__xludf.DUMMYFUNCTION("""COMPUTED_VALUE"""),17.48)</f>
        <v>17.48</v>
      </c>
      <c r="G58" s="4">
        <f>IFERROR(__xludf.DUMMYFUNCTION("""COMPUTED_VALUE"""),7.29)</f>
        <v>7.29</v>
      </c>
      <c r="H58" s="4">
        <f>IFERROR(__xludf.DUMMYFUNCTION("""COMPUTED_VALUE"""),0.0)</f>
        <v>0</v>
      </c>
      <c r="I58" s="4">
        <f>IFERROR(__xludf.DUMMYFUNCTION("""COMPUTED_VALUE"""),0.0)</f>
        <v>0</v>
      </c>
      <c r="J58" s="4">
        <f>IFERROR(__xludf.DUMMYFUNCTION("""COMPUTED_VALUE"""),0.0)</f>
        <v>0</v>
      </c>
      <c r="K58" s="4">
        <f>IFERROR(__xludf.DUMMYFUNCTION("""COMPUTED_VALUE"""),358.6945)</f>
        <v>358.6945</v>
      </c>
      <c r="L58" s="4">
        <f>IFERROR(__xludf.DUMMYFUNCTION("""COMPUTED_VALUE"""),6.2637146652652875)</f>
        <v>6.263714665</v>
      </c>
    </row>
    <row r="59">
      <c r="A59" s="4" t="str">
        <f>IFERROR(__xludf.DUMMYFUNCTION("""COMPUTED_VALUE"""),"DDO154")</f>
        <v>DDO154</v>
      </c>
      <c r="B59" s="4">
        <f>IFERROR(__xludf.DUMMYFUNCTION("""COMPUTED_VALUE"""),4.04)</f>
        <v>4.04</v>
      </c>
      <c r="C59" s="4">
        <f>IFERROR(__xludf.DUMMYFUNCTION("""COMPUTED_VALUE"""),4.94)</f>
        <v>4.94</v>
      </c>
      <c r="D59" s="4">
        <f>IFERROR(__xludf.DUMMYFUNCTION("""COMPUTED_VALUE"""),48.2)</f>
        <v>48.2</v>
      </c>
      <c r="E59" s="4">
        <f>IFERROR(__xludf.DUMMYFUNCTION("""COMPUTED_VALUE"""),0.6)</f>
        <v>0.6</v>
      </c>
      <c r="F59" s="4">
        <f>IFERROR(__xludf.DUMMYFUNCTION("""COMPUTED_VALUE"""),16.93)</f>
        <v>16.93</v>
      </c>
      <c r="G59" s="4">
        <f>IFERROR(__xludf.DUMMYFUNCTION("""COMPUTED_VALUE"""),6.89)</f>
        <v>6.89</v>
      </c>
      <c r="H59" s="4">
        <f>IFERROR(__xludf.DUMMYFUNCTION("""COMPUTED_VALUE"""),0.0)</f>
        <v>0</v>
      </c>
      <c r="I59" s="4">
        <f>IFERROR(__xludf.DUMMYFUNCTION("""COMPUTED_VALUE"""),0.0)</f>
        <v>0</v>
      </c>
      <c r="J59" s="4">
        <f>IFERROR(__xludf.DUMMYFUNCTION("""COMPUTED_VALUE"""),0.0)</f>
        <v>0</v>
      </c>
      <c r="K59" s="4">
        <f>IFERROR(__xludf.DUMMYFUNCTION("""COMPUTED_VALUE"""),334.097)</f>
        <v>334.097</v>
      </c>
      <c r="L59" s="4">
        <f>IFERROR(__xludf.DUMMYFUNCTION("""COMPUTED_VALUE"""),6.95378886969952)</f>
        <v>6.95378887</v>
      </c>
    </row>
    <row r="60">
      <c r="A60" s="4" t="str">
        <f>IFERROR(__xludf.DUMMYFUNCTION("""COMPUTED_VALUE"""),"DDO154")</f>
        <v>DDO154</v>
      </c>
      <c r="B60" s="4">
        <f>IFERROR(__xludf.DUMMYFUNCTION("""COMPUTED_VALUE"""),4.04)</f>
        <v>4.04</v>
      </c>
      <c r="C60" s="4">
        <f>IFERROR(__xludf.DUMMYFUNCTION("""COMPUTED_VALUE"""),5.43)</f>
        <v>5.43</v>
      </c>
      <c r="D60" s="4">
        <f>IFERROR(__xludf.DUMMYFUNCTION("""COMPUTED_VALUE"""),47.4)</f>
        <v>47.4</v>
      </c>
      <c r="E60" s="4">
        <f>IFERROR(__xludf.DUMMYFUNCTION("""COMPUTED_VALUE"""),0.7)</f>
        <v>0.7</v>
      </c>
      <c r="F60" s="4">
        <f>IFERROR(__xludf.DUMMYFUNCTION("""COMPUTED_VALUE"""),16.28)</f>
        <v>16.28</v>
      </c>
      <c r="G60" s="4">
        <f>IFERROR(__xludf.DUMMYFUNCTION("""COMPUTED_VALUE"""),6.55)</f>
        <v>6.55</v>
      </c>
      <c r="H60" s="4">
        <f>IFERROR(__xludf.DUMMYFUNCTION("""COMPUTED_VALUE"""),0.0)</f>
        <v>0</v>
      </c>
      <c r="I60" s="4">
        <f>IFERROR(__xludf.DUMMYFUNCTION("""COMPUTED_VALUE"""),0.0)</f>
        <v>0</v>
      </c>
      <c r="J60" s="4">
        <f>IFERROR(__xludf.DUMMYFUNCTION("""COMPUTED_VALUE"""),0.0)</f>
        <v>0</v>
      </c>
      <c r="K60" s="4">
        <f>IFERROR(__xludf.DUMMYFUNCTION("""COMPUTED_VALUE"""),307.9409)</f>
        <v>307.9409</v>
      </c>
      <c r="L60" s="4">
        <f>IFERROR(__xludf.DUMMYFUNCTION("""COMPUTED_VALUE"""),7.296075318348422)</f>
        <v>7.296075318</v>
      </c>
    </row>
    <row r="61">
      <c r="A61" s="5" t="str">
        <f>IFERROR(__xludf.DUMMYFUNCTION("""COMPUTED_VALUE"""),"DDO154")</f>
        <v>DDO154</v>
      </c>
      <c r="B61" s="5">
        <f>IFERROR(__xludf.DUMMYFUNCTION("""COMPUTED_VALUE"""),4.04)</f>
        <v>4.04</v>
      </c>
      <c r="C61" s="5">
        <f>IFERROR(__xludf.DUMMYFUNCTION("""COMPUTED_VALUE"""),5.92)</f>
        <v>5.92</v>
      </c>
      <c r="D61" s="5">
        <f>IFERROR(__xludf.DUMMYFUNCTION("""COMPUTED_VALUE"""),45.5)</f>
        <v>45.5</v>
      </c>
      <c r="E61" s="5">
        <f>IFERROR(__xludf.DUMMYFUNCTION("""COMPUTED_VALUE"""),1.3)</f>
        <v>1.3</v>
      </c>
      <c r="F61" s="5">
        <f>IFERROR(__xludf.DUMMYFUNCTION("""COMPUTED_VALUE"""),15.64)</f>
        <v>15.64</v>
      </c>
      <c r="G61" s="5">
        <f>IFERROR(__xludf.DUMMYFUNCTION("""COMPUTED_VALUE"""),6.26)</f>
        <v>6.26</v>
      </c>
      <c r="H61" s="5">
        <f>IFERROR(__xludf.DUMMYFUNCTION("""COMPUTED_VALUE"""),0.0)</f>
        <v>0</v>
      </c>
      <c r="I61" s="5">
        <f>IFERROR(__xludf.DUMMYFUNCTION("""COMPUTED_VALUE"""),0.0)</f>
        <v>0</v>
      </c>
      <c r="J61" s="5">
        <f>IFERROR(__xludf.DUMMYFUNCTION("""COMPUTED_VALUE"""),0.0)</f>
        <v>0</v>
      </c>
      <c r="K61" s="5">
        <f>IFERROR(__xludf.DUMMYFUNCTION("""COMPUTED_VALUE"""),283.79720000000003)</f>
        <v>283.7972</v>
      </c>
      <c r="L61" s="5">
        <f>IFERROR(__xludf.DUMMYFUNCTION("""COMPUTED_VALUE"""),7.294821795281982)</f>
        <v>7.294821795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 t="str">
        <f>IFERROR(__xludf.DUMMYFUNCTION("""COMPUTED_VALUE"""),"DDO161")</f>
        <v>DDO161</v>
      </c>
      <c r="B62" s="4">
        <f>IFERROR(__xludf.DUMMYFUNCTION("""COMPUTED_VALUE"""),7.5)</f>
        <v>7.5</v>
      </c>
      <c r="C62" s="4">
        <f>IFERROR(__xludf.DUMMYFUNCTION("""COMPUTED_VALUE"""),0.6)</f>
        <v>0.6</v>
      </c>
      <c r="D62" s="4">
        <f>IFERROR(__xludf.DUMMYFUNCTION("""COMPUTED_VALUE"""),16.0)</f>
        <v>16</v>
      </c>
      <c r="E62" s="4">
        <f>IFERROR(__xludf.DUMMYFUNCTION("""COMPUTED_VALUE"""),3.53)</f>
        <v>3.53</v>
      </c>
      <c r="F62" s="4">
        <f>IFERROR(__xludf.DUMMYFUNCTION("""COMPUTED_VALUE"""),6.82)</f>
        <v>6.82</v>
      </c>
      <c r="G62" s="4">
        <f>IFERROR(__xludf.DUMMYFUNCTION("""COMPUTED_VALUE"""),12.59)</f>
        <v>12.59</v>
      </c>
      <c r="H62" s="4">
        <f>IFERROR(__xludf.DUMMYFUNCTION("""COMPUTED_VALUE"""),0.0)</f>
        <v>0</v>
      </c>
      <c r="I62" s="4">
        <f>IFERROR(__xludf.DUMMYFUNCTION("""COMPUTED_VALUE"""),30.32)</f>
        <v>30.32</v>
      </c>
      <c r="J62" s="4">
        <f>IFERROR(__xludf.DUMMYFUNCTION("""COMPUTED_VALUE"""),0.0)</f>
        <v>0</v>
      </c>
      <c r="K62" s="4">
        <f>IFERROR(__xludf.DUMMYFUNCTION("""COMPUTED_VALUE"""),205.0205)</f>
        <v>205.0205</v>
      </c>
      <c r="L62" s="4">
        <f>IFERROR(__xludf.DUMMYFUNCTION("""COMPUTED_VALUE"""),1.2486556222426537)</f>
        <v>1.248655622</v>
      </c>
    </row>
    <row r="63">
      <c r="A63" s="4" t="str">
        <f>IFERROR(__xludf.DUMMYFUNCTION("""COMPUTED_VALUE"""),"DDO161")</f>
        <v>DDO161</v>
      </c>
      <c r="B63" s="4">
        <f>IFERROR(__xludf.DUMMYFUNCTION("""COMPUTED_VALUE"""),7.5)</f>
        <v>7.5</v>
      </c>
      <c r="C63" s="4">
        <f>IFERROR(__xludf.DUMMYFUNCTION("""COMPUTED_VALUE"""),0.73)</f>
        <v>0.73</v>
      </c>
      <c r="D63" s="4">
        <f>IFERROR(__xludf.DUMMYFUNCTION("""COMPUTED_VALUE"""),16.6)</f>
        <v>16.6</v>
      </c>
      <c r="E63" s="4">
        <f>IFERROR(__xludf.DUMMYFUNCTION("""COMPUTED_VALUE"""),4.83)</f>
        <v>4.83</v>
      </c>
      <c r="F63" s="4">
        <f>IFERROR(__xludf.DUMMYFUNCTION("""COMPUTED_VALUE"""),8.12)</f>
        <v>8.12</v>
      </c>
      <c r="G63" s="4">
        <f>IFERROR(__xludf.DUMMYFUNCTION("""COMPUTED_VALUE"""),14.22)</f>
        <v>14.22</v>
      </c>
      <c r="H63" s="4">
        <f>IFERROR(__xludf.DUMMYFUNCTION("""COMPUTED_VALUE"""),0.0)</f>
        <v>0</v>
      </c>
      <c r="I63" s="4">
        <f>IFERROR(__xludf.DUMMYFUNCTION("""COMPUTED_VALUE"""),27.69)</f>
        <v>27.69</v>
      </c>
      <c r="J63" s="4">
        <f>IFERROR(__xludf.DUMMYFUNCTION("""COMPUTED_VALUE"""),0.0)</f>
        <v>0</v>
      </c>
      <c r="K63" s="4">
        <f>IFERROR(__xludf.DUMMYFUNCTION("""COMPUTED_VALUE"""),268.14279999999997)</f>
        <v>268.1428</v>
      </c>
      <c r="L63" s="4">
        <f>IFERROR(__xludf.DUMMYFUNCTION("""COMPUTED_VALUE"""),1.0276613804286376)</f>
        <v>1.02766138</v>
      </c>
    </row>
    <row r="64">
      <c r="A64" s="4" t="str">
        <f>IFERROR(__xludf.DUMMYFUNCTION("""COMPUTED_VALUE"""),"DDO161")</f>
        <v>DDO161</v>
      </c>
      <c r="B64" s="4">
        <f>IFERROR(__xludf.DUMMYFUNCTION("""COMPUTED_VALUE"""),7.5)</f>
        <v>7.5</v>
      </c>
      <c r="C64" s="4">
        <f>IFERROR(__xludf.DUMMYFUNCTION("""COMPUTED_VALUE"""),0.85)</f>
        <v>0.85</v>
      </c>
      <c r="D64" s="4">
        <f>IFERROR(__xludf.DUMMYFUNCTION("""COMPUTED_VALUE"""),18.6)</f>
        <v>18.6</v>
      </c>
      <c r="E64" s="4">
        <f>IFERROR(__xludf.DUMMYFUNCTION("""COMPUTED_VALUE"""),2.5)</f>
        <v>2.5</v>
      </c>
      <c r="F64" s="4">
        <f>IFERROR(__xludf.DUMMYFUNCTION("""COMPUTED_VALUE"""),9.3)</f>
        <v>9.3</v>
      </c>
      <c r="G64" s="4">
        <f>IFERROR(__xludf.DUMMYFUNCTION("""COMPUTED_VALUE"""),15.27)</f>
        <v>15.27</v>
      </c>
      <c r="H64" s="4">
        <f>IFERROR(__xludf.DUMMYFUNCTION("""COMPUTED_VALUE"""),0.0)</f>
        <v>0</v>
      </c>
      <c r="I64" s="4">
        <f>IFERROR(__xludf.DUMMYFUNCTION("""COMPUTED_VALUE"""),27.15)</f>
        <v>27.15</v>
      </c>
      <c r="J64" s="4">
        <f>IFERROR(__xludf.DUMMYFUNCTION("""COMPUTED_VALUE"""),0.0)</f>
        <v>0</v>
      </c>
      <c r="K64" s="4">
        <f>IFERROR(__xludf.DUMMYFUNCTION("""COMPUTED_VALUE"""),319.66290000000004)</f>
        <v>319.6629</v>
      </c>
      <c r="L64" s="4">
        <f>IFERROR(__xludf.DUMMYFUNCTION("""COMPUTED_VALUE"""),1.0822650986398483)</f>
        <v>1.082265099</v>
      </c>
    </row>
    <row r="65">
      <c r="A65" s="4" t="str">
        <f>IFERROR(__xludf.DUMMYFUNCTION("""COMPUTED_VALUE"""),"DDO161")</f>
        <v>DDO161</v>
      </c>
      <c r="B65" s="4">
        <f>IFERROR(__xludf.DUMMYFUNCTION("""COMPUTED_VALUE"""),7.5)</f>
        <v>7.5</v>
      </c>
      <c r="C65" s="4">
        <f>IFERROR(__xludf.DUMMYFUNCTION("""COMPUTED_VALUE"""),0.98)</f>
        <v>0.98</v>
      </c>
      <c r="D65" s="4">
        <f>IFERROR(__xludf.DUMMYFUNCTION("""COMPUTED_VALUE"""),20.0)</f>
        <v>20</v>
      </c>
      <c r="E65" s="4">
        <f>IFERROR(__xludf.DUMMYFUNCTION("""COMPUTED_VALUE"""),7.58)</f>
        <v>7.58</v>
      </c>
      <c r="F65" s="4">
        <f>IFERROR(__xludf.DUMMYFUNCTION("""COMPUTED_VALUE"""),10.41)</f>
        <v>10.41</v>
      </c>
      <c r="G65" s="4">
        <f>IFERROR(__xludf.DUMMYFUNCTION("""COMPUTED_VALUE"""),17.04)</f>
        <v>17.04</v>
      </c>
      <c r="H65" s="4">
        <f>IFERROR(__xludf.DUMMYFUNCTION("""COMPUTED_VALUE"""),0.0)</f>
        <v>0</v>
      </c>
      <c r="I65" s="4">
        <f>IFERROR(__xludf.DUMMYFUNCTION("""COMPUTED_VALUE"""),25.71)</f>
        <v>25.71</v>
      </c>
      <c r="J65" s="4">
        <f>IFERROR(__xludf.DUMMYFUNCTION("""COMPUTED_VALUE"""),0.0)</f>
        <v>0</v>
      </c>
      <c r="K65" s="4">
        <f>IFERROR(__xludf.DUMMYFUNCTION("""COMPUTED_VALUE"""),398.7297)</f>
        <v>398.7297</v>
      </c>
      <c r="L65" s="4">
        <f>IFERROR(__xludf.DUMMYFUNCTION("""COMPUTED_VALUE"""),1.0031858675187728)</f>
        <v>1.003185868</v>
      </c>
    </row>
    <row r="66">
      <c r="A66" s="4" t="str">
        <f>IFERROR(__xludf.DUMMYFUNCTION("""COMPUTED_VALUE"""),"DDO161")</f>
        <v>DDO161</v>
      </c>
      <c r="B66" s="4">
        <f>IFERROR(__xludf.DUMMYFUNCTION("""COMPUTED_VALUE"""),7.5)</f>
        <v>7.5</v>
      </c>
      <c r="C66" s="4">
        <f>IFERROR(__xludf.DUMMYFUNCTION("""COMPUTED_VALUE"""),1.07)</f>
        <v>1.07</v>
      </c>
      <c r="D66" s="4">
        <f>IFERROR(__xludf.DUMMYFUNCTION("""COMPUTED_VALUE"""),21.4)</f>
        <v>21.4</v>
      </c>
      <c r="E66" s="4">
        <f>IFERROR(__xludf.DUMMYFUNCTION("""COMPUTED_VALUE"""),4.03)</f>
        <v>4.03</v>
      </c>
      <c r="F66" s="4">
        <f>IFERROR(__xludf.DUMMYFUNCTION("""COMPUTED_VALUE"""),11.27)</f>
        <v>11.27</v>
      </c>
      <c r="G66" s="4">
        <f>IFERROR(__xludf.DUMMYFUNCTION("""COMPUTED_VALUE"""),18.03)</f>
        <v>18.03</v>
      </c>
      <c r="H66" s="4">
        <f>IFERROR(__xludf.DUMMYFUNCTION("""COMPUTED_VALUE"""),0.0)</f>
        <v>0</v>
      </c>
      <c r="I66" s="4">
        <f>IFERROR(__xludf.DUMMYFUNCTION("""COMPUTED_VALUE"""),24.23)</f>
        <v>24.23</v>
      </c>
      <c r="J66" s="4">
        <f>IFERROR(__xludf.DUMMYFUNCTION("""COMPUTED_VALUE"""),0.0)</f>
        <v>0</v>
      </c>
      <c r="K66" s="4">
        <f>IFERROR(__xludf.DUMMYFUNCTION("""COMPUTED_VALUE"""),452.09380000000004)</f>
        <v>452.0938</v>
      </c>
      <c r="L66" s="4">
        <f>IFERROR(__xludf.DUMMYFUNCTION("""COMPUTED_VALUE"""),1.0129756258546343)</f>
        <v>1.012975626</v>
      </c>
    </row>
    <row r="67">
      <c r="A67" s="4" t="str">
        <f>IFERROR(__xludf.DUMMYFUNCTION("""COMPUTED_VALUE"""),"DDO161")</f>
        <v>DDO161</v>
      </c>
      <c r="B67" s="4">
        <f>IFERROR(__xludf.DUMMYFUNCTION("""COMPUTED_VALUE"""),7.5)</f>
        <v>7.5</v>
      </c>
      <c r="C67" s="4">
        <f>IFERROR(__xludf.DUMMYFUNCTION("""COMPUTED_VALUE"""),1.54)</f>
        <v>1.54</v>
      </c>
      <c r="D67" s="4">
        <f>IFERROR(__xludf.DUMMYFUNCTION("""COMPUTED_VALUE"""),28.9)</f>
        <v>28.9</v>
      </c>
      <c r="E67" s="4">
        <f>IFERROR(__xludf.DUMMYFUNCTION("""COMPUTED_VALUE"""),2.74)</f>
        <v>2.74</v>
      </c>
      <c r="F67" s="4">
        <f>IFERROR(__xludf.DUMMYFUNCTION("""COMPUTED_VALUE"""),15.22)</f>
        <v>15.22</v>
      </c>
      <c r="G67" s="4">
        <f>IFERROR(__xludf.DUMMYFUNCTION("""COMPUTED_VALUE"""),22.44)</f>
        <v>22.44</v>
      </c>
      <c r="H67" s="4">
        <f>IFERROR(__xludf.DUMMYFUNCTION("""COMPUTED_VALUE"""),0.0)</f>
        <v>0</v>
      </c>
      <c r="I67" s="4">
        <f>IFERROR(__xludf.DUMMYFUNCTION("""COMPUTED_VALUE"""),17.21)</f>
        <v>17.21</v>
      </c>
      <c r="J67" s="4">
        <f>IFERROR(__xludf.DUMMYFUNCTION("""COMPUTED_VALUE"""),0.0)</f>
        <v>0</v>
      </c>
      <c r="K67" s="4">
        <f>IFERROR(__xludf.DUMMYFUNCTION("""COMPUTED_VALUE"""),735.2020000000001)</f>
        <v>735.202</v>
      </c>
      <c r="L67" s="4">
        <f>IFERROR(__xludf.DUMMYFUNCTION("""COMPUTED_VALUE"""),1.136027921578015)</f>
        <v>1.136027922</v>
      </c>
    </row>
    <row r="68">
      <c r="A68" s="4" t="str">
        <f>IFERROR(__xludf.DUMMYFUNCTION("""COMPUTED_VALUE"""),"DDO161")</f>
        <v>DDO161</v>
      </c>
      <c r="B68" s="4">
        <f>IFERROR(__xludf.DUMMYFUNCTION("""COMPUTED_VALUE"""),7.5)</f>
        <v>7.5</v>
      </c>
      <c r="C68" s="4">
        <f>IFERROR(__xludf.DUMMYFUNCTION("""COMPUTED_VALUE"""),2.02)</f>
        <v>2.02</v>
      </c>
      <c r="D68" s="4">
        <f>IFERROR(__xludf.DUMMYFUNCTION("""COMPUTED_VALUE"""),32.9)</f>
        <v>32.9</v>
      </c>
      <c r="E68" s="4">
        <f>IFERROR(__xludf.DUMMYFUNCTION("""COMPUTED_VALUE"""),2.65)</f>
        <v>2.65</v>
      </c>
      <c r="F68" s="4">
        <f>IFERROR(__xludf.DUMMYFUNCTION("""COMPUTED_VALUE"""),18.74)</f>
        <v>18.74</v>
      </c>
      <c r="G68" s="4">
        <f>IFERROR(__xludf.DUMMYFUNCTION("""COMPUTED_VALUE"""),24.92)</f>
        <v>24.92</v>
      </c>
      <c r="H68" s="4">
        <f>IFERROR(__xludf.DUMMYFUNCTION("""COMPUTED_VALUE"""),0.0)</f>
        <v>0</v>
      </c>
      <c r="I68" s="4">
        <f>IFERROR(__xludf.DUMMYFUNCTION("""COMPUTED_VALUE"""),11.77)</f>
        <v>11.77</v>
      </c>
      <c r="J68" s="4">
        <f>IFERROR(__xludf.DUMMYFUNCTION("""COMPUTED_VALUE"""),0.0)</f>
        <v>0</v>
      </c>
      <c r="K68" s="4">
        <f>IFERROR(__xludf.DUMMYFUNCTION("""COMPUTED_VALUE"""),972.194)</f>
        <v>972.194</v>
      </c>
      <c r="L68" s="4">
        <f>IFERROR(__xludf.DUMMYFUNCTION("""COMPUTED_VALUE"""),1.1133683194917885)</f>
        <v>1.113368319</v>
      </c>
    </row>
    <row r="69">
      <c r="A69" s="4" t="str">
        <f>IFERROR(__xludf.DUMMYFUNCTION("""COMPUTED_VALUE"""),"DDO161")</f>
        <v>DDO161</v>
      </c>
      <c r="B69" s="4">
        <f>IFERROR(__xludf.DUMMYFUNCTION("""COMPUTED_VALUE"""),7.5)</f>
        <v>7.5</v>
      </c>
      <c r="C69" s="4">
        <f>IFERROR(__xludf.DUMMYFUNCTION("""COMPUTED_VALUE"""),2.49)</f>
        <v>2.49</v>
      </c>
      <c r="D69" s="4">
        <f>IFERROR(__xludf.DUMMYFUNCTION("""COMPUTED_VALUE"""),35.2)</f>
        <v>35.2</v>
      </c>
      <c r="E69" s="4">
        <f>IFERROR(__xludf.DUMMYFUNCTION("""COMPUTED_VALUE"""),2.88)</f>
        <v>2.88</v>
      </c>
      <c r="F69" s="4">
        <f>IFERROR(__xludf.DUMMYFUNCTION("""COMPUTED_VALUE"""),21.52)</f>
        <v>21.52</v>
      </c>
      <c r="G69" s="4">
        <f>IFERROR(__xludf.DUMMYFUNCTION("""COMPUTED_VALUE"""),25.85)</f>
        <v>25.85</v>
      </c>
      <c r="H69" s="4">
        <f>IFERROR(__xludf.DUMMYFUNCTION("""COMPUTED_VALUE"""),0.0)</f>
        <v>0</v>
      </c>
      <c r="I69" s="4">
        <f>IFERROR(__xludf.DUMMYFUNCTION("""COMPUTED_VALUE"""),7.54)</f>
        <v>7.54</v>
      </c>
      <c r="J69" s="4">
        <f>IFERROR(__xludf.DUMMYFUNCTION("""COMPUTED_VALUE"""),0.0)</f>
        <v>0</v>
      </c>
      <c r="K69" s="4">
        <f>IFERROR(__xludf.DUMMYFUNCTION("""COMPUTED_VALUE"""),1131.3329)</f>
        <v>1131.3329</v>
      </c>
      <c r="L69" s="4">
        <f>IFERROR(__xludf.DUMMYFUNCTION("""COMPUTED_VALUE"""),1.0952037194357205)</f>
        <v>1.095203719</v>
      </c>
    </row>
    <row r="70">
      <c r="A70" s="4" t="str">
        <f>IFERROR(__xludf.DUMMYFUNCTION("""COMPUTED_VALUE"""),"DDO161")</f>
        <v>DDO161</v>
      </c>
      <c r="B70" s="4">
        <f>IFERROR(__xludf.DUMMYFUNCTION("""COMPUTED_VALUE"""),7.5)</f>
        <v>7.5</v>
      </c>
      <c r="C70" s="4">
        <f>IFERROR(__xludf.DUMMYFUNCTION("""COMPUTED_VALUE"""),2.96)</f>
        <v>2.96</v>
      </c>
      <c r="D70" s="4">
        <f>IFERROR(__xludf.DUMMYFUNCTION("""COMPUTED_VALUE"""),37.6)</f>
        <v>37.6</v>
      </c>
      <c r="E70" s="4">
        <f>IFERROR(__xludf.DUMMYFUNCTION("""COMPUTED_VALUE"""),3.05)</f>
        <v>3.05</v>
      </c>
      <c r="F70" s="4">
        <f>IFERROR(__xludf.DUMMYFUNCTION("""COMPUTED_VALUE"""),23.28)</f>
        <v>23.28</v>
      </c>
      <c r="G70" s="4">
        <f>IFERROR(__xludf.DUMMYFUNCTION("""COMPUTED_VALUE"""),26.01)</f>
        <v>26.01</v>
      </c>
      <c r="H70" s="4">
        <f>IFERROR(__xludf.DUMMYFUNCTION("""COMPUTED_VALUE"""),0.0)</f>
        <v>0</v>
      </c>
      <c r="I70" s="4">
        <f>IFERROR(__xludf.DUMMYFUNCTION("""COMPUTED_VALUE"""),5.12)</f>
        <v>5.12</v>
      </c>
      <c r="J70" s="4">
        <f>IFERROR(__xludf.DUMMYFUNCTION("""COMPUTED_VALUE"""),0.0)</f>
        <v>0</v>
      </c>
      <c r="K70" s="4">
        <f>IFERROR(__xludf.DUMMYFUNCTION("""COMPUTED_VALUE"""),1218.4785000000002)</f>
        <v>1218.4785</v>
      </c>
      <c r="L70" s="4">
        <f>IFERROR(__xludf.DUMMYFUNCTION("""COMPUTED_VALUE"""),1.1602666768432928)</f>
        <v>1.160266677</v>
      </c>
    </row>
    <row r="71">
      <c r="A71" s="4" t="str">
        <f>IFERROR(__xludf.DUMMYFUNCTION("""COMPUTED_VALUE"""),"DDO161")</f>
        <v>DDO161</v>
      </c>
      <c r="B71" s="4">
        <f>IFERROR(__xludf.DUMMYFUNCTION("""COMPUTED_VALUE"""),7.5)</f>
        <v>7.5</v>
      </c>
      <c r="C71" s="4">
        <f>IFERROR(__xludf.DUMMYFUNCTION("""COMPUTED_VALUE"""),3.43)</f>
        <v>3.43</v>
      </c>
      <c r="D71" s="4">
        <f>IFERROR(__xludf.DUMMYFUNCTION("""COMPUTED_VALUE"""),40.6)</f>
        <v>40.6</v>
      </c>
      <c r="E71" s="4">
        <f>IFERROR(__xludf.DUMMYFUNCTION("""COMPUTED_VALUE"""),3.68)</f>
        <v>3.68</v>
      </c>
      <c r="F71" s="4">
        <f>IFERROR(__xludf.DUMMYFUNCTION("""COMPUTED_VALUE"""),24.59)</f>
        <v>24.59</v>
      </c>
      <c r="G71" s="4">
        <f>IFERROR(__xludf.DUMMYFUNCTION("""COMPUTED_VALUE"""),25.36)</f>
        <v>25.36</v>
      </c>
      <c r="H71" s="4">
        <f>IFERROR(__xludf.DUMMYFUNCTION("""COMPUTED_VALUE"""),0.0)</f>
        <v>0</v>
      </c>
      <c r="I71" s="4">
        <f>IFERROR(__xludf.DUMMYFUNCTION("""COMPUTED_VALUE"""),3.64)</f>
        <v>3.64</v>
      </c>
      <c r="J71" s="4">
        <f>IFERROR(__xludf.DUMMYFUNCTION("""COMPUTED_VALUE"""),0.0)</f>
        <v>0</v>
      </c>
      <c r="K71" s="4">
        <f>IFERROR(__xludf.DUMMYFUNCTION("""COMPUTED_VALUE"""),1247.7977)</f>
        <v>1247.7977</v>
      </c>
      <c r="L71" s="4">
        <f>IFERROR(__xludf.DUMMYFUNCTION("""COMPUTED_VALUE"""),1.3210154178037032)</f>
        <v>1.321015418</v>
      </c>
    </row>
    <row r="72">
      <c r="A72" s="4" t="str">
        <f>IFERROR(__xludf.DUMMYFUNCTION("""COMPUTED_VALUE"""),"DDO161")</f>
        <v>DDO161</v>
      </c>
      <c r="B72" s="4">
        <f>IFERROR(__xludf.DUMMYFUNCTION("""COMPUTED_VALUE"""),7.5)</f>
        <v>7.5</v>
      </c>
      <c r="C72" s="4">
        <f>IFERROR(__xludf.DUMMYFUNCTION("""COMPUTED_VALUE"""),3.9)</f>
        <v>3.9</v>
      </c>
      <c r="D72" s="4">
        <f>IFERROR(__xludf.DUMMYFUNCTION("""COMPUTED_VALUE"""),42.7)</f>
        <v>42.7</v>
      </c>
      <c r="E72" s="4">
        <f>IFERROR(__xludf.DUMMYFUNCTION("""COMPUTED_VALUE"""),3.25)</f>
        <v>3.25</v>
      </c>
      <c r="F72" s="4">
        <f>IFERROR(__xludf.DUMMYFUNCTION("""COMPUTED_VALUE"""),25.62)</f>
        <v>25.62</v>
      </c>
      <c r="G72" s="4">
        <f>IFERROR(__xludf.DUMMYFUNCTION("""COMPUTED_VALUE"""),25.01)</f>
        <v>25.01</v>
      </c>
      <c r="H72" s="4">
        <f>IFERROR(__xludf.DUMMYFUNCTION("""COMPUTED_VALUE"""),0.0)</f>
        <v>0</v>
      </c>
      <c r="I72" s="4">
        <f>IFERROR(__xludf.DUMMYFUNCTION("""COMPUTED_VALUE"""),2.55)</f>
        <v>2.55</v>
      </c>
      <c r="J72" s="4">
        <f>IFERROR(__xludf.DUMMYFUNCTION("""COMPUTED_VALUE"""),0.0)</f>
        <v>0</v>
      </c>
      <c r="K72" s="4">
        <f>IFERROR(__xludf.DUMMYFUNCTION("""COMPUTED_VALUE"""),1281.8845000000001)</f>
        <v>1281.8845</v>
      </c>
      <c r="L72" s="4">
        <f>IFERROR(__xludf.DUMMYFUNCTION("""COMPUTED_VALUE"""),1.4223512336719883)</f>
        <v>1.422351234</v>
      </c>
    </row>
    <row r="73">
      <c r="A73" s="4" t="str">
        <f>IFERROR(__xludf.DUMMYFUNCTION("""COMPUTED_VALUE"""),"DDO161")</f>
        <v>DDO161</v>
      </c>
      <c r="B73" s="4">
        <f>IFERROR(__xludf.DUMMYFUNCTION("""COMPUTED_VALUE"""),7.5)</f>
        <v>7.5</v>
      </c>
      <c r="C73" s="4">
        <f>IFERROR(__xludf.DUMMYFUNCTION("""COMPUTED_VALUE"""),4.37)</f>
        <v>4.37</v>
      </c>
      <c r="D73" s="4">
        <f>IFERROR(__xludf.DUMMYFUNCTION("""COMPUTED_VALUE"""),45.5)</f>
        <v>45.5</v>
      </c>
      <c r="E73" s="4">
        <f>IFERROR(__xludf.DUMMYFUNCTION("""COMPUTED_VALUE"""),2.99)</f>
        <v>2.99</v>
      </c>
      <c r="F73" s="4">
        <f>IFERROR(__xludf.DUMMYFUNCTION("""COMPUTED_VALUE"""),26.35)</f>
        <v>26.35</v>
      </c>
      <c r="G73" s="4">
        <f>IFERROR(__xludf.DUMMYFUNCTION("""COMPUTED_VALUE"""),24.48)</f>
        <v>24.48</v>
      </c>
      <c r="H73" s="4">
        <f>IFERROR(__xludf.DUMMYFUNCTION("""COMPUTED_VALUE"""),0.0)</f>
        <v>0</v>
      </c>
      <c r="I73" s="4">
        <f>IFERROR(__xludf.DUMMYFUNCTION("""COMPUTED_VALUE"""),1.74)</f>
        <v>1.74</v>
      </c>
      <c r="J73" s="4">
        <f>IFERROR(__xludf.DUMMYFUNCTION("""COMPUTED_VALUE"""),0.0)</f>
        <v>0</v>
      </c>
      <c r="K73" s="4">
        <f>IFERROR(__xludf.DUMMYFUNCTION("""COMPUTED_VALUE"""),1293.5929)</f>
        <v>1293.5929</v>
      </c>
      <c r="L73" s="4">
        <f>IFERROR(__xludf.DUMMYFUNCTION("""COMPUTED_VALUE"""),1.6003875717004938)</f>
        <v>1.600387572</v>
      </c>
    </row>
    <row r="74">
      <c r="A74" s="4" t="str">
        <f>IFERROR(__xludf.DUMMYFUNCTION("""COMPUTED_VALUE"""),"DDO161")</f>
        <v>DDO161</v>
      </c>
      <c r="B74" s="4">
        <f>IFERROR(__xludf.DUMMYFUNCTION("""COMPUTED_VALUE"""),7.5)</f>
        <v>7.5</v>
      </c>
      <c r="C74" s="4">
        <f>IFERROR(__xludf.DUMMYFUNCTION("""COMPUTED_VALUE"""),4.86)</f>
        <v>4.86</v>
      </c>
      <c r="D74" s="4">
        <f>IFERROR(__xludf.DUMMYFUNCTION("""COMPUTED_VALUE"""),48.9)</f>
        <v>48.9</v>
      </c>
      <c r="E74" s="4">
        <f>IFERROR(__xludf.DUMMYFUNCTION("""COMPUTED_VALUE"""),1.96)</f>
        <v>1.96</v>
      </c>
      <c r="F74" s="4">
        <f>IFERROR(__xludf.DUMMYFUNCTION("""COMPUTED_VALUE"""),27.08)</f>
        <v>27.08</v>
      </c>
      <c r="G74" s="4">
        <f>IFERROR(__xludf.DUMMYFUNCTION("""COMPUTED_VALUE"""),23.7)</f>
        <v>23.7</v>
      </c>
      <c r="H74" s="4">
        <f>IFERROR(__xludf.DUMMYFUNCTION("""COMPUTED_VALUE"""),0.0)</f>
        <v>0</v>
      </c>
      <c r="I74" s="4">
        <f>IFERROR(__xludf.DUMMYFUNCTION("""COMPUTED_VALUE"""),1.09)</f>
        <v>1.09</v>
      </c>
      <c r="J74" s="4">
        <f>IFERROR(__xludf.DUMMYFUNCTION("""COMPUTED_VALUE"""),0.0)</f>
        <v>0</v>
      </c>
      <c r="K74" s="4">
        <f>IFERROR(__xludf.DUMMYFUNCTION("""COMPUTED_VALUE"""),1295.0164)</f>
        <v>1295.0164</v>
      </c>
      <c r="L74" s="4">
        <f>IFERROR(__xludf.DUMMYFUNCTION("""COMPUTED_VALUE"""),1.846470824616584)</f>
        <v>1.846470825</v>
      </c>
    </row>
    <row r="75">
      <c r="A75" s="4" t="str">
        <f>IFERROR(__xludf.DUMMYFUNCTION("""COMPUTED_VALUE"""),"DDO161")</f>
        <v>DDO161</v>
      </c>
      <c r="B75" s="4">
        <f>IFERROR(__xludf.DUMMYFUNCTION("""COMPUTED_VALUE"""),7.5)</f>
        <v>7.5</v>
      </c>
      <c r="C75" s="4">
        <f>IFERROR(__xludf.DUMMYFUNCTION("""COMPUTED_VALUE"""),5.34)</f>
        <v>5.34</v>
      </c>
      <c r="D75" s="4">
        <f>IFERROR(__xludf.DUMMYFUNCTION("""COMPUTED_VALUE"""),51.5)</f>
        <v>51.5</v>
      </c>
      <c r="E75" s="4">
        <f>IFERROR(__xludf.DUMMYFUNCTION("""COMPUTED_VALUE"""),1.53)</f>
        <v>1.53</v>
      </c>
      <c r="F75" s="4">
        <f>IFERROR(__xludf.DUMMYFUNCTION("""COMPUTED_VALUE"""),27.81)</f>
        <v>27.81</v>
      </c>
      <c r="G75" s="4">
        <f>IFERROR(__xludf.DUMMYFUNCTION("""COMPUTED_VALUE"""),22.69)</f>
        <v>22.69</v>
      </c>
      <c r="H75" s="4">
        <f>IFERROR(__xludf.DUMMYFUNCTION("""COMPUTED_VALUE"""),0.0)</f>
        <v>0</v>
      </c>
      <c r="I75" s="4">
        <f>IFERROR(__xludf.DUMMYFUNCTION("""COMPUTED_VALUE"""),0.64)</f>
        <v>0.64</v>
      </c>
      <c r="J75" s="4">
        <f>IFERROR(__xludf.DUMMYFUNCTION("""COMPUTED_VALUE"""),0.0)</f>
        <v>0</v>
      </c>
      <c r="K75" s="4">
        <f>IFERROR(__xludf.DUMMYFUNCTION("""COMPUTED_VALUE"""),1288.2322)</f>
        <v>1288.2322</v>
      </c>
      <c r="L75" s="4">
        <f>IFERROR(__xludf.DUMMYFUNCTION("""COMPUTED_VALUE"""),2.0588291458636108)</f>
        <v>2.058829146</v>
      </c>
    </row>
    <row r="76">
      <c r="A76" s="4" t="str">
        <f>IFERROR(__xludf.DUMMYFUNCTION("""COMPUTED_VALUE"""),"DDO161")</f>
        <v>DDO161</v>
      </c>
      <c r="B76" s="4">
        <f>IFERROR(__xludf.DUMMYFUNCTION("""COMPUTED_VALUE"""),7.5)</f>
        <v>7.5</v>
      </c>
      <c r="C76" s="4">
        <f>IFERROR(__xludf.DUMMYFUNCTION("""COMPUTED_VALUE"""),5.81)</f>
        <v>5.81</v>
      </c>
      <c r="D76" s="4">
        <f>IFERROR(__xludf.DUMMYFUNCTION("""COMPUTED_VALUE"""),53.0)</f>
        <v>53</v>
      </c>
      <c r="E76" s="4">
        <f>IFERROR(__xludf.DUMMYFUNCTION("""COMPUTED_VALUE"""),1.86)</f>
        <v>1.86</v>
      </c>
      <c r="F76" s="4">
        <f>IFERROR(__xludf.DUMMYFUNCTION("""COMPUTED_VALUE"""),28.4)</f>
        <v>28.4</v>
      </c>
      <c r="G76" s="4">
        <f>IFERROR(__xludf.DUMMYFUNCTION("""COMPUTED_VALUE"""),21.59)</f>
        <v>21.59</v>
      </c>
      <c r="H76" s="4">
        <f>IFERROR(__xludf.DUMMYFUNCTION("""COMPUTED_VALUE"""),0.0)</f>
        <v>0</v>
      </c>
      <c r="I76" s="4">
        <f>IFERROR(__xludf.DUMMYFUNCTION("""COMPUTED_VALUE"""),0.46)</f>
        <v>0.46</v>
      </c>
      <c r="J76" s="4">
        <f>IFERROR(__xludf.DUMMYFUNCTION("""COMPUTED_VALUE"""),0.0)</f>
        <v>0</v>
      </c>
      <c r="K76" s="4">
        <f>IFERROR(__xludf.DUMMYFUNCTION("""COMPUTED_VALUE"""),1272.6880999999998)</f>
        <v>1272.6881</v>
      </c>
      <c r="L76" s="4">
        <f>IFERROR(__xludf.DUMMYFUNCTION("""COMPUTED_VALUE"""),2.2071393611679095)</f>
        <v>2.207139361</v>
      </c>
    </row>
    <row r="77">
      <c r="A77" s="4" t="str">
        <f>IFERROR(__xludf.DUMMYFUNCTION("""COMPUTED_VALUE"""),"DDO161")</f>
        <v>DDO161</v>
      </c>
      <c r="B77" s="4">
        <f>IFERROR(__xludf.DUMMYFUNCTION("""COMPUTED_VALUE"""),7.5)</f>
        <v>7.5</v>
      </c>
      <c r="C77" s="4">
        <f>IFERROR(__xludf.DUMMYFUNCTION("""COMPUTED_VALUE"""),6.28)</f>
        <v>6.28</v>
      </c>
      <c r="D77" s="4">
        <f>IFERROR(__xludf.DUMMYFUNCTION("""COMPUTED_VALUE"""),55.0)</f>
        <v>55</v>
      </c>
      <c r="E77" s="4">
        <f>IFERROR(__xludf.DUMMYFUNCTION("""COMPUTED_VALUE"""),1.48)</f>
        <v>1.48</v>
      </c>
      <c r="F77" s="4">
        <f>IFERROR(__xludf.DUMMYFUNCTION("""COMPUTED_VALUE"""),28.98)</f>
        <v>28.98</v>
      </c>
      <c r="G77" s="4">
        <f>IFERROR(__xludf.DUMMYFUNCTION("""COMPUTED_VALUE"""),20.86)</f>
        <v>20.86</v>
      </c>
      <c r="H77" s="4">
        <f>IFERROR(__xludf.DUMMYFUNCTION("""COMPUTED_VALUE"""),0.0)</f>
        <v>0</v>
      </c>
      <c r="I77" s="4">
        <f>IFERROR(__xludf.DUMMYFUNCTION("""COMPUTED_VALUE"""),0.36)</f>
        <v>0.36</v>
      </c>
      <c r="J77" s="4">
        <f>IFERROR(__xludf.DUMMYFUNCTION("""COMPUTED_VALUE"""),0.0)</f>
        <v>0</v>
      </c>
      <c r="K77" s="4">
        <f>IFERROR(__xludf.DUMMYFUNCTION("""COMPUTED_VALUE"""),1274.98)</f>
        <v>1274.98</v>
      </c>
      <c r="L77" s="4">
        <f>IFERROR(__xludf.DUMMYFUNCTION("""COMPUTED_VALUE"""),2.3725862366468493)</f>
        <v>2.372586237</v>
      </c>
    </row>
    <row r="78">
      <c r="A78" s="4" t="str">
        <f>IFERROR(__xludf.DUMMYFUNCTION("""COMPUTED_VALUE"""),"DDO161")</f>
        <v>DDO161</v>
      </c>
      <c r="B78" s="4">
        <f>IFERROR(__xludf.DUMMYFUNCTION("""COMPUTED_VALUE"""),7.5)</f>
        <v>7.5</v>
      </c>
      <c r="C78" s="4">
        <f>IFERROR(__xludf.DUMMYFUNCTION("""COMPUTED_VALUE"""),6.75)</f>
        <v>6.75</v>
      </c>
      <c r="D78" s="4">
        <f>IFERROR(__xludf.DUMMYFUNCTION("""COMPUTED_VALUE"""),57.6)</f>
        <v>57.6</v>
      </c>
      <c r="E78" s="4">
        <f>IFERROR(__xludf.DUMMYFUNCTION("""COMPUTED_VALUE"""),0.99)</f>
        <v>0.99</v>
      </c>
      <c r="F78" s="4">
        <f>IFERROR(__xludf.DUMMYFUNCTION("""COMPUTED_VALUE"""),29.57)</f>
        <v>29.57</v>
      </c>
      <c r="G78" s="4">
        <f>IFERROR(__xludf.DUMMYFUNCTION("""COMPUTED_VALUE"""),20.11)</f>
        <v>20.11</v>
      </c>
      <c r="H78" s="4">
        <f>IFERROR(__xludf.DUMMYFUNCTION("""COMPUTED_VALUE"""),0.0)</f>
        <v>0</v>
      </c>
      <c r="I78" s="4">
        <f>IFERROR(__xludf.DUMMYFUNCTION("""COMPUTED_VALUE"""),0.24)</f>
        <v>0.24</v>
      </c>
      <c r="J78" s="4">
        <f>IFERROR(__xludf.DUMMYFUNCTION("""COMPUTED_VALUE"""),0.0)</f>
        <v>0</v>
      </c>
      <c r="K78" s="4">
        <f>IFERROR(__xludf.DUMMYFUNCTION("""COMPUTED_VALUE"""),1278.797)</f>
        <v>1278.797</v>
      </c>
      <c r="L78" s="4">
        <f>IFERROR(__xludf.DUMMYFUNCTION("""COMPUTED_VALUE"""),2.594438366683688)</f>
        <v>2.594438367</v>
      </c>
    </row>
    <row r="79">
      <c r="A79" s="4" t="str">
        <f>IFERROR(__xludf.DUMMYFUNCTION("""COMPUTED_VALUE"""),"DDO161")</f>
        <v>DDO161</v>
      </c>
      <c r="B79" s="4">
        <f>IFERROR(__xludf.DUMMYFUNCTION("""COMPUTED_VALUE"""),7.5)</f>
        <v>7.5</v>
      </c>
      <c r="C79" s="4">
        <f>IFERROR(__xludf.DUMMYFUNCTION("""COMPUTED_VALUE"""),7.22)</f>
        <v>7.22</v>
      </c>
      <c r="D79" s="4">
        <f>IFERROR(__xludf.DUMMYFUNCTION("""COMPUTED_VALUE"""),59.7)</f>
        <v>59.7</v>
      </c>
      <c r="E79" s="4">
        <f>IFERROR(__xludf.DUMMYFUNCTION("""COMPUTED_VALUE"""),1.19)</f>
        <v>1.19</v>
      </c>
      <c r="F79" s="4">
        <f>IFERROR(__xludf.DUMMYFUNCTION("""COMPUTED_VALUE"""),30.3)</f>
        <v>30.3</v>
      </c>
      <c r="G79" s="4">
        <f>IFERROR(__xludf.DUMMYFUNCTION("""COMPUTED_VALUE"""),19.38)</f>
        <v>19.38</v>
      </c>
      <c r="H79" s="4">
        <f>IFERROR(__xludf.DUMMYFUNCTION("""COMPUTED_VALUE"""),0.0)</f>
        <v>0</v>
      </c>
      <c r="I79" s="4">
        <f>IFERROR(__xludf.DUMMYFUNCTION("""COMPUTED_VALUE"""),0.16)</f>
        <v>0.16</v>
      </c>
      <c r="J79" s="4">
        <f>IFERROR(__xludf.DUMMYFUNCTION("""COMPUTED_VALUE"""),0.0)</f>
        <v>0</v>
      </c>
      <c r="K79" s="4">
        <f>IFERROR(__xludf.DUMMYFUNCTION("""COMPUTED_VALUE"""),1293.6743999999999)</f>
        <v>1293.6744</v>
      </c>
      <c r="L79" s="4">
        <f>IFERROR(__xludf.DUMMYFUNCTION("""COMPUTED_VALUE"""),2.755013162508279)</f>
        <v>2.755013163</v>
      </c>
    </row>
    <row r="80">
      <c r="A80" s="4" t="str">
        <f>IFERROR(__xludf.DUMMYFUNCTION("""COMPUTED_VALUE"""),"DDO161")</f>
        <v>DDO161</v>
      </c>
      <c r="B80" s="4">
        <f>IFERROR(__xludf.DUMMYFUNCTION("""COMPUTED_VALUE"""),7.5)</f>
        <v>7.5</v>
      </c>
      <c r="C80" s="4">
        <f>IFERROR(__xludf.DUMMYFUNCTION("""COMPUTED_VALUE"""),7.69)</f>
        <v>7.69</v>
      </c>
      <c r="D80" s="4">
        <f>IFERROR(__xludf.DUMMYFUNCTION("""COMPUTED_VALUE"""),60.5)</f>
        <v>60.5</v>
      </c>
      <c r="E80" s="4">
        <f>IFERROR(__xludf.DUMMYFUNCTION("""COMPUTED_VALUE"""),1.26)</f>
        <v>1.26</v>
      </c>
      <c r="F80" s="4">
        <f>IFERROR(__xludf.DUMMYFUNCTION("""COMPUTED_VALUE"""),31.18)</f>
        <v>31.18</v>
      </c>
      <c r="G80" s="4">
        <f>IFERROR(__xludf.DUMMYFUNCTION("""COMPUTED_VALUE"""),18.7)</f>
        <v>18.7</v>
      </c>
      <c r="H80" s="4">
        <f>IFERROR(__xludf.DUMMYFUNCTION("""COMPUTED_VALUE"""),0.0)</f>
        <v>0</v>
      </c>
      <c r="I80" s="4">
        <f>IFERROR(__xludf.DUMMYFUNCTION("""COMPUTED_VALUE"""),0.11)</f>
        <v>0.11</v>
      </c>
      <c r="J80" s="4">
        <f>IFERROR(__xludf.DUMMYFUNCTION("""COMPUTED_VALUE"""),0.0)</f>
        <v>0</v>
      </c>
      <c r="K80" s="4">
        <f>IFERROR(__xludf.DUMMYFUNCTION("""COMPUTED_VALUE"""),1321.8824)</f>
        <v>1321.8824</v>
      </c>
      <c r="L80" s="4">
        <f>IFERROR(__xludf.DUMMYFUNCTION("""COMPUTED_VALUE"""),2.768967950552939)</f>
        <v>2.768967951</v>
      </c>
    </row>
    <row r="81">
      <c r="A81" s="4" t="str">
        <f>IFERROR(__xludf.DUMMYFUNCTION("""COMPUTED_VALUE"""),"DDO161")</f>
        <v>DDO161</v>
      </c>
      <c r="B81" s="4">
        <f>IFERROR(__xludf.DUMMYFUNCTION("""COMPUTED_VALUE"""),7.5)</f>
        <v>7.5</v>
      </c>
      <c r="C81" s="4">
        <f>IFERROR(__xludf.DUMMYFUNCTION("""COMPUTED_VALUE"""),8.16)</f>
        <v>8.16</v>
      </c>
      <c r="D81" s="4">
        <f>IFERROR(__xludf.DUMMYFUNCTION("""COMPUTED_VALUE"""),61.8)</f>
        <v>61.8</v>
      </c>
      <c r="E81" s="4">
        <f>IFERROR(__xludf.DUMMYFUNCTION("""COMPUTED_VALUE"""),1.33)</f>
        <v>1.33</v>
      </c>
      <c r="F81" s="4">
        <f>IFERROR(__xludf.DUMMYFUNCTION("""COMPUTED_VALUE"""),32.06)</f>
        <v>32.06</v>
      </c>
      <c r="G81" s="4">
        <f>IFERROR(__xludf.DUMMYFUNCTION("""COMPUTED_VALUE"""),18.06)</f>
        <v>18.06</v>
      </c>
      <c r="H81" s="4">
        <f>IFERROR(__xludf.DUMMYFUNCTION("""COMPUTED_VALUE"""),0.0)</f>
        <v>0</v>
      </c>
      <c r="I81" s="4">
        <f>IFERROR(__xludf.DUMMYFUNCTION("""COMPUTED_VALUE"""),0.07)</f>
        <v>0.07</v>
      </c>
      <c r="J81" s="4">
        <f>IFERROR(__xludf.DUMMYFUNCTION("""COMPUTED_VALUE"""),0.0)</f>
        <v>0</v>
      </c>
      <c r="K81" s="4">
        <f>IFERROR(__xludf.DUMMYFUNCTION("""COMPUTED_VALUE"""),1354.0072)</f>
        <v>1354.0072</v>
      </c>
      <c r="L81" s="4">
        <f>IFERROR(__xludf.DUMMYFUNCTION("""COMPUTED_VALUE"""),2.8206940110805907)</f>
        <v>2.820694011</v>
      </c>
    </row>
    <row r="82">
      <c r="A82" s="4" t="str">
        <f>IFERROR(__xludf.DUMMYFUNCTION("""COMPUTED_VALUE"""),"DDO161")</f>
        <v>DDO161</v>
      </c>
      <c r="B82" s="4">
        <f>IFERROR(__xludf.DUMMYFUNCTION("""COMPUTED_VALUE"""),7.5)</f>
        <v>7.5</v>
      </c>
      <c r="C82" s="4">
        <f>IFERROR(__xludf.DUMMYFUNCTION("""COMPUTED_VALUE"""),8.64)</f>
        <v>8.64</v>
      </c>
      <c r="D82" s="4">
        <f>IFERROR(__xludf.DUMMYFUNCTION("""COMPUTED_VALUE"""),62.9)</f>
        <v>62.9</v>
      </c>
      <c r="E82" s="4">
        <f>IFERROR(__xludf.DUMMYFUNCTION("""COMPUTED_VALUE"""),1.35)</f>
        <v>1.35</v>
      </c>
      <c r="F82" s="4">
        <f>IFERROR(__xludf.DUMMYFUNCTION("""COMPUTED_VALUE"""),32.64)</f>
        <v>32.64</v>
      </c>
      <c r="G82" s="4">
        <f>IFERROR(__xludf.DUMMYFUNCTION("""COMPUTED_VALUE"""),17.47)</f>
        <v>17.47</v>
      </c>
      <c r="H82" s="4">
        <f>IFERROR(__xludf.DUMMYFUNCTION("""COMPUTED_VALUE"""),0.0)</f>
        <v>0</v>
      </c>
      <c r="I82" s="4">
        <f>IFERROR(__xludf.DUMMYFUNCTION("""COMPUTED_VALUE"""),0.05)</f>
        <v>0.05</v>
      </c>
      <c r="J82" s="4">
        <f>IFERROR(__xludf.DUMMYFUNCTION("""COMPUTED_VALUE"""),0.0)</f>
        <v>0</v>
      </c>
      <c r="K82" s="4">
        <f>IFERROR(__xludf.DUMMYFUNCTION("""COMPUTED_VALUE"""),1370.5704999999998)</f>
        <v>1370.5705</v>
      </c>
      <c r="L82" s="4">
        <f>IFERROR(__xludf.DUMMYFUNCTION("""COMPUTED_VALUE"""),2.8866884264618276)</f>
        <v>2.886688426</v>
      </c>
    </row>
    <row r="83">
      <c r="A83" s="4" t="str">
        <f>IFERROR(__xludf.DUMMYFUNCTION("""COMPUTED_VALUE"""),"DDO161")</f>
        <v>DDO161</v>
      </c>
      <c r="B83" s="4">
        <f>IFERROR(__xludf.DUMMYFUNCTION("""COMPUTED_VALUE"""),7.5)</f>
        <v>7.5</v>
      </c>
      <c r="C83" s="4">
        <f>IFERROR(__xludf.DUMMYFUNCTION("""COMPUTED_VALUE"""),9.11)</f>
        <v>9.11</v>
      </c>
      <c r="D83" s="4">
        <f>IFERROR(__xludf.DUMMYFUNCTION("""COMPUTED_VALUE"""),63.0)</f>
        <v>63</v>
      </c>
      <c r="E83" s="4">
        <f>IFERROR(__xludf.DUMMYFUNCTION("""COMPUTED_VALUE"""),2.09)</f>
        <v>2.09</v>
      </c>
      <c r="F83" s="4">
        <f>IFERROR(__xludf.DUMMYFUNCTION("""COMPUTED_VALUE"""),33.23)</f>
        <v>33.23</v>
      </c>
      <c r="G83" s="4">
        <f>IFERROR(__xludf.DUMMYFUNCTION("""COMPUTED_VALUE"""),16.94)</f>
        <v>16.94</v>
      </c>
      <c r="H83" s="4">
        <f>IFERROR(__xludf.DUMMYFUNCTION("""COMPUTED_VALUE"""),0.0)</f>
        <v>0</v>
      </c>
      <c r="I83" s="4">
        <f>IFERROR(__xludf.DUMMYFUNCTION("""COMPUTED_VALUE"""),0.03)</f>
        <v>0.03</v>
      </c>
      <c r="J83" s="4">
        <f>IFERROR(__xludf.DUMMYFUNCTION("""COMPUTED_VALUE"""),0.0)</f>
        <v>0</v>
      </c>
      <c r="K83" s="4">
        <f>IFERROR(__xludf.DUMMYFUNCTION("""COMPUTED_VALUE"""),1391.1964999999998)</f>
        <v>1391.1965</v>
      </c>
      <c r="L83" s="4">
        <f>IFERROR(__xludf.DUMMYFUNCTION("""COMPUTED_VALUE"""),2.8529398974192364)</f>
        <v>2.852939897</v>
      </c>
    </row>
    <row r="84">
      <c r="A84" s="4" t="str">
        <f>IFERROR(__xludf.DUMMYFUNCTION("""COMPUTED_VALUE"""),"DDO161")</f>
        <v>DDO161</v>
      </c>
      <c r="B84" s="4">
        <f>IFERROR(__xludf.DUMMYFUNCTION("""COMPUTED_VALUE"""),7.5)</f>
        <v>7.5</v>
      </c>
      <c r="C84" s="4">
        <f>IFERROR(__xludf.DUMMYFUNCTION("""COMPUTED_VALUE"""),9.58)</f>
        <v>9.58</v>
      </c>
      <c r="D84" s="4">
        <f>IFERROR(__xludf.DUMMYFUNCTION("""COMPUTED_VALUE"""),64.5)</f>
        <v>64.5</v>
      </c>
      <c r="E84" s="4">
        <f>IFERROR(__xludf.DUMMYFUNCTION("""COMPUTED_VALUE"""),2.38)</f>
        <v>2.38</v>
      </c>
      <c r="F84" s="4">
        <f>IFERROR(__xludf.DUMMYFUNCTION("""COMPUTED_VALUE"""),33.38)</f>
        <v>33.38</v>
      </c>
      <c r="G84" s="4">
        <f>IFERROR(__xludf.DUMMYFUNCTION("""COMPUTED_VALUE"""),16.44)</f>
        <v>16.44</v>
      </c>
      <c r="H84" s="4">
        <f>IFERROR(__xludf.DUMMYFUNCTION("""COMPUTED_VALUE"""),0.0)</f>
        <v>0</v>
      </c>
      <c r="I84" s="4">
        <f>IFERROR(__xludf.DUMMYFUNCTION("""COMPUTED_VALUE"""),0.02)</f>
        <v>0.02</v>
      </c>
      <c r="J84" s="4">
        <f>IFERROR(__xludf.DUMMYFUNCTION("""COMPUTED_VALUE"""),0.0)</f>
        <v>0</v>
      </c>
      <c r="K84" s="4">
        <f>IFERROR(__xludf.DUMMYFUNCTION("""COMPUTED_VALUE"""),1384.498)</f>
        <v>1384.498</v>
      </c>
      <c r="L84" s="4">
        <f>IFERROR(__xludf.DUMMYFUNCTION("""COMPUTED_VALUE"""),3.0048797470274424)</f>
        <v>3.004879747</v>
      </c>
    </row>
    <row r="85">
      <c r="A85" s="4" t="str">
        <f>IFERROR(__xludf.DUMMYFUNCTION("""COMPUTED_VALUE"""),"DDO161")</f>
        <v>DDO161</v>
      </c>
      <c r="B85" s="4">
        <f>IFERROR(__xludf.DUMMYFUNCTION("""COMPUTED_VALUE"""),7.5)</f>
        <v>7.5</v>
      </c>
      <c r="C85" s="4">
        <f>IFERROR(__xludf.DUMMYFUNCTION("""COMPUTED_VALUE"""),10.05)</f>
        <v>10.05</v>
      </c>
      <c r="D85" s="4">
        <f>IFERROR(__xludf.DUMMYFUNCTION("""COMPUTED_VALUE"""),65.6)</f>
        <v>65.6</v>
      </c>
      <c r="E85" s="4">
        <f>IFERROR(__xludf.DUMMYFUNCTION("""COMPUTED_VALUE"""),1.08)</f>
        <v>1.08</v>
      </c>
      <c r="F85" s="4">
        <f>IFERROR(__xludf.DUMMYFUNCTION("""COMPUTED_VALUE"""),33.38)</f>
        <v>33.38</v>
      </c>
      <c r="G85" s="4">
        <f>IFERROR(__xludf.DUMMYFUNCTION("""COMPUTED_VALUE"""),15.98)</f>
        <v>15.98</v>
      </c>
      <c r="H85" s="4">
        <f>IFERROR(__xludf.DUMMYFUNCTION("""COMPUTED_VALUE"""),0.0)</f>
        <v>0</v>
      </c>
      <c r="I85" s="4">
        <f>IFERROR(__xludf.DUMMYFUNCTION("""COMPUTED_VALUE"""),0.02)</f>
        <v>0.02</v>
      </c>
      <c r="J85" s="4">
        <f>IFERROR(__xludf.DUMMYFUNCTION("""COMPUTED_VALUE"""),0.0)</f>
        <v>0</v>
      </c>
      <c r="K85" s="4">
        <f>IFERROR(__xludf.DUMMYFUNCTION("""COMPUTED_VALUE"""),1369.5848)</f>
        <v>1369.5848</v>
      </c>
      <c r="L85" s="4">
        <f>IFERROR(__xludf.DUMMYFUNCTION("""COMPUTED_VALUE"""),3.142090946102789)</f>
        <v>3.142090946</v>
      </c>
    </row>
    <row r="86">
      <c r="A86" s="4" t="str">
        <f>IFERROR(__xludf.DUMMYFUNCTION("""COMPUTED_VALUE"""),"DDO161")</f>
        <v>DDO161</v>
      </c>
      <c r="B86" s="4">
        <f>IFERROR(__xludf.DUMMYFUNCTION("""COMPUTED_VALUE"""),7.5)</f>
        <v>7.5</v>
      </c>
      <c r="C86" s="4">
        <f>IFERROR(__xludf.DUMMYFUNCTION("""COMPUTED_VALUE"""),10.52)</f>
        <v>10.52</v>
      </c>
      <c r="D86" s="4">
        <f>IFERROR(__xludf.DUMMYFUNCTION("""COMPUTED_VALUE"""),67.5)</f>
        <v>67.5</v>
      </c>
      <c r="E86" s="4">
        <f>IFERROR(__xludf.DUMMYFUNCTION("""COMPUTED_VALUE"""),3.22)</f>
        <v>3.22</v>
      </c>
      <c r="F86" s="4">
        <f>IFERROR(__xludf.DUMMYFUNCTION("""COMPUTED_VALUE"""),32.79)</f>
        <v>32.79</v>
      </c>
      <c r="G86" s="4">
        <f>IFERROR(__xludf.DUMMYFUNCTION("""COMPUTED_VALUE"""),15.57)</f>
        <v>15.57</v>
      </c>
      <c r="H86" s="4">
        <f>IFERROR(__xludf.DUMMYFUNCTION("""COMPUTED_VALUE"""),0.0)</f>
        <v>0</v>
      </c>
      <c r="I86" s="4">
        <f>IFERROR(__xludf.DUMMYFUNCTION("""COMPUTED_VALUE"""),0.01)</f>
        <v>0.01</v>
      </c>
      <c r="J86" s="4">
        <f>IFERROR(__xludf.DUMMYFUNCTION("""COMPUTED_VALUE"""),0.0)</f>
        <v>0</v>
      </c>
      <c r="K86" s="4">
        <f>IFERROR(__xludf.DUMMYFUNCTION("""COMPUTED_VALUE"""),1317.609)</f>
        <v>1317.609</v>
      </c>
      <c r="L86" s="4">
        <f>IFERROR(__xludf.DUMMYFUNCTION("""COMPUTED_VALUE"""),3.457968183277437)</f>
        <v>3.457968183</v>
      </c>
    </row>
    <row r="87">
      <c r="A87" s="4" t="str">
        <f>IFERROR(__xludf.DUMMYFUNCTION("""COMPUTED_VALUE"""),"DDO161")</f>
        <v>DDO161</v>
      </c>
      <c r="B87" s="4">
        <f>IFERROR(__xludf.DUMMYFUNCTION("""COMPUTED_VALUE"""),7.5)</f>
        <v>7.5</v>
      </c>
      <c r="C87" s="4">
        <f>IFERROR(__xludf.DUMMYFUNCTION("""COMPUTED_VALUE"""),10.99)</f>
        <v>10.99</v>
      </c>
      <c r="D87" s="4">
        <f>IFERROR(__xludf.DUMMYFUNCTION("""COMPUTED_VALUE"""),66.8)</f>
        <v>66.8</v>
      </c>
      <c r="E87" s="4">
        <f>IFERROR(__xludf.DUMMYFUNCTION("""COMPUTED_VALUE"""),2.37)</f>
        <v>2.37</v>
      </c>
      <c r="F87" s="4">
        <f>IFERROR(__xludf.DUMMYFUNCTION("""COMPUTED_VALUE"""),32.06)</f>
        <v>32.06</v>
      </c>
      <c r="G87" s="4">
        <f>IFERROR(__xludf.DUMMYFUNCTION("""COMPUTED_VALUE"""),15.18)</f>
        <v>15.18</v>
      </c>
      <c r="H87" s="4">
        <f>IFERROR(__xludf.DUMMYFUNCTION("""COMPUTED_VALUE"""),0.0)</f>
        <v>0</v>
      </c>
      <c r="I87" s="4">
        <f>IFERROR(__xludf.DUMMYFUNCTION("""COMPUTED_VALUE"""),0.01)</f>
        <v>0.01</v>
      </c>
      <c r="J87" s="4">
        <f>IFERROR(__xludf.DUMMYFUNCTION("""COMPUTED_VALUE"""),0.0)</f>
        <v>0</v>
      </c>
      <c r="K87" s="4">
        <f>IFERROR(__xludf.DUMMYFUNCTION("""COMPUTED_VALUE"""),1258.276)</f>
        <v>1258.276</v>
      </c>
      <c r="L87" s="4">
        <f>IFERROR(__xludf.DUMMYFUNCTION("""COMPUTED_VALUE"""),3.5463125737119676)</f>
        <v>3.546312574</v>
      </c>
    </row>
    <row r="88">
      <c r="A88" s="4" t="str">
        <f>IFERROR(__xludf.DUMMYFUNCTION("""COMPUTED_VALUE"""),"DDO161")</f>
        <v>DDO161</v>
      </c>
      <c r="B88" s="4">
        <f>IFERROR(__xludf.DUMMYFUNCTION("""COMPUTED_VALUE"""),7.5)</f>
        <v>7.5</v>
      </c>
      <c r="C88" s="4">
        <f>IFERROR(__xludf.DUMMYFUNCTION("""COMPUTED_VALUE"""),11.46)</f>
        <v>11.46</v>
      </c>
      <c r="D88" s="4">
        <f>IFERROR(__xludf.DUMMYFUNCTION("""COMPUTED_VALUE"""),66.8)</f>
        <v>66.8</v>
      </c>
      <c r="E88" s="4">
        <f>IFERROR(__xludf.DUMMYFUNCTION("""COMPUTED_VALUE"""),0.95)</f>
        <v>0.95</v>
      </c>
      <c r="F88" s="4">
        <f>IFERROR(__xludf.DUMMYFUNCTION("""COMPUTED_VALUE"""),31.18)</f>
        <v>31.18</v>
      </c>
      <c r="G88" s="4">
        <f>IFERROR(__xludf.DUMMYFUNCTION("""COMPUTED_VALUE"""),14.81)</f>
        <v>14.81</v>
      </c>
      <c r="H88" s="4">
        <f>IFERROR(__xludf.DUMMYFUNCTION("""COMPUTED_VALUE"""),0.0)</f>
        <v>0</v>
      </c>
      <c r="I88" s="4">
        <f>IFERROR(__xludf.DUMMYFUNCTION("""COMPUTED_VALUE"""),0.0)</f>
        <v>0</v>
      </c>
      <c r="J88" s="4">
        <f>IFERROR(__xludf.DUMMYFUNCTION("""COMPUTED_VALUE"""),0.0)</f>
        <v>0</v>
      </c>
      <c r="K88" s="4">
        <f>IFERROR(__xludf.DUMMYFUNCTION("""COMPUTED_VALUE"""),1191.5285000000001)</f>
        <v>1191.5285</v>
      </c>
      <c r="L88" s="4">
        <f>IFERROR(__xludf.DUMMYFUNCTION("""COMPUTED_VALUE"""),3.7449712700955113)</f>
        <v>3.74497127</v>
      </c>
    </row>
    <row r="89">
      <c r="A89" s="4" t="str">
        <f>IFERROR(__xludf.DUMMYFUNCTION("""COMPUTED_VALUE"""),"DDO161")</f>
        <v>DDO161</v>
      </c>
      <c r="B89" s="4">
        <f>IFERROR(__xludf.DUMMYFUNCTION("""COMPUTED_VALUE"""),7.5)</f>
        <v>7.5</v>
      </c>
      <c r="C89" s="4">
        <f>IFERROR(__xludf.DUMMYFUNCTION("""COMPUTED_VALUE"""),11.94)</f>
        <v>11.94</v>
      </c>
      <c r="D89" s="4">
        <f>IFERROR(__xludf.DUMMYFUNCTION("""COMPUTED_VALUE"""),66.6)</f>
        <v>66.6</v>
      </c>
      <c r="E89" s="4">
        <f>IFERROR(__xludf.DUMMYFUNCTION("""COMPUTED_VALUE"""),0.96)</f>
        <v>0.96</v>
      </c>
      <c r="F89" s="4">
        <f>IFERROR(__xludf.DUMMYFUNCTION("""COMPUTED_VALUE"""),30.3)</f>
        <v>30.3</v>
      </c>
      <c r="G89" s="4">
        <f>IFERROR(__xludf.DUMMYFUNCTION("""COMPUTED_VALUE"""),14.47)</f>
        <v>14.47</v>
      </c>
      <c r="H89" s="4">
        <f>IFERROR(__xludf.DUMMYFUNCTION("""COMPUTED_VALUE"""),0.0)</f>
        <v>0</v>
      </c>
      <c r="I89" s="4">
        <f>IFERROR(__xludf.DUMMYFUNCTION("""COMPUTED_VALUE"""),0.0)</f>
        <v>0</v>
      </c>
      <c r="J89" s="4">
        <f>IFERROR(__xludf.DUMMYFUNCTION("""COMPUTED_VALUE"""),0.0)</f>
        <v>0</v>
      </c>
      <c r="K89" s="4">
        <f>IFERROR(__xludf.DUMMYFUNCTION("""COMPUTED_VALUE"""),1127.4709)</f>
        <v>1127.4709</v>
      </c>
      <c r="L89" s="4">
        <f>IFERROR(__xludf.DUMMYFUNCTION("""COMPUTED_VALUE"""),3.93407936293522)</f>
        <v>3.934079363</v>
      </c>
    </row>
    <row r="90">
      <c r="A90" s="4" t="str">
        <f>IFERROR(__xludf.DUMMYFUNCTION("""COMPUTED_VALUE"""),"DDO161")</f>
        <v>DDO161</v>
      </c>
      <c r="B90" s="4">
        <f>IFERROR(__xludf.DUMMYFUNCTION("""COMPUTED_VALUE"""),7.5)</f>
        <v>7.5</v>
      </c>
      <c r="C90" s="4">
        <f>IFERROR(__xludf.DUMMYFUNCTION("""COMPUTED_VALUE"""),12.41)</f>
        <v>12.41</v>
      </c>
      <c r="D90" s="4">
        <f>IFERROR(__xludf.DUMMYFUNCTION("""COMPUTED_VALUE"""),66.8)</f>
        <v>66.8</v>
      </c>
      <c r="E90" s="4">
        <f>IFERROR(__xludf.DUMMYFUNCTION("""COMPUTED_VALUE"""),0.99)</f>
        <v>0.99</v>
      </c>
      <c r="F90" s="4">
        <f>IFERROR(__xludf.DUMMYFUNCTION("""COMPUTED_VALUE"""),29.42)</f>
        <v>29.42</v>
      </c>
      <c r="G90" s="4">
        <f>IFERROR(__xludf.DUMMYFUNCTION("""COMPUTED_VALUE"""),14.16)</f>
        <v>14.16</v>
      </c>
      <c r="H90" s="4">
        <f>IFERROR(__xludf.DUMMYFUNCTION("""COMPUTED_VALUE"""),0.0)</f>
        <v>0</v>
      </c>
      <c r="I90" s="4">
        <f>IFERROR(__xludf.DUMMYFUNCTION("""COMPUTED_VALUE"""),0.0)</f>
        <v>0</v>
      </c>
      <c r="J90" s="4">
        <f>IFERROR(__xludf.DUMMYFUNCTION("""COMPUTED_VALUE"""),0.0)</f>
        <v>0</v>
      </c>
      <c r="K90" s="4">
        <f>IFERROR(__xludf.DUMMYFUNCTION("""COMPUTED_VALUE"""),1066.0420000000001)</f>
        <v>1066.042</v>
      </c>
      <c r="L90" s="4">
        <f>IFERROR(__xludf.DUMMYFUNCTION("""COMPUTED_VALUE"""),4.1858013098921045)</f>
        <v>4.18580131</v>
      </c>
    </row>
    <row r="91">
      <c r="A91" s="4" t="str">
        <f>IFERROR(__xludf.DUMMYFUNCTION("""COMPUTED_VALUE"""),"DDO161")</f>
        <v>DDO161</v>
      </c>
      <c r="B91" s="4">
        <f>IFERROR(__xludf.DUMMYFUNCTION("""COMPUTED_VALUE"""),7.5)</f>
        <v>7.5</v>
      </c>
      <c r="C91" s="4">
        <f>IFERROR(__xludf.DUMMYFUNCTION("""COMPUTED_VALUE"""),12.9)</f>
        <v>12.9</v>
      </c>
      <c r="D91" s="4">
        <f>IFERROR(__xludf.DUMMYFUNCTION("""COMPUTED_VALUE"""),66.3)</f>
        <v>66.3</v>
      </c>
      <c r="E91" s="4">
        <f>IFERROR(__xludf.DUMMYFUNCTION("""COMPUTED_VALUE"""),0.74)</f>
        <v>0.74</v>
      </c>
      <c r="F91" s="4">
        <f>IFERROR(__xludf.DUMMYFUNCTION("""COMPUTED_VALUE"""),28.69)</f>
        <v>28.69</v>
      </c>
      <c r="G91" s="4">
        <f>IFERROR(__xludf.DUMMYFUNCTION("""COMPUTED_VALUE"""),13.86)</f>
        <v>13.86</v>
      </c>
      <c r="H91" s="4">
        <f>IFERROR(__xludf.DUMMYFUNCTION("""COMPUTED_VALUE"""),0.0)</f>
        <v>0</v>
      </c>
      <c r="I91" s="4">
        <f>IFERROR(__xludf.DUMMYFUNCTION("""COMPUTED_VALUE"""),0.0)</f>
        <v>0</v>
      </c>
      <c r="J91" s="4">
        <f>IFERROR(__xludf.DUMMYFUNCTION("""COMPUTED_VALUE"""),0.0)</f>
        <v>0</v>
      </c>
      <c r="K91" s="4">
        <f>IFERROR(__xludf.DUMMYFUNCTION("""COMPUTED_VALUE"""),1015.2157000000001)</f>
        <v>1015.2157</v>
      </c>
      <c r="L91" s="4">
        <f>IFERROR(__xludf.DUMMYFUNCTION("""COMPUTED_VALUE"""),4.329808926319795)</f>
        <v>4.329808926</v>
      </c>
    </row>
    <row r="92">
      <c r="A92" s="5" t="str">
        <f>IFERROR(__xludf.DUMMYFUNCTION("""COMPUTED_VALUE"""),"DDO161")</f>
        <v>DDO161</v>
      </c>
      <c r="B92" s="5">
        <f>IFERROR(__xludf.DUMMYFUNCTION("""COMPUTED_VALUE"""),7.5)</f>
        <v>7.5</v>
      </c>
      <c r="C92" s="5">
        <f>IFERROR(__xludf.DUMMYFUNCTION("""COMPUTED_VALUE"""),13.37)</f>
        <v>13.37</v>
      </c>
      <c r="D92" s="5">
        <f>IFERROR(__xludf.DUMMYFUNCTION("""COMPUTED_VALUE"""),66.1)</f>
        <v>66.1</v>
      </c>
      <c r="E92" s="5">
        <f>IFERROR(__xludf.DUMMYFUNCTION("""COMPUTED_VALUE"""),1.31)</f>
        <v>1.31</v>
      </c>
      <c r="F92" s="5">
        <f>IFERROR(__xludf.DUMMYFUNCTION("""COMPUTED_VALUE"""),27.81)</f>
        <v>27.81</v>
      </c>
      <c r="G92" s="5">
        <f>IFERROR(__xludf.DUMMYFUNCTION("""COMPUTED_VALUE"""),13.59)</f>
        <v>13.59</v>
      </c>
      <c r="H92" s="5">
        <f>IFERROR(__xludf.DUMMYFUNCTION("""COMPUTED_VALUE"""),0.0)</f>
        <v>0</v>
      </c>
      <c r="I92" s="5">
        <f>IFERROR(__xludf.DUMMYFUNCTION("""COMPUTED_VALUE"""),0.0)</f>
        <v>0</v>
      </c>
      <c r="J92" s="5">
        <f>IFERROR(__xludf.DUMMYFUNCTION("""COMPUTED_VALUE"""),0.0)</f>
        <v>0</v>
      </c>
      <c r="K92" s="5">
        <f>IFERROR(__xludf.DUMMYFUNCTION("""COMPUTED_VALUE"""),958.0841999999999)</f>
        <v>958.0842</v>
      </c>
      <c r="L92" s="5">
        <f>IFERROR(__xludf.DUMMYFUNCTION("""COMPUTED_VALUE"""),4.560361187461394)</f>
        <v>4.560361187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 t="str">
        <f>IFERROR(__xludf.DUMMYFUNCTION("""COMPUTED_VALUE"""),"DDO168")</f>
        <v>DDO168</v>
      </c>
      <c r="B93" s="4">
        <f>IFERROR(__xludf.DUMMYFUNCTION("""COMPUTED_VALUE"""),4.25)</f>
        <v>4.25</v>
      </c>
      <c r="C93" s="4">
        <f>IFERROR(__xludf.DUMMYFUNCTION("""COMPUTED_VALUE"""),0.41)</f>
        <v>0.41</v>
      </c>
      <c r="D93" s="4">
        <f>IFERROR(__xludf.DUMMYFUNCTION("""COMPUTED_VALUE"""),15.0)</f>
        <v>15</v>
      </c>
      <c r="E93" s="4">
        <f>IFERROR(__xludf.DUMMYFUNCTION("""COMPUTED_VALUE"""),4.1)</f>
        <v>4.1</v>
      </c>
      <c r="F93" s="4">
        <f>IFERROR(__xludf.DUMMYFUNCTION("""COMPUTED_VALUE"""),10.41)</f>
        <v>10.41</v>
      </c>
      <c r="G93" s="4">
        <f>IFERROR(__xludf.DUMMYFUNCTION("""COMPUTED_VALUE"""),8.28)</f>
        <v>8.28</v>
      </c>
      <c r="H93" s="4">
        <f>IFERROR(__xludf.DUMMYFUNCTION("""COMPUTED_VALUE"""),0.0)</f>
        <v>0</v>
      </c>
      <c r="I93" s="4">
        <f>IFERROR(__xludf.DUMMYFUNCTION("""COMPUTED_VALUE"""),20.43)</f>
        <v>20.43</v>
      </c>
      <c r="J93" s="4">
        <f>IFERROR(__xludf.DUMMYFUNCTION("""COMPUTED_VALUE"""),0.0)</f>
        <v>0</v>
      </c>
      <c r="K93" s="4">
        <f>IFERROR(__xludf.DUMMYFUNCTION("""COMPUTED_VALUE"""),176.92649999999998)</f>
        <v>176.9265</v>
      </c>
      <c r="L93" s="4">
        <f>IFERROR(__xludf.DUMMYFUNCTION("""COMPUTED_VALUE"""),1.2717145255233107)</f>
        <v>1.271714526</v>
      </c>
    </row>
    <row r="94">
      <c r="A94" s="4" t="str">
        <f>IFERROR(__xludf.DUMMYFUNCTION("""COMPUTED_VALUE"""),"DDO168")</f>
        <v>DDO168</v>
      </c>
      <c r="B94" s="4">
        <f>IFERROR(__xludf.DUMMYFUNCTION("""COMPUTED_VALUE"""),4.25)</f>
        <v>4.25</v>
      </c>
      <c r="C94" s="4">
        <f>IFERROR(__xludf.DUMMYFUNCTION("""COMPUTED_VALUE"""),0.82)</f>
        <v>0.82</v>
      </c>
      <c r="D94" s="4">
        <f>IFERROR(__xludf.DUMMYFUNCTION("""COMPUTED_VALUE"""),23.4)</f>
        <v>23.4</v>
      </c>
      <c r="E94" s="4">
        <f>IFERROR(__xludf.DUMMYFUNCTION("""COMPUTED_VALUE"""),1.3)</f>
        <v>1.3</v>
      </c>
      <c r="F94" s="4">
        <f>IFERROR(__xludf.DUMMYFUNCTION("""COMPUTED_VALUE"""),18.08)</f>
        <v>18.08</v>
      </c>
      <c r="G94" s="4">
        <f>IFERROR(__xludf.DUMMYFUNCTION("""COMPUTED_VALUE"""),12.66)</f>
        <v>12.66</v>
      </c>
      <c r="H94" s="4">
        <f>IFERROR(__xludf.DUMMYFUNCTION("""COMPUTED_VALUE"""),0.0)</f>
        <v>0</v>
      </c>
      <c r="I94" s="4">
        <f>IFERROR(__xludf.DUMMYFUNCTION("""COMPUTED_VALUE"""),14.59)</f>
        <v>14.59</v>
      </c>
      <c r="J94" s="4">
        <f>IFERROR(__xludf.DUMMYFUNCTION("""COMPUTED_VALUE"""),0.0)</f>
        <v>0</v>
      </c>
      <c r="K94" s="4">
        <f>IFERROR(__xludf.DUMMYFUNCTION("""COMPUTED_VALUE"""),487.1619999999999)</f>
        <v>487.162</v>
      </c>
      <c r="L94" s="4">
        <f>IFERROR(__xludf.DUMMYFUNCTION("""COMPUTED_VALUE"""),1.1239792923093346)</f>
        <v>1.123979292</v>
      </c>
    </row>
    <row r="95">
      <c r="A95" s="4" t="str">
        <f>IFERROR(__xludf.DUMMYFUNCTION("""COMPUTED_VALUE"""),"DDO168")</f>
        <v>DDO168</v>
      </c>
      <c r="B95" s="4">
        <f>IFERROR(__xludf.DUMMYFUNCTION("""COMPUTED_VALUE"""),4.25)</f>
        <v>4.25</v>
      </c>
      <c r="C95" s="4">
        <f>IFERROR(__xludf.DUMMYFUNCTION("""COMPUTED_VALUE"""),1.24)</f>
        <v>1.24</v>
      </c>
      <c r="D95" s="4">
        <f>IFERROR(__xludf.DUMMYFUNCTION("""COMPUTED_VALUE"""),29.2)</f>
        <v>29.2</v>
      </c>
      <c r="E95" s="4">
        <f>IFERROR(__xludf.DUMMYFUNCTION("""COMPUTED_VALUE"""),1.5)</f>
        <v>1.5</v>
      </c>
      <c r="F95" s="4">
        <f>IFERROR(__xludf.DUMMYFUNCTION("""COMPUTED_VALUE"""),20.09)</f>
        <v>20.09</v>
      </c>
      <c r="G95" s="4">
        <f>IFERROR(__xludf.DUMMYFUNCTION("""COMPUTED_VALUE"""),15.11)</f>
        <v>15.11</v>
      </c>
      <c r="H95" s="4">
        <f>IFERROR(__xludf.DUMMYFUNCTION("""COMPUTED_VALUE"""),0.0)</f>
        <v>0</v>
      </c>
      <c r="I95" s="4">
        <f>IFERROR(__xludf.DUMMYFUNCTION("""COMPUTED_VALUE"""),8.79)</f>
        <v>8.79</v>
      </c>
      <c r="J95" s="4">
        <f>IFERROR(__xludf.DUMMYFUNCTION("""COMPUTED_VALUE"""),0.0)</f>
        <v>0</v>
      </c>
      <c r="K95" s="4">
        <f>IFERROR(__xludf.DUMMYFUNCTION("""COMPUTED_VALUE"""),631.9202)</f>
        <v>631.9202</v>
      </c>
      <c r="L95" s="4">
        <f>IFERROR(__xludf.DUMMYFUNCTION("""COMPUTED_VALUE"""),1.3492842925420012)</f>
        <v>1.349284293</v>
      </c>
    </row>
    <row r="96">
      <c r="A96" s="4" t="str">
        <f>IFERROR(__xludf.DUMMYFUNCTION("""COMPUTED_VALUE"""),"DDO168")</f>
        <v>DDO168</v>
      </c>
      <c r="B96" s="4">
        <f>IFERROR(__xludf.DUMMYFUNCTION("""COMPUTED_VALUE"""),4.25)</f>
        <v>4.25</v>
      </c>
      <c r="C96" s="4">
        <f>IFERROR(__xludf.DUMMYFUNCTION("""COMPUTED_VALUE"""),1.64)</f>
        <v>1.64</v>
      </c>
      <c r="D96" s="4">
        <f>IFERROR(__xludf.DUMMYFUNCTION("""COMPUTED_VALUE"""),36.2)</f>
        <v>36.2</v>
      </c>
      <c r="E96" s="4">
        <f>IFERROR(__xludf.DUMMYFUNCTION("""COMPUTED_VALUE"""),1.1)</f>
        <v>1.1</v>
      </c>
      <c r="F96" s="4">
        <f>IFERROR(__xludf.DUMMYFUNCTION("""COMPUTED_VALUE"""),20.2)</f>
        <v>20.2</v>
      </c>
      <c r="G96" s="4">
        <f>IFERROR(__xludf.DUMMYFUNCTION("""COMPUTED_VALUE"""),15.99)</f>
        <v>15.99</v>
      </c>
      <c r="H96" s="4">
        <f>IFERROR(__xludf.DUMMYFUNCTION("""COMPUTED_VALUE"""),0.0)</f>
        <v>0</v>
      </c>
      <c r="I96" s="4">
        <f>IFERROR(__xludf.DUMMYFUNCTION("""COMPUTED_VALUE"""),5.9)</f>
        <v>5.9</v>
      </c>
      <c r="J96" s="4">
        <f>IFERROR(__xludf.DUMMYFUNCTION("""COMPUTED_VALUE"""),0.0)</f>
        <v>0</v>
      </c>
      <c r="K96" s="4">
        <f>IFERROR(__xludf.DUMMYFUNCTION("""COMPUTED_VALUE"""),663.7201)</f>
        <v>663.7201</v>
      </c>
      <c r="L96" s="4">
        <f>IFERROR(__xludf.DUMMYFUNCTION("""COMPUTED_VALUE"""),1.9743864921372734)</f>
        <v>1.974386492</v>
      </c>
    </row>
    <row r="97">
      <c r="A97" s="4" t="str">
        <f>IFERROR(__xludf.DUMMYFUNCTION("""COMPUTED_VALUE"""),"DDO168")</f>
        <v>DDO168</v>
      </c>
      <c r="B97" s="4">
        <f>IFERROR(__xludf.DUMMYFUNCTION("""COMPUTED_VALUE"""),4.25)</f>
        <v>4.25</v>
      </c>
      <c r="C97" s="4">
        <f>IFERROR(__xludf.DUMMYFUNCTION("""COMPUTED_VALUE"""),2.06)</f>
        <v>2.06</v>
      </c>
      <c r="D97" s="4">
        <f>IFERROR(__xludf.DUMMYFUNCTION("""COMPUTED_VALUE"""),44.0)</f>
        <v>44</v>
      </c>
      <c r="E97" s="4">
        <f>IFERROR(__xludf.DUMMYFUNCTION("""COMPUTED_VALUE"""),1.1)</f>
        <v>1.1</v>
      </c>
      <c r="F97" s="4">
        <f>IFERROR(__xludf.DUMMYFUNCTION("""COMPUTED_VALUE"""),22.0)</f>
        <v>22</v>
      </c>
      <c r="G97" s="4">
        <f>IFERROR(__xludf.DUMMYFUNCTION("""COMPUTED_VALUE"""),16.89)</f>
        <v>16.89</v>
      </c>
      <c r="H97" s="4">
        <f>IFERROR(__xludf.DUMMYFUNCTION("""COMPUTED_VALUE"""),0.0)</f>
        <v>0</v>
      </c>
      <c r="I97" s="4">
        <f>IFERROR(__xludf.DUMMYFUNCTION("""COMPUTED_VALUE"""),4.09)</f>
        <v>4.09</v>
      </c>
      <c r="J97" s="4">
        <f>IFERROR(__xludf.DUMMYFUNCTION("""COMPUTED_VALUE"""),0.0)</f>
        <v>0</v>
      </c>
      <c r="K97" s="4">
        <f>IFERROR(__xludf.DUMMYFUNCTION("""COMPUTED_VALUE"""),769.2721)</f>
        <v>769.2721</v>
      </c>
      <c r="L97" s="4">
        <f>IFERROR(__xludf.DUMMYFUNCTION("""COMPUTED_VALUE"""),2.516664779601392)</f>
        <v>2.51666478</v>
      </c>
    </row>
    <row r="98">
      <c r="A98" s="4" t="str">
        <f>IFERROR(__xludf.DUMMYFUNCTION("""COMPUTED_VALUE"""),"DDO168")</f>
        <v>DDO168</v>
      </c>
      <c r="B98" s="4">
        <f>IFERROR(__xludf.DUMMYFUNCTION("""COMPUTED_VALUE"""),4.25)</f>
        <v>4.25</v>
      </c>
      <c r="C98" s="4">
        <f>IFERROR(__xludf.DUMMYFUNCTION("""COMPUTED_VALUE"""),2.47)</f>
        <v>2.47</v>
      </c>
      <c r="D98" s="4">
        <f>IFERROR(__xludf.DUMMYFUNCTION("""COMPUTED_VALUE"""),52.1)</f>
        <v>52.1</v>
      </c>
      <c r="E98" s="4">
        <f>IFERROR(__xludf.DUMMYFUNCTION("""COMPUTED_VALUE"""),1.2)</f>
        <v>1.2</v>
      </c>
      <c r="F98" s="4">
        <f>IFERROR(__xludf.DUMMYFUNCTION("""COMPUTED_VALUE"""),22.63)</f>
        <v>22.63</v>
      </c>
      <c r="G98" s="4">
        <f>IFERROR(__xludf.DUMMYFUNCTION("""COMPUTED_VALUE"""),17.03)</f>
        <v>17.03</v>
      </c>
      <c r="H98" s="4">
        <f>IFERROR(__xludf.DUMMYFUNCTION("""COMPUTED_VALUE"""),0.0)</f>
        <v>0</v>
      </c>
      <c r="I98" s="4">
        <f>IFERROR(__xludf.DUMMYFUNCTION("""COMPUTED_VALUE"""),2.87)</f>
        <v>2.87</v>
      </c>
      <c r="J98" s="4">
        <f>IFERROR(__xludf.DUMMYFUNCTION("""COMPUTED_VALUE"""),0.0)</f>
        <v>0</v>
      </c>
      <c r="K98" s="4">
        <f>IFERROR(__xludf.DUMMYFUNCTION("""COMPUTED_VALUE"""),802.1378)</f>
        <v>802.1378</v>
      </c>
      <c r="L98" s="4">
        <f>IFERROR(__xludf.DUMMYFUNCTION("""COMPUTED_VALUE"""),3.3839696870039044)</f>
        <v>3.383969687</v>
      </c>
    </row>
    <row r="99">
      <c r="A99" s="4" t="str">
        <f>IFERROR(__xludf.DUMMYFUNCTION("""COMPUTED_VALUE"""),"DDO168")</f>
        <v>DDO168</v>
      </c>
      <c r="B99" s="4">
        <f>IFERROR(__xludf.DUMMYFUNCTION("""COMPUTED_VALUE"""),4.25)</f>
        <v>4.25</v>
      </c>
      <c r="C99" s="4">
        <f>IFERROR(__xludf.DUMMYFUNCTION("""COMPUTED_VALUE"""),2.89)</f>
        <v>2.89</v>
      </c>
      <c r="D99" s="4">
        <f>IFERROR(__xludf.DUMMYFUNCTION("""COMPUTED_VALUE"""),52.9)</f>
        <v>52.9</v>
      </c>
      <c r="E99" s="4">
        <f>IFERROR(__xludf.DUMMYFUNCTION("""COMPUTED_VALUE"""),1.7)</f>
        <v>1.7</v>
      </c>
      <c r="F99" s="4">
        <f>IFERROR(__xludf.DUMMYFUNCTION("""COMPUTED_VALUE"""),22.95)</f>
        <v>22.95</v>
      </c>
      <c r="G99" s="4">
        <f>IFERROR(__xludf.DUMMYFUNCTION("""COMPUTED_VALUE"""),16.99)</f>
        <v>16.99</v>
      </c>
      <c r="H99" s="4">
        <f>IFERROR(__xludf.DUMMYFUNCTION("""COMPUTED_VALUE"""),0.0)</f>
        <v>0</v>
      </c>
      <c r="I99" s="4">
        <f>IFERROR(__xludf.DUMMYFUNCTION("""COMPUTED_VALUE"""),2.09)</f>
        <v>2.09</v>
      </c>
      <c r="J99" s="4">
        <f>IFERROR(__xludf.DUMMYFUNCTION("""COMPUTED_VALUE"""),0.0)</f>
        <v>0</v>
      </c>
      <c r="K99" s="4">
        <f>IFERROR(__xludf.DUMMYFUNCTION("""COMPUTED_VALUE"""),815.3625999999999)</f>
        <v>815.3626</v>
      </c>
      <c r="L99" s="4">
        <f>IFERROR(__xludf.DUMMYFUNCTION("""COMPUTED_VALUE"""),3.43210493098408)</f>
        <v>3.432104931</v>
      </c>
    </row>
    <row r="100">
      <c r="A100" s="4" t="str">
        <f>IFERROR(__xludf.DUMMYFUNCTION("""COMPUTED_VALUE"""),"DDO168")</f>
        <v>DDO168</v>
      </c>
      <c r="B100" s="4">
        <f>IFERROR(__xludf.DUMMYFUNCTION("""COMPUTED_VALUE"""),4.25)</f>
        <v>4.25</v>
      </c>
      <c r="C100" s="4">
        <f>IFERROR(__xludf.DUMMYFUNCTION("""COMPUTED_VALUE"""),3.3)</f>
        <v>3.3</v>
      </c>
      <c r="D100" s="4">
        <f>IFERROR(__xludf.DUMMYFUNCTION("""COMPUTED_VALUE"""),54.8)</f>
        <v>54.8</v>
      </c>
      <c r="E100" s="4">
        <f>IFERROR(__xludf.DUMMYFUNCTION("""COMPUTED_VALUE"""),2.2)</f>
        <v>2.2</v>
      </c>
      <c r="F100" s="4">
        <f>IFERROR(__xludf.DUMMYFUNCTION("""COMPUTED_VALUE"""),22.74)</f>
        <v>22.74</v>
      </c>
      <c r="G100" s="4">
        <f>IFERROR(__xludf.DUMMYFUNCTION("""COMPUTED_VALUE"""),17.19)</f>
        <v>17.19</v>
      </c>
      <c r="H100" s="4">
        <f>IFERROR(__xludf.DUMMYFUNCTION("""COMPUTED_VALUE"""),0.0)</f>
        <v>0</v>
      </c>
      <c r="I100" s="4">
        <f>IFERROR(__xludf.DUMMYFUNCTION("""COMPUTED_VALUE"""),1.56)</f>
        <v>1.56</v>
      </c>
      <c r="J100" s="4">
        <f>IFERROR(__xludf.DUMMYFUNCTION("""COMPUTED_VALUE"""),0.0)</f>
        <v>0</v>
      </c>
      <c r="K100" s="4">
        <f>IFERROR(__xludf.DUMMYFUNCTION("""COMPUTED_VALUE"""),812.6037)</f>
        <v>812.6037</v>
      </c>
      <c r="L100" s="4">
        <f>IFERROR(__xludf.DUMMYFUNCTION("""COMPUTED_VALUE"""),3.6955775613623216)</f>
        <v>3.695577561</v>
      </c>
    </row>
    <row r="101">
      <c r="A101" s="4" t="str">
        <f>IFERROR(__xludf.DUMMYFUNCTION("""COMPUTED_VALUE"""),"DDO168")</f>
        <v>DDO168</v>
      </c>
      <c r="B101" s="4">
        <f>IFERROR(__xludf.DUMMYFUNCTION("""COMPUTED_VALUE"""),4.25)</f>
        <v>4.25</v>
      </c>
      <c r="C101" s="4">
        <f>IFERROR(__xludf.DUMMYFUNCTION("""COMPUTED_VALUE"""),3.71)</f>
        <v>3.71</v>
      </c>
      <c r="D101" s="4">
        <f>IFERROR(__xludf.DUMMYFUNCTION("""COMPUTED_VALUE"""),55.0)</f>
        <v>55</v>
      </c>
      <c r="E101" s="4">
        <f>IFERROR(__xludf.DUMMYFUNCTION("""COMPUTED_VALUE"""),2.5)</f>
        <v>2.5</v>
      </c>
      <c r="F101" s="4">
        <f>IFERROR(__xludf.DUMMYFUNCTION("""COMPUTED_VALUE"""),22.74)</f>
        <v>22.74</v>
      </c>
      <c r="G101" s="4">
        <f>IFERROR(__xludf.DUMMYFUNCTION("""COMPUTED_VALUE"""),17.16)</f>
        <v>17.16</v>
      </c>
      <c r="H101" s="4">
        <f>IFERROR(__xludf.DUMMYFUNCTION("""COMPUTED_VALUE"""),0.0)</f>
        <v>0</v>
      </c>
      <c r="I101" s="4">
        <f>IFERROR(__xludf.DUMMYFUNCTION("""COMPUTED_VALUE"""),0.82)</f>
        <v>0.82</v>
      </c>
      <c r="J101" s="4">
        <f>IFERROR(__xludf.DUMMYFUNCTION("""COMPUTED_VALUE"""),0.0)</f>
        <v>0</v>
      </c>
      <c r="K101" s="4">
        <f>IFERROR(__xludf.DUMMYFUNCTION("""COMPUTED_VALUE"""),811.5731999999999)</f>
        <v>811.5732</v>
      </c>
      <c r="L101" s="4">
        <f>IFERROR(__xludf.DUMMYFUNCTION("""COMPUTED_VALUE"""),3.7273286007965765)</f>
        <v>3.727328601</v>
      </c>
    </row>
    <row r="102">
      <c r="A102" s="5" t="str">
        <f>IFERROR(__xludf.DUMMYFUNCTION("""COMPUTED_VALUE"""),"DDO168")</f>
        <v>DDO168</v>
      </c>
      <c r="B102" s="5">
        <f>IFERROR(__xludf.DUMMYFUNCTION("""COMPUTED_VALUE"""),4.25)</f>
        <v>4.25</v>
      </c>
      <c r="C102" s="5">
        <f>IFERROR(__xludf.DUMMYFUNCTION("""COMPUTED_VALUE"""),4.12)</f>
        <v>4.12</v>
      </c>
      <c r="D102" s="5">
        <f>IFERROR(__xludf.DUMMYFUNCTION("""COMPUTED_VALUE"""),52.0)</f>
        <v>52</v>
      </c>
      <c r="E102" s="5">
        <f>IFERROR(__xludf.DUMMYFUNCTION("""COMPUTED_VALUE"""),2.7)</f>
        <v>2.7</v>
      </c>
      <c r="F102" s="5">
        <f>IFERROR(__xludf.DUMMYFUNCTION("""COMPUTED_VALUE"""),22.74)</f>
        <v>22.74</v>
      </c>
      <c r="G102" s="5">
        <f>IFERROR(__xludf.DUMMYFUNCTION("""COMPUTED_VALUE"""),16.37)</f>
        <v>16.37</v>
      </c>
      <c r="H102" s="5">
        <f>IFERROR(__xludf.DUMMYFUNCTION("""COMPUTED_VALUE"""),0.0)</f>
        <v>0</v>
      </c>
      <c r="I102" s="5">
        <f>IFERROR(__xludf.DUMMYFUNCTION("""COMPUTED_VALUE"""),0.0)</f>
        <v>0</v>
      </c>
      <c r="J102" s="5">
        <f>IFERROR(__xludf.DUMMYFUNCTION("""COMPUTED_VALUE"""),0.0)</f>
        <v>0</v>
      </c>
      <c r="K102" s="5">
        <f>IFERROR(__xludf.DUMMYFUNCTION("""COMPUTED_VALUE"""),785.0844999999999)</f>
        <v>785.0845</v>
      </c>
      <c r="L102" s="5">
        <f>IFERROR(__xludf.DUMMYFUNCTION("""COMPUTED_VALUE"""),3.444215240525065)</f>
        <v>3.444215241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 t="str">
        <f>IFERROR(__xludf.DUMMYFUNCTION("""COMPUTED_VALUE"""),"DDO170")</f>
        <v>DDO170</v>
      </c>
      <c r="B103" s="4">
        <f>IFERROR(__xludf.DUMMYFUNCTION("""COMPUTED_VALUE"""),15.4)</f>
        <v>15.4</v>
      </c>
      <c r="C103" s="4">
        <f>IFERROR(__xludf.DUMMYFUNCTION("""COMPUTED_VALUE"""),1.87)</f>
        <v>1.87</v>
      </c>
      <c r="D103" s="4">
        <f>IFERROR(__xludf.DUMMYFUNCTION("""COMPUTED_VALUE"""),27.7)</f>
        <v>27.7</v>
      </c>
      <c r="E103" s="4">
        <f>IFERROR(__xludf.DUMMYFUNCTION("""COMPUTED_VALUE"""),3.0)</f>
        <v>3</v>
      </c>
      <c r="F103" s="4">
        <f>IFERROR(__xludf.DUMMYFUNCTION("""COMPUTED_VALUE"""),8.68)</f>
        <v>8.68</v>
      </c>
      <c r="G103" s="4">
        <f>IFERROR(__xludf.DUMMYFUNCTION("""COMPUTED_VALUE"""),18.19)</f>
        <v>18.19</v>
      </c>
      <c r="H103" s="4">
        <f>IFERROR(__xludf.DUMMYFUNCTION("""COMPUTED_VALUE"""),0.0)</f>
        <v>0</v>
      </c>
      <c r="I103" s="4">
        <f>IFERROR(__xludf.DUMMYFUNCTION("""COMPUTED_VALUE"""),9.38)</f>
        <v>9.38</v>
      </c>
      <c r="J103" s="4">
        <f>IFERROR(__xludf.DUMMYFUNCTION("""COMPUTED_VALUE"""),0.0)</f>
        <v>0</v>
      </c>
      <c r="K103" s="4">
        <f>IFERROR(__xludf.DUMMYFUNCTION("""COMPUTED_VALUE"""),406.21850000000006)</f>
        <v>406.2185</v>
      </c>
      <c r="L103" s="4">
        <f>IFERROR(__xludf.DUMMYFUNCTION("""COMPUTED_VALUE"""),1.8888603054759934)</f>
        <v>1.888860305</v>
      </c>
    </row>
    <row r="104">
      <c r="A104" s="4" t="str">
        <f>IFERROR(__xludf.DUMMYFUNCTION("""COMPUTED_VALUE"""),"DDO170")</f>
        <v>DDO170</v>
      </c>
      <c r="B104" s="4">
        <f>IFERROR(__xludf.DUMMYFUNCTION("""COMPUTED_VALUE"""),15.4)</f>
        <v>15.4</v>
      </c>
      <c r="C104" s="4">
        <f>IFERROR(__xludf.DUMMYFUNCTION("""COMPUTED_VALUE"""),3.36)</f>
        <v>3.36</v>
      </c>
      <c r="D104" s="4">
        <f>IFERROR(__xludf.DUMMYFUNCTION("""COMPUTED_VALUE"""),42.4)</f>
        <v>42.4</v>
      </c>
      <c r="E104" s="4">
        <f>IFERROR(__xludf.DUMMYFUNCTION("""COMPUTED_VALUE"""),1.5)</f>
        <v>1.5</v>
      </c>
      <c r="F104" s="4">
        <f>IFERROR(__xludf.DUMMYFUNCTION("""COMPUTED_VALUE"""),15.07)</f>
        <v>15.07</v>
      </c>
      <c r="G104" s="4">
        <f>IFERROR(__xludf.DUMMYFUNCTION("""COMPUTED_VALUE"""),19.75)</f>
        <v>19.75</v>
      </c>
      <c r="H104" s="4">
        <f>IFERROR(__xludf.DUMMYFUNCTION("""COMPUTED_VALUE"""),0.0)</f>
        <v>0</v>
      </c>
      <c r="I104" s="4">
        <f>IFERROR(__xludf.DUMMYFUNCTION("""COMPUTED_VALUE"""),3.58)</f>
        <v>3.58</v>
      </c>
      <c r="J104" s="4">
        <f>IFERROR(__xludf.DUMMYFUNCTION("""COMPUTED_VALUE"""),0.0)</f>
        <v>0</v>
      </c>
      <c r="K104" s="4">
        <f>IFERROR(__xludf.DUMMYFUNCTION("""COMPUTED_VALUE"""),617.1674)</f>
        <v>617.1674</v>
      </c>
      <c r="L104" s="4">
        <f>IFERROR(__xludf.DUMMYFUNCTION("""COMPUTED_VALUE"""),2.912921194476571)</f>
        <v>2.912921194</v>
      </c>
    </row>
    <row r="105">
      <c r="A105" s="4" t="str">
        <f>IFERROR(__xludf.DUMMYFUNCTION("""COMPUTED_VALUE"""),"DDO170")</f>
        <v>DDO170</v>
      </c>
      <c r="B105" s="4">
        <f>IFERROR(__xludf.DUMMYFUNCTION("""COMPUTED_VALUE"""),15.4)</f>
        <v>15.4</v>
      </c>
      <c r="C105" s="4">
        <f>IFERROR(__xludf.DUMMYFUNCTION("""COMPUTED_VALUE"""),4.86)</f>
        <v>4.86</v>
      </c>
      <c r="D105" s="4">
        <f>IFERROR(__xludf.DUMMYFUNCTION("""COMPUTED_VALUE"""),52.5)</f>
        <v>52.5</v>
      </c>
      <c r="E105" s="4">
        <f>IFERROR(__xludf.DUMMYFUNCTION("""COMPUTED_VALUE"""),1.0)</f>
        <v>1</v>
      </c>
      <c r="F105" s="4">
        <f>IFERROR(__xludf.DUMMYFUNCTION("""COMPUTED_VALUE"""),20.59)</f>
        <v>20.59</v>
      </c>
      <c r="G105" s="4">
        <f>IFERROR(__xludf.DUMMYFUNCTION("""COMPUTED_VALUE"""),19.94)</f>
        <v>19.94</v>
      </c>
      <c r="H105" s="4">
        <f>IFERROR(__xludf.DUMMYFUNCTION("""COMPUTED_VALUE"""),0.0)</f>
        <v>0</v>
      </c>
      <c r="I105" s="4">
        <f>IFERROR(__xludf.DUMMYFUNCTION("""COMPUTED_VALUE"""),2.02)</f>
        <v>2.02</v>
      </c>
      <c r="J105" s="4">
        <f>IFERROR(__xludf.DUMMYFUNCTION("""COMPUTED_VALUE"""),0.0)</f>
        <v>0</v>
      </c>
      <c r="K105" s="4">
        <f>IFERROR(__xludf.DUMMYFUNCTION("""COMPUTED_VALUE"""),821.5517)</f>
        <v>821.5517</v>
      </c>
      <c r="L105" s="4">
        <f>IFERROR(__xludf.DUMMYFUNCTION("""COMPUTED_VALUE"""),3.35493189290461)</f>
        <v>3.354931893</v>
      </c>
    </row>
    <row r="106">
      <c r="A106" s="4" t="str">
        <f>IFERROR(__xludf.DUMMYFUNCTION("""COMPUTED_VALUE"""),"DDO170")</f>
        <v>DDO170</v>
      </c>
      <c r="B106" s="4">
        <f>IFERROR(__xludf.DUMMYFUNCTION("""COMPUTED_VALUE"""),15.4)</f>
        <v>15.4</v>
      </c>
      <c r="C106" s="4">
        <f>IFERROR(__xludf.DUMMYFUNCTION("""COMPUTED_VALUE"""),6.35)</f>
        <v>6.35</v>
      </c>
      <c r="D106" s="4">
        <f>IFERROR(__xludf.DUMMYFUNCTION("""COMPUTED_VALUE"""),55.6)</f>
        <v>55.6</v>
      </c>
      <c r="E106" s="4">
        <f>IFERROR(__xludf.DUMMYFUNCTION("""COMPUTED_VALUE"""),1.0)</f>
        <v>1</v>
      </c>
      <c r="F106" s="4">
        <f>IFERROR(__xludf.DUMMYFUNCTION("""COMPUTED_VALUE"""),24.61)</f>
        <v>24.61</v>
      </c>
      <c r="G106" s="4">
        <f>IFERROR(__xludf.DUMMYFUNCTION("""COMPUTED_VALUE"""),19.17)</f>
        <v>19.17</v>
      </c>
      <c r="H106" s="4">
        <f>IFERROR(__xludf.DUMMYFUNCTION("""COMPUTED_VALUE"""),0.0)</f>
        <v>0</v>
      </c>
      <c r="I106" s="4">
        <f>IFERROR(__xludf.DUMMYFUNCTION("""COMPUTED_VALUE"""),0.91)</f>
        <v>0.91</v>
      </c>
      <c r="J106" s="4">
        <f>IFERROR(__xludf.DUMMYFUNCTION("""COMPUTED_VALUE"""),0.0)</f>
        <v>0</v>
      </c>
      <c r="K106" s="4">
        <f>IFERROR(__xludf.DUMMYFUNCTION("""COMPUTED_VALUE"""),973.1410000000001)</f>
        <v>973.141</v>
      </c>
      <c r="L106" s="4">
        <f>IFERROR(__xludf.DUMMYFUNCTION("""COMPUTED_VALUE"""),3.1766825156888876)</f>
        <v>3.176682516</v>
      </c>
    </row>
    <row r="107">
      <c r="A107" s="4" t="str">
        <f>IFERROR(__xludf.DUMMYFUNCTION("""COMPUTED_VALUE"""),"DDO170")</f>
        <v>DDO170</v>
      </c>
      <c r="B107" s="4">
        <f>IFERROR(__xludf.DUMMYFUNCTION("""COMPUTED_VALUE"""),15.4)</f>
        <v>15.4</v>
      </c>
      <c r="C107" s="4">
        <f>IFERROR(__xludf.DUMMYFUNCTION("""COMPUTED_VALUE"""),7.85)</f>
        <v>7.85</v>
      </c>
      <c r="D107" s="4">
        <f>IFERROR(__xludf.DUMMYFUNCTION("""COMPUTED_VALUE"""),58.6)</f>
        <v>58.6</v>
      </c>
      <c r="E107" s="4">
        <f>IFERROR(__xludf.DUMMYFUNCTION("""COMPUTED_VALUE"""),1.1)</f>
        <v>1.1</v>
      </c>
      <c r="F107" s="4">
        <f>IFERROR(__xludf.DUMMYFUNCTION("""COMPUTED_VALUE"""),26.94)</f>
        <v>26.94</v>
      </c>
      <c r="G107" s="4">
        <f>IFERROR(__xludf.DUMMYFUNCTION("""COMPUTED_VALUE"""),18.71)</f>
        <v>18.71</v>
      </c>
      <c r="H107" s="4">
        <f>IFERROR(__xludf.DUMMYFUNCTION("""COMPUTED_VALUE"""),0.0)</f>
        <v>0</v>
      </c>
      <c r="I107" s="4">
        <f>IFERROR(__xludf.DUMMYFUNCTION("""COMPUTED_VALUE"""),0.47)</f>
        <v>0.47</v>
      </c>
      <c r="J107" s="4">
        <f>IFERROR(__xludf.DUMMYFUNCTION("""COMPUTED_VALUE"""),0.0)</f>
        <v>0</v>
      </c>
      <c r="K107" s="4">
        <f>IFERROR(__xludf.DUMMYFUNCTION("""COMPUTED_VALUE"""),1075.8277000000003)</f>
        <v>1075.8277</v>
      </c>
      <c r="L107" s="4">
        <f>IFERROR(__xludf.DUMMYFUNCTION("""COMPUTED_VALUE"""),3.1919237625132717)</f>
        <v>3.191923763</v>
      </c>
    </row>
    <row r="108">
      <c r="A108" s="4" t="str">
        <f>IFERROR(__xludf.DUMMYFUNCTION("""COMPUTED_VALUE"""),"DDO170")</f>
        <v>DDO170</v>
      </c>
      <c r="B108" s="4">
        <f>IFERROR(__xludf.DUMMYFUNCTION("""COMPUTED_VALUE"""),15.4)</f>
        <v>15.4</v>
      </c>
      <c r="C108" s="4">
        <f>IFERROR(__xludf.DUMMYFUNCTION("""COMPUTED_VALUE"""),9.34)</f>
        <v>9.34</v>
      </c>
      <c r="D108" s="4">
        <f>IFERROR(__xludf.DUMMYFUNCTION("""COMPUTED_VALUE"""),59.0)</f>
        <v>59</v>
      </c>
      <c r="E108" s="4">
        <f>IFERROR(__xludf.DUMMYFUNCTION("""COMPUTED_VALUE"""),1.2)</f>
        <v>1.2</v>
      </c>
      <c r="F108" s="4">
        <f>IFERROR(__xludf.DUMMYFUNCTION("""COMPUTED_VALUE"""),27.6)</f>
        <v>27.6</v>
      </c>
      <c r="G108" s="4">
        <f>IFERROR(__xludf.DUMMYFUNCTION("""COMPUTED_VALUE"""),17.41)</f>
        <v>17.41</v>
      </c>
      <c r="H108" s="4">
        <f>IFERROR(__xludf.DUMMYFUNCTION("""COMPUTED_VALUE"""),0.0)</f>
        <v>0</v>
      </c>
      <c r="I108" s="4">
        <f>IFERROR(__xludf.DUMMYFUNCTION("""COMPUTED_VALUE"""),0.18)</f>
        <v>0.18</v>
      </c>
      <c r="J108" s="4">
        <f>IFERROR(__xludf.DUMMYFUNCTION("""COMPUTED_VALUE"""),0.0)</f>
        <v>0</v>
      </c>
      <c r="K108" s="4">
        <f>IFERROR(__xludf.DUMMYFUNCTION("""COMPUTED_VALUE"""),1064.8681000000001)</f>
        <v>1064.8681</v>
      </c>
      <c r="L108" s="4">
        <f>IFERROR(__xludf.DUMMYFUNCTION("""COMPUTED_VALUE"""),3.2689494595621746)</f>
        <v>3.26894946</v>
      </c>
    </row>
    <row r="109">
      <c r="A109" s="4" t="str">
        <f>IFERROR(__xludf.DUMMYFUNCTION("""COMPUTED_VALUE"""),"DDO170")</f>
        <v>DDO170</v>
      </c>
      <c r="B109" s="4">
        <f>IFERROR(__xludf.DUMMYFUNCTION("""COMPUTED_VALUE"""),15.4)</f>
        <v>15.4</v>
      </c>
      <c r="C109" s="4">
        <f>IFERROR(__xludf.DUMMYFUNCTION("""COMPUTED_VALUE"""),10.83)</f>
        <v>10.83</v>
      </c>
      <c r="D109" s="4">
        <f>IFERROR(__xludf.DUMMYFUNCTION("""COMPUTED_VALUE"""),60.0)</f>
        <v>60</v>
      </c>
      <c r="E109" s="4">
        <f>IFERROR(__xludf.DUMMYFUNCTION("""COMPUTED_VALUE"""),1.3)</f>
        <v>1.3</v>
      </c>
      <c r="F109" s="4">
        <f>IFERROR(__xludf.DUMMYFUNCTION("""COMPUTED_VALUE"""),26.77)</f>
        <v>26.77</v>
      </c>
      <c r="G109" s="4">
        <f>IFERROR(__xludf.DUMMYFUNCTION("""COMPUTED_VALUE"""),16.05)</f>
        <v>16.05</v>
      </c>
      <c r="H109" s="4">
        <f>IFERROR(__xludf.DUMMYFUNCTION("""COMPUTED_VALUE"""),0.0)</f>
        <v>0</v>
      </c>
      <c r="I109" s="4">
        <f>IFERROR(__xludf.DUMMYFUNCTION("""COMPUTED_VALUE"""),0.09)</f>
        <v>0.09</v>
      </c>
      <c r="J109" s="4">
        <f>IFERROR(__xludf.DUMMYFUNCTION("""COMPUTED_VALUE"""),0.0)</f>
        <v>0</v>
      </c>
      <c r="K109" s="4">
        <f>IFERROR(__xludf.DUMMYFUNCTION("""COMPUTED_VALUE"""),974.2354)</f>
        <v>974.2354</v>
      </c>
      <c r="L109" s="4">
        <f>IFERROR(__xludf.DUMMYFUNCTION("""COMPUTED_VALUE"""),3.695205491403823)</f>
        <v>3.695205491</v>
      </c>
    </row>
    <row r="110">
      <c r="A110" s="5" t="str">
        <f>IFERROR(__xludf.DUMMYFUNCTION("""COMPUTED_VALUE"""),"DDO170")</f>
        <v>DDO170</v>
      </c>
      <c r="B110" s="5">
        <f>IFERROR(__xludf.DUMMYFUNCTION("""COMPUTED_VALUE"""),15.4)</f>
        <v>15.4</v>
      </c>
      <c r="C110" s="5">
        <f>IFERROR(__xludf.DUMMYFUNCTION("""COMPUTED_VALUE"""),12.33)</f>
        <v>12.33</v>
      </c>
      <c r="D110" s="5">
        <f>IFERROR(__xludf.DUMMYFUNCTION("""COMPUTED_VALUE"""),62.2)</f>
        <v>62.2</v>
      </c>
      <c r="E110" s="5">
        <f>IFERROR(__xludf.DUMMYFUNCTION("""COMPUTED_VALUE"""),1.0)</f>
        <v>1</v>
      </c>
      <c r="F110" s="5">
        <f>IFERROR(__xludf.DUMMYFUNCTION("""COMPUTED_VALUE"""),24.9)</f>
        <v>24.9</v>
      </c>
      <c r="G110" s="5">
        <f>IFERROR(__xludf.DUMMYFUNCTION("""COMPUTED_VALUE"""),15.01)</f>
        <v>15.01</v>
      </c>
      <c r="H110" s="5">
        <f>IFERROR(__xludf.DUMMYFUNCTION("""COMPUTED_VALUE"""),0.0)</f>
        <v>0</v>
      </c>
      <c r="I110" s="5">
        <f>IFERROR(__xludf.DUMMYFUNCTION("""COMPUTED_VALUE"""),0.0)</f>
        <v>0</v>
      </c>
      <c r="J110" s="5">
        <f>IFERROR(__xludf.DUMMYFUNCTION("""COMPUTED_VALUE"""),0.0)</f>
        <v>0</v>
      </c>
      <c r="K110" s="5">
        <f>IFERROR(__xludf.DUMMYFUNCTION("""COMPUTED_VALUE"""),845.3100999999999)</f>
        <v>845.3101</v>
      </c>
      <c r="L110" s="5">
        <f>IFERROR(__xludf.DUMMYFUNCTION("""COMPUTED_VALUE"""),4.576829260646478)</f>
        <v>4.576829261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 t="str">
        <f>IFERROR(__xludf.DUMMYFUNCTION("""COMPUTED_VALUE"""),"ESO444-G084")</f>
        <v>ESO444-G084</v>
      </c>
      <c r="B111" s="4">
        <f>IFERROR(__xludf.DUMMYFUNCTION("""COMPUTED_VALUE"""),4.83)</f>
        <v>4.83</v>
      </c>
      <c r="C111" s="4">
        <f>IFERROR(__xludf.DUMMYFUNCTION("""COMPUTED_VALUE"""),0.26)</f>
        <v>0.26</v>
      </c>
      <c r="D111" s="4">
        <f>IFERROR(__xludf.DUMMYFUNCTION("""COMPUTED_VALUE"""),18.3)</f>
        <v>18.3</v>
      </c>
      <c r="E111" s="4">
        <f>IFERROR(__xludf.DUMMYFUNCTION("""COMPUTED_VALUE"""),1.8)</f>
        <v>1.8</v>
      </c>
      <c r="F111" s="4">
        <f>IFERROR(__xludf.DUMMYFUNCTION("""COMPUTED_VALUE"""),4.59)</f>
        <v>4.59</v>
      </c>
      <c r="G111" s="4">
        <f>IFERROR(__xludf.DUMMYFUNCTION("""COMPUTED_VALUE"""),8.31)</f>
        <v>8.31</v>
      </c>
      <c r="H111" s="4">
        <f>IFERROR(__xludf.DUMMYFUNCTION("""COMPUTED_VALUE"""),0.0)</f>
        <v>0</v>
      </c>
      <c r="I111" s="4">
        <f>IFERROR(__xludf.DUMMYFUNCTION("""COMPUTED_VALUE"""),31.29)</f>
        <v>31.29</v>
      </c>
      <c r="J111" s="4">
        <f>IFERROR(__xludf.DUMMYFUNCTION("""COMPUTED_VALUE"""),0.0)</f>
        <v>0</v>
      </c>
      <c r="K111" s="4">
        <f>IFERROR(__xludf.DUMMYFUNCTION("""COMPUTED_VALUE"""),90.12420000000002)</f>
        <v>90.1242</v>
      </c>
      <c r="L111" s="4">
        <f>IFERROR(__xludf.DUMMYFUNCTION("""COMPUTED_VALUE"""),3.7158720965068204)</f>
        <v>3.715872097</v>
      </c>
    </row>
    <row r="112">
      <c r="A112" s="4" t="str">
        <f>IFERROR(__xludf.DUMMYFUNCTION("""COMPUTED_VALUE"""),"ESO444-G084")</f>
        <v>ESO444-G084</v>
      </c>
      <c r="B112" s="4">
        <f>IFERROR(__xludf.DUMMYFUNCTION("""COMPUTED_VALUE"""),4.83)</f>
        <v>4.83</v>
      </c>
      <c r="C112" s="4">
        <f>IFERROR(__xludf.DUMMYFUNCTION("""COMPUTED_VALUE"""),0.77)</f>
        <v>0.77</v>
      </c>
      <c r="D112" s="4">
        <f>IFERROR(__xludf.DUMMYFUNCTION("""COMPUTED_VALUE"""),35.3)</f>
        <v>35.3</v>
      </c>
      <c r="E112" s="4">
        <f>IFERROR(__xludf.DUMMYFUNCTION("""COMPUTED_VALUE"""),3.0)</f>
        <v>3</v>
      </c>
      <c r="F112" s="4">
        <f>IFERROR(__xludf.DUMMYFUNCTION("""COMPUTED_VALUE"""),11.55)</f>
        <v>11.55</v>
      </c>
      <c r="G112" s="4">
        <f>IFERROR(__xludf.DUMMYFUNCTION("""COMPUTED_VALUE"""),14.79)</f>
        <v>14.79</v>
      </c>
      <c r="H112" s="4">
        <f>IFERROR(__xludf.DUMMYFUNCTION("""COMPUTED_VALUE"""),0.0)</f>
        <v>0</v>
      </c>
      <c r="I112" s="4">
        <f>IFERROR(__xludf.DUMMYFUNCTION("""COMPUTED_VALUE"""),10.44)</f>
        <v>10.44</v>
      </c>
      <c r="J112" s="4">
        <f>IFERROR(__xludf.DUMMYFUNCTION("""COMPUTED_VALUE"""),0.0)</f>
        <v>0</v>
      </c>
      <c r="K112" s="4">
        <f>IFERROR(__xludf.DUMMYFUNCTION("""COMPUTED_VALUE"""),352.1466)</f>
        <v>352.1466</v>
      </c>
      <c r="L112" s="4">
        <f>IFERROR(__xludf.DUMMYFUNCTION("""COMPUTED_VALUE"""),3.538554681487766)</f>
        <v>3.538554681</v>
      </c>
    </row>
    <row r="113">
      <c r="A113" s="4" t="str">
        <f>IFERROR(__xludf.DUMMYFUNCTION("""COMPUTED_VALUE"""),"ESO444-G084")</f>
        <v>ESO444-G084</v>
      </c>
      <c r="B113" s="4">
        <f>IFERROR(__xludf.DUMMYFUNCTION("""COMPUTED_VALUE"""),4.83)</f>
        <v>4.83</v>
      </c>
      <c r="C113" s="4">
        <f>IFERROR(__xludf.DUMMYFUNCTION("""COMPUTED_VALUE"""),1.29)</f>
        <v>1.29</v>
      </c>
      <c r="D113" s="4">
        <f>IFERROR(__xludf.DUMMYFUNCTION("""COMPUTED_VALUE"""),47.8)</f>
        <v>47.8</v>
      </c>
      <c r="E113" s="4">
        <f>IFERROR(__xludf.DUMMYFUNCTION("""COMPUTED_VALUE"""),4.63)</f>
        <v>4.63</v>
      </c>
      <c r="F113" s="4">
        <f>IFERROR(__xludf.DUMMYFUNCTION("""COMPUTED_VALUE"""),16.45)</f>
        <v>16.45</v>
      </c>
      <c r="G113" s="4">
        <f>IFERROR(__xludf.DUMMYFUNCTION("""COMPUTED_VALUE"""),14.54)</f>
        <v>14.54</v>
      </c>
      <c r="H113" s="4">
        <f>IFERROR(__xludf.DUMMYFUNCTION("""COMPUTED_VALUE"""),0.0)</f>
        <v>0</v>
      </c>
      <c r="I113" s="4">
        <f>IFERROR(__xludf.DUMMYFUNCTION("""COMPUTED_VALUE"""),3.29)</f>
        <v>3.29</v>
      </c>
      <c r="J113" s="4">
        <f>IFERROR(__xludf.DUMMYFUNCTION("""COMPUTED_VALUE"""),0.0)</f>
        <v>0</v>
      </c>
      <c r="K113" s="4">
        <f>IFERROR(__xludf.DUMMYFUNCTION("""COMPUTED_VALUE"""),482.0140999999999)</f>
        <v>482.0141</v>
      </c>
      <c r="L113" s="4">
        <f>IFERROR(__xludf.DUMMYFUNCTION("""COMPUTED_VALUE"""),4.74019328480225)</f>
        <v>4.740193285</v>
      </c>
    </row>
    <row r="114">
      <c r="A114" s="4" t="str">
        <f>IFERROR(__xludf.DUMMYFUNCTION("""COMPUTED_VALUE"""),"ESO444-G084")</f>
        <v>ESO444-G084</v>
      </c>
      <c r="B114" s="4">
        <f>IFERROR(__xludf.DUMMYFUNCTION("""COMPUTED_VALUE"""),4.83)</f>
        <v>4.83</v>
      </c>
      <c r="C114" s="4">
        <f>IFERROR(__xludf.DUMMYFUNCTION("""COMPUTED_VALUE"""),1.81)</f>
        <v>1.81</v>
      </c>
      <c r="D114" s="4">
        <f>IFERROR(__xludf.DUMMYFUNCTION("""COMPUTED_VALUE"""),52.8)</f>
        <v>52.8</v>
      </c>
      <c r="E114" s="4">
        <f>IFERROR(__xludf.DUMMYFUNCTION("""COMPUTED_VALUE"""),1.26)</f>
        <v>1.26</v>
      </c>
      <c r="F114" s="4">
        <f>IFERROR(__xludf.DUMMYFUNCTION("""COMPUTED_VALUE"""),19.03)</f>
        <v>19.03</v>
      </c>
      <c r="G114" s="4">
        <f>IFERROR(__xludf.DUMMYFUNCTION("""COMPUTED_VALUE"""),13.66)</f>
        <v>13.66</v>
      </c>
      <c r="H114" s="4">
        <f>IFERROR(__xludf.DUMMYFUNCTION("""COMPUTED_VALUE"""),0.0)</f>
        <v>0</v>
      </c>
      <c r="I114" s="4">
        <f>IFERROR(__xludf.DUMMYFUNCTION("""COMPUTED_VALUE"""),1.03)</f>
        <v>1.03</v>
      </c>
      <c r="J114" s="4">
        <f>IFERROR(__xludf.DUMMYFUNCTION("""COMPUTED_VALUE"""),0.0)</f>
        <v>0</v>
      </c>
      <c r="K114" s="4">
        <f>IFERROR(__xludf.DUMMYFUNCTION("""COMPUTED_VALUE"""),548.7365)</f>
        <v>548.7365</v>
      </c>
      <c r="L114" s="4">
        <f>IFERROR(__xludf.DUMMYFUNCTION("""COMPUTED_VALUE"""),5.080471227993764)</f>
        <v>5.080471228</v>
      </c>
    </row>
    <row r="115">
      <c r="A115" s="4" t="str">
        <f>IFERROR(__xludf.DUMMYFUNCTION("""COMPUTED_VALUE"""),"ESO444-G084")</f>
        <v>ESO444-G084</v>
      </c>
      <c r="B115" s="4">
        <f>IFERROR(__xludf.DUMMYFUNCTION("""COMPUTED_VALUE"""),4.83)</f>
        <v>4.83</v>
      </c>
      <c r="C115" s="4">
        <f>IFERROR(__xludf.DUMMYFUNCTION("""COMPUTED_VALUE"""),2.32)</f>
        <v>2.32</v>
      </c>
      <c r="D115" s="4">
        <f>IFERROR(__xludf.DUMMYFUNCTION("""COMPUTED_VALUE"""),58.0)</f>
        <v>58</v>
      </c>
      <c r="E115" s="4">
        <f>IFERROR(__xludf.DUMMYFUNCTION("""COMPUTED_VALUE"""),3.11)</f>
        <v>3.11</v>
      </c>
      <c r="F115" s="4">
        <f>IFERROR(__xludf.DUMMYFUNCTION("""COMPUTED_VALUE"""),20.09)</f>
        <v>20.09</v>
      </c>
      <c r="G115" s="4">
        <f>IFERROR(__xludf.DUMMYFUNCTION("""COMPUTED_VALUE"""),12.28)</f>
        <v>12.28</v>
      </c>
      <c r="H115" s="4">
        <f>IFERROR(__xludf.DUMMYFUNCTION("""COMPUTED_VALUE"""),0.0)</f>
        <v>0</v>
      </c>
      <c r="I115" s="4">
        <f>IFERROR(__xludf.DUMMYFUNCTION("""COMPUTED_VALUE"""),0.34)</f>
        <v>0.34</v>
      </c>
      <c r="J115" s="4">
        <f>IFERROR(__xludf.DUMMYFUNCTION("""COMPUTED_VALUE"""),0.0)</f>
        <v>0</v>
      </c>
      <c r="K115" s="4">
        <f>IFERROR(__xludf.DUMMYFUNCTION("""COMPUTED_VALUE"""),554.4064999999999)</f>
        <v>554.4065</v>
      </c>
      <c r="L115" s="4">
        <f>IFERROR(__xludf.DUMMYFUNCTION("""COMPUTED_VALUE"""),6.067749927174376)</f>
        <v>6.067749927</v>
      </c>
    </row>
    <row r="116">
      <c r="A116" s="4" t="str">
        <f>IFERROR(__xludf.DUMMYFUNCTION("""COMPUTED_VALUE"""),"ESO444-G084")</f>
        <v>ESO444-G084</v>
      </c>
      <c r="B116" s="4">
        <f>IFERROR(__xludf.DUMMYFUNCTION("""COMPUTED_VALUE"""),4.83)</f>
        <v>4.83</v>
      </c>
      <c r="C116" s="4">
        <f>IFERROR(__xludf.DUMMYFUNCTION("""COMPUTED_VALUE"""),3.39)</f>
        <v>3.39</v>
      </c>
      <c r="D116" s="4">
        <f>IFERROR(__xludf.DUMMYFUNCTION("""COMPUTED_VALUE"""),63.1)</f>
        <v>63.1</v>
      </c>
      <c r="E116" s="4">
        <f>IFERROR(__xludf.DUMMYFUNCTION("""COMPUTED_VALUE"""),1.35)</f>
        <v>1.35</v>
      </c>
      <c r="F116" s="4">
        <f>IFERROR(__xludf.DUMMYFUNCTION("""COMPUTED_VALUE"""),17.39)</f>
        <v>17.39</v>
      </c>
      <c r="G116" s="4">
        <f>IFERROR(__xludf.DUMMYFUNCTION("""COMPUTED_VALUE"""),9.97)</f>
        <v>9.97</v>
      </c>
      <c r="H116" s="4">
        <f>IFERROR(__xludf.DUMMYFUNCTION("""COMPUTED_VALUE"""),0.0)</f>
        <v>0</v>
      </c>
      <c r="I116" s="4">
        <f>IFERROR(__xludf.DUMMYFUNCTION("""COMPUTED_VALUE"""),0.03)</f>
        <v>0.03</v>
      </c>
      <c r="J116" s="4">
        <f>IFERROR(__xludf.DUMMYFUNCTION("""COMPUTED_VALUE"""),0.0)</f>
        <v>0</v>
      </c>
      <c r="K116" s="4">
        <f>IFERROR(__xludf.DUMMYFUNCTION("""COMPUTED_VALUE"""),401.813)</f>
        <v>401.813</v>
      </c>
      <c r="L116" s="4">
        <f>IFERROR(__xludf.DUMMYFUNCTION("""COMPUTED_VALUE"""),9.909111950086235)</f>
        <v>9.90911195</v>
      </c>
    </row>
    <row r="117">
      <c r="A117" s="5" t="str">
        <f>IFERROR(__xludf.DUMMYFUNCTION("""COMPUTED_VALUE"""),"ESO444-G084")</f>
        <v>ESO444-G084</v>
      </c>
      <c r="B117" s="5">
        <f>IFERROR(__xludf.DUMMYFUNCTION("""COMPUTED_VALUE"""),4.83)</f>
        <v>4.83</v>
      </c>
      <c r="C117" s="5">
        <f>IFERROR(__xludf.DUMMYFUNCTION("""COMPUTED_VALUE"""),4.44)</f>
        <v>4.44</v>
      </c>
      <c r="D117" s="5">
        <f>IFERROR(__xludf.DUMMYFUNCTION("""COMPUTED_VALUE"""),62.7)</f>
        <v>62.7</v>
      </c>
      <c r="E117" s="5">
        <f>IFERROR(__xludf.DUMMYFUNCTION("""COMPUTED_VALUE"""),7.36)</f>
        <v>7.36</v>
      </c>
      <c r="F117" s="5">
        <f>IFERROR(__xludf.DUMMYFUNCTION("""COMPUTED_VALUE"""),14.45)</f>
        <v>14.45</v>
      </c>
      <c r="G117" s="5">
        <f>IFERROR(__xludf.DUMMYFUNCTION("""COMPUTED_VALUE"""),8.53)</f>
        <v>8.53</v>
      </c>
      <c r="H117" s="5">
        <f>IFERROR(__xludf.DUMMYFUNCTION("""COMPUTED_VALUE"""),0.0)</f>
        <v>0</v>
      </c>
      <c r="I117" s="5">
        <f>IFERROR(__xludf.DUMMYFUNCTION("""COMPUTED_VALUE"""),0.0)</f>
        <v>0</v>
      </c>
      <c r="J117" s="5">
        <f>IFERROR(__xludf.DUMMYFUNCTION("""COMPUTED_VALUE"""),0.0)</f>
        <v>0</v>
      </c>
      <c r="K117" s="5">
        <f>IFERROR(__xludf.DUMMYFUNCTION("""COMPUTED_VALUE"""),281.5634)</f>
        <v>281.5634</v>
      </c>
      <c r="L117" s="5">
        <f>IFERROR(__xludf.DUMMYFUNCTION("""COMPUTED_VALUE"""),13.962361585348097)</f>
        <v>13.96236159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 t="str">
        <f>IFERROR(__xludf.DUMMYFUNCTION("""COMPUTED_VALUE"""),"F565-V2")</f>
        <v>F565-V2</v>
      </c>
      <c r="B118" s="4">
        <f>IFERROR(__xludf.DUMMYFUNCTION("""COMPUTED_VALUE"""),51.8)</f>
        <v>51.8</v>
      </c>
      <c r="C118" s="4">
        <f>IFERROR(__xludf.DUMMYFUNCTION("""COMPUTED_VALUE"""),1.26)</f>
        <v>1.26</v>
      </c>
      <c r="D118" s="4">
        <f>IFERROR(__xludf.DUMMYFUNCTION("""COMPUTED_VALUE"""),21.7)</f>
        <v>21.7</v>
      </c>
      <c r="E118" s="4">
        <f>IFERROR(__xludf.DUMMYFUNCTION("""COMPUTED_VALUE"""),10.0)</f>
        <v>10</v>
      </c>
      <c r="F118" s="4">
        <f>IFERROR(__xludf.DUMMYFUNCTION("""COMPUTED_VALUE"""),5.7)</f>
        <v>5.7</v>
      </c>
      <c r="G118" s="4">
        <f>IFERROR(__xludf.DUMMYFUNCTION("""COMPUTED_VALUE"""),11.4)</f>
        <v>11.4</v>
      </c>
      <c r="H118" s="4">
        <f>IFERROR(__xludf.DUMMYFUNCTION("""COMPUTED_VALUE"""),0.0)</f>
        <v>0</v>
      </c>
      <c r="I118" s="4">
        <f>IFERROR(__xludf.DUMMYFUNCTION("""COMPUTED_VALUE"""),12.58)</f>
        <v>12.58</v>
      </c>
      <c r="J118" s="4">
        <f>IFERROR(__xludf.DUMMYFUNCTION("""COMPUTED_VALUE"""),0.0)</f>
        <v>0</v>
      </c>
      <c r="K118" s="4">
        <f>IFERROR(__xludf.DUMMYFUNCTION("""COMPUTED_VALUE"""),162.45000000000002)</f>
        <v>162.45</v>
      </c>
      <c r="L118" s="4">
        <f>IFERROR(__xludf.DUMMYFUNCTION("""COMPUTED_VALUE"""),2.898676515851031)</f>
        <v>2.898676516</v>
      </c>
    </row>
    <row r="119">
      <c r="A119" s="4" t="str">
        <f>IFERROR(__xludf.DUMMYFUNCTION("""COMPUTED_VALUE"""),"F565-V2")</f>
        <v>F565-V2</v>
      </c>
      <c r="B119" s="4">
        <f>IFERROR(__xludf.DUMMYFUNCTION("""COMPUTED_VALUE"""),51.8)</f>
        <v>51.8</v>
      </c>
      <c r="C119" s="4">
        <f>IFERROR(__xludf.DUMMYFUNCTION("""COMPUTED_VALUE"""),2.51)</f>
        <v>2.51</v>
      </c>
      <c r="D119" s="4">
        <f>IFERROR(__xludf.DUMMYFUNCTION("""COMPUTED_VALUE"""),40.3)</f>
        <v>40.3</v>
      </c>
      <c r="E119" s="4">
        <f>IFERROR(__xludf.DUMMYFUNCTION("""COMPUTED_VALUE"""),10.0)</f>
        <v>10</v>
      </c>
      <c r="F119" s="4">
        <f>IFERROR(__xludf.DUMMYFUNCTION("""COMPUTED_VALUE"""),10.7)</f>
        <v>10.7</v>
      </c>
      <c r="G119" s="4">
        <f>IFERROR(__xludf.DUMMYFUNCTION("""COMPUTED_VALUE"""),17.23)</f>
        <v>17.23</v>
      </c>
      <c r="H119" s="4">
        <f>IFERROR(__xludf.DUMMYFUNCTION("""COMPUTED_VALUE"""),0.0)</f>
        <v>0</v>
      </c>
      <c r="I119" s="4">
        <f>IFERROR(__xludf.DUMMYFUNCTION("""COMPUTED_VALUE"""),5.69)</f>
        <v>5.69</v>
      </c>
      <c r="J119" s="4">
        <f>IFERROR(__xludf.DUMMYFUNCTION("""COMPUTED_VALUE"""),0.0)</f>
        <v>0</v>
      </c>
      <c r="K119" s="4">
        <f>IFERROR(__xludf.DUMMYFUNCTION("""COMPUTED_VALUE"""),411.36289999999997)</f>
        <v>411.3629</v>
      </c>
      <c r="L119" s="4">
        <f>IFERROR(__xludf.DUMMYFUNCTION("""COMPUTED_VALUE"""),3.9480711556632837)</f>
        <v>3.948071156</v>
      </c>
    </row>
    <row r="120">
      <c r="A120" s="4" t="str">
        <f>IFERROR(__xludf.DUMMYFUNCTION("""COMPUTED_VALUE"""),"F565-V2")</f>
        <v>F565-V2</v>
      </c>
      <c r="B120" s="4">
        <f>IFERROR(__xludf.DUMMYFUNCTION("""COMPUTED_VALUE"""),51.8)</f>
        <v>51.8</v>
      </c>
      <c r="C120" s="4">
        <f>IFERROR(__xludf.DUMMYFUNCTION("""COMPUTED_VALUE"""),3.78)</f>
        <v>3.78</v>
      </c>
      <c r="D120" s="4">
        <f>IFERROR(__xludf.DUMMYFUNCTION("""COMPUTED_VALUE"""),57.7)</f>
        <v>57.7</v>
      </c>
      <c r="E120" s="4">
        <f>IFERROR(__xludf.DUMMYFUNCTION("""COMPUTED_VALUE"""),7.0)</f>
        <v>7</v>
      </c>
      <c r="F120" s="4">
        <f>IFERROR(__xludf.DUMMYFUNCTION("""COMPUTED_VALUE"""),14.75)</f>
        <v>14.75</v>
      </c>
      <c r="G120" s="4">
        <f>IFERROR(__xludf.DUMMYFUNCTION("""COMPUTED_VALUE"""),19.15)</f>
        <v>19.15</v>
      </c>
      <c r="H120" s="4">
        <f>IFERROR(__xludf.DUMMYFUNCTION("""COMPUTED_VALUE"""),0.0)</f>
        <v>0</v>
      </c>
      <c r="I120" s="4">
        <f>IFERROR(__xludf.DUMMYFUNCTION("""COMPUTED_VALUE"""),4.01)</f>
        <v>4.01</v>
      </c>
      <c r="J120" s="4">
        <f>IFERROR(__xludf.DUMMYFUNCTION("""COMPUTED_VALUE"""),0.0)</f>
        <v>0</v>
      </c>
      <c r="K120" s="4">
        <f>IFERROR(__xludf.DUMMYFUNCTION("""COMPUTED_VALUE"""),584.285)</f>
        <v>584.285</v>
      </c>
      <c r="L120" s="4">
        <f>IFERROR(__xludf.DUMMYFUNCTION("""COMPUTED_VALUE"""),5.698058310584733)</f>
        <v>5.698058311</v>
      </c>
    </row>
    <row r="121">
      <c r="A121" s="4" t="str">
        <f>IFERROR(__xludf.DUMMYFUNCTION("""COMPUTED_VALUE"""),"F565-V2")</f>
        <v>F565-V2</v>
      </c>
      <c r="B121" s="4">
        <f>IFERROR(__xludf.DUMMYFUNCTION("""COMPUTED_VALUE"""),51.8)</f>
        <v>51.8</v>
      </c>
      <c r="C121" s="4">
        <f>IFERROR(__xludf.DUMMYFUNCTION("""COMPUTED_VALUE"""),5.03)</f>
        <v>5.03</v>
      </c>
      <c r="D121" s="4">
        <f>IFERROR(__xludf.DUMMYFUNCTION("""COMPUTED_VALUE"""),68.5)</f>
        <v>68.5</v>
      </c>
      <c r="E121" s="4">
        <f>IFERROR(__xludf.DUMMYFUNCTION("""COMPUTED_VALUE"""),7.0)</f>
        <v>7</v>
      </c>
      <c r="F121" s="4">
        <f>IFERROR(__xludf.DUMMYFUNCTION("""COMPUTED_VALUE"""),18.18)</f>
        <v>18.18</v>
      </c>
      <c r="G121" s="4">
        <f>IFERROR(__xludf.DUMMYFUNCTION("""COMPUTED_VALUE"""),18.51)</f>
        <v>18.51</v>
      </c>
      <c r="H121" s="4">
        <f>IFERROR(__xludf.DUMMYFUNCTION("""COMPUTED_VALUE"""),0.0)</f>
        <v>0</v>
      </c>
      <c r="I121" s="4">
        <f>IFERROR(__xludf.DUMMYFUNCTION("""COMPUTED_VALUE"""),1.6)</f>
        <v>1.6</v>
      </c>
      <c r="J121" s="4">
        <f>IFERROR(__xludf.DUMMYFUNCTION("""COMPUTED_VALUE"""),0.0)</f>
        <v>0</v>
      </c>
      <c r="K121" s="4">
        <f>IFERROR(__xludf.DUMMYFUNCTION("""COMPUTED_VALUE"""),673.1325)</f>
        <v>673.1325</v>
      </c>
      <c r="L121" s="4">
        <f>IFERROR(__xludf.DUMMYFUNCTION("""COMPUTED_VALUE"""),6.970767270931057)</f>
        <v>6.970767271</v>
      </c>
    </row>
    <row r="122">
      <c r="A122" s="4" t="str">
        <f>IFERROR(__xludf.DUMMYFUNCTION("""COMPUTED_VALUE"""),"F565-V2")</f>
        <v>F565-V2</v>
      </c>
      <c r="B122" s="4">
        <f>IFERROR(__xludf.DUMMYFUNCTION("""COMPUTED_VALUE"""),51.8)</f>
        <v>51.8</v>
      </c>
      <c r="C122" s="4">
        <f>IFERROR(__xludf.DUMMYFUNCTION("""COMPUTED_VALUE"""),6.29)</f>
        <v>6.29</v>
      </c>
      <c r="D122" s="4">
        <f>IFERROR(__xludf.DUMMYFUNCTION("""COMPUTED_VALUE"""),73.5)</f>
        <v>73.5</v>
      </c>
      <c r="E122" s="4">
        <f>IFERROR(__xludf.DUMMYFUNCTION("""COMPUTED_VALUE"""),7.0)</f>
        <v>7</v>
      </c>
      <c r="F122" s="4">
        <f>IFERROR(__xludf.DUMMYFUNCTION("""COMPUTED_VALUE"""),21.5)</f>
        <v>21.5</v>
      </c>
      <c r="G122" s="4">
        <f>IFERROR(__xludf.DUMMYFUNCTION("""COMPUTED_VALUE"""),20.41)</f>
        <v>20.41</v>
      </c>
      <c r="H122" s="4">
        <f>IFERROR(__xludf.DUMMYFUNCTION("""COMPUTED_VALUE"""),0.0)</f>
        <v>0</v>
      </c>
      <c r="I122" s="4">
        <f>IFERROR(__xludf.DUMMYFUNCTION("""COMPUTED_VALUE"""),1.58)</f>
        <v>1.58</v>
      </c>
      <c r="J122" s="4">
        <f>IFERROR(__xludf.DUMMYFUNCTION("""COMPUTED_VALUE"""),0.0)</f>
        <v>0</v>
      </c>
      <c r="K122" s="4">
        <f>IFERROR(__xludf.DUMMYFUNCTION("""COMPUTED_VALUE"""),878.8181)</f>
        <v>878.8181</v>
      </c>
      <c r="L122" s="4">
        <f>IFERROR(__xludf.DUMMYFUNCTION("""COMPUTED_VALUE"""),6.1471765317532725)</f>
        <v>6.147176532</v>
      </c>
    </row>
    <row r="123">
      <c r="A123" s="4" t="str">
        <f>IFERROR(__xludf.DUMMYFUNCTION("""COMPUTED_VALUE"""),"F565-V2")</f>
        <v>F565-V2</v>
      </c>
      <c r="B123" s="4">
        <f>IFERROR(__xludf.DUMMYFUNCTION("""COMPUTED_VALUE"""),51.8)</f>
        <v>51.8</v>
      </c>
      <c r="C123" s="4">
        <f>IFERROR(__xludf.DUMMYFUNCTION("""COMPUTED_VALUE"""),7.54)</f>
        <v>7.54</v>
      </c>
      <c r="D123" s="4">
        <f>IFERROR(__xludf.DUMMYFUNCTION("""COMPUTED_VALUE"""),78.5)</f>
        <v>78.5</v>
      </c>
      <c r="E123" s="4">
        <f>IFERROR(__xludf.DUMMYFUNCTION("""COMPUTED_VALUE"""),5.0)</f>
        <v>5</v>
      </c>
      <c r="F123" s="4">
        <f>IFERROR(__xludf.DUMMYFUNCTION("""COMPUTED_VALUE"""),24.72)</f>
        <v>24.72</v>
      </c>
      <c r="G123" s="4">
        <f>IFERROR(__xludf.DUMMYFUNCTION("""COMPUTED_VALUE"""),20.52)</f>
        <v>20.52</v>
      </c>
      <c r="H123" s="4">
        <f>IFERROR(__xludf.DUMMYFUNCTION("""COMPUTED_VALUE"""),0.0)</f>
        <v>0</v>
      </c>
      <c r="I123" s="4">
        <f>IFERROR(__xludf.DUMMYFUNCTION("""COMPUTED_VALUE"""),0.6)</f>
        <v>0.6</v>
      </c>
      <c r="J123" s="4">
        <f>IFERROR(__xludf.DUMMYFUNCTION("""COMPUTED_VALUE"""),0.0)</f>
        <v>0</v>
      </c>
      <c r="K123" s="4">
        <f>IFERROR(__xludf.DUMMYFUNCTION("""COMPUTED_VALUE"""),1032.1488)</f>
        <v>1032.1488</v>
      </c>
      <c r="L123" s="4">
        <f>IFERROR(__xludf.DUMMYFUNCTION("""COMPUTED_VALUE"""),5.970311644987622)</f>
        <v>5.970311645</v>
      </c>
    </row>
    <row r="124">
      <c r="A124" s="5" t="str">
        <f>IFERROR(__xludf.DUMMYFUNCTION("""COMPUTED_VALUE"""),"F565-V2")</f>
        <v>F565-V2</v>
      </c>
      <c r="B124" s="5">
        <f>IFERROR(__xludf.DUMMYFUNCTION("""COMPUTED_VALUE"""),51.8)</f>
        <v>51.8</v>
      </c>
      <c r="C124" s="5">
        <f>IFERROR(__xludf.DUMMYFUNCTION("""COMPUTED_VALUE"""),8.8)</f>
        <v>8.8</v>
      </c>
      <c r="D124" s="5">
        <f>IFERROR(__xludf.DUMMYFUNCTION("""COMPUTED_VALUE"""),83.1)</f>
        <v>83.1</v>
      </c>
      <c r="E124" s="5">
        <f>IFERROR(__xludf.DUMMYFUNCTION("""COMPUTED_VALUE"""),6.0)</f>
        <v>6</v>
      </c>
      <c r="F124" s="5">
        <f>IFERROR(__xludf.DUMMYFUNCTION("""COMPUTED_VALUE"""),27.11)</f>
        <v>27.11</v>
      </c>
      <c r="G124" s="5">
        <f>IFERROR(__xludf.DUMMYFUNCTION("""COMPUTED_VALUE"""),18.68)</f>
        <v>18.68</v>
      </c>
      <c r="H124" s="5">
        <f>IFERROR(__xludf.DUMMYFUNCTION("""COMPUTED_VALUE"""),0.0)</f>
        <v>0</v>
      </c>
      <c r="I124" s="5">
        <f>IFERROR(__xludf.DUMMYFUNCTION("""COMPUTED_VALUE"""),0.21)</f>
        <v>0.21</v>
      </c>
      <c r="J124" s="5">
        <f>IFERROR(__xludf.DUMMYFUNCTION("""COMPUTED_VALUE"""),0.0)</f>
        <v>0</v>
      </c>
      <c r="K124" s="5">
        <f>IFERROR(__xludf.DUMMYFUNCTION("""COMPUTED_VALUE"""),1083.8944999999999)</f>
        <v>1083.8945</v>
      </c>
      <c r="L124" s="5">
        <f>IFERROR(__xludf.DUMMYFUNCTION("""COMPUTED_VALUE"""),6.371108996309142)</f>
        <v>6.371108996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 t="str">
        <f>IFERROR(__xludf.DUMMYFUNCTION("""COMPUTED_VALUE"""),"F583-1")</f>
        <v>F583-1</v>
      </c>
      <c r="B125" s="4">
        <f>IFERROR(__xludf.DUMMYFUNCTION("""COMPUTED_VALUE"""),35.4)</f>
        <v>35.4</v>
      </c>
      <c r="C125" s="4">
        <f>IFERROR(__xludf.DUMMYFUNCTION("""COMPUTED_VALUE"""),0.26)</f>
        <v>0.26</v>
      </c>
      <c r="D125" s="4">
        <f>IFERROR(__xludf.DUMMYFUNCTION("""COMPUTED_VALUE"""),14.6)</f>
        <v>14.6</v>
      </c>
      <c r="E125" s="4">
        <f>IFERROR(__xludf.DUMMYFUNCTION("""COMPUTED_VALUE"""),13.0)</f>
        <v>13</v>
      </c>
      <c r="F125" s="4">
        <f>IFERROR(__xludf.DUMMYFUNCTION("""COMPUTED_VALUE"""),-0.5)</f>
        <v>-0.5</v>
      </c>
      <c r="G125" s="4">
        <f>IFERROR(__xludf.DUMMYFUNCTION("""COMPUTED_VALUE"""),5.06)</f>
        <v>5.06</v>
      </c>
      <c r="H125" s="4">
        <f>IFERROR(__xludf.DUMMYFUNCTION("""COMPUTED_VALUE"""),0.0)</f>
        <v>0</v>
      </c>
      <c r="I125" s="4">
        <f>IFERROR(__xludf.DUMMYFUNCTION("""COMPUTED_VALUE"""),34.28)</f>
        <v>34.28</v>
      </c>
      <c r="J125" s="4">
        <f>IFERROR(__xludf.DUMMYFUNCTION("""COMPUTED_VALUE"""),0.0)</f>
        <v>0</v>
      </c>
      <c r="K125" s="4">
        <f>IFERROR(__xludf.DUMMYFUNCTION("""COMPUTED_VALUE"""),25.853599999999997)</f>
        <v>25.8536</v>
      </c>
      <c r="L125" s="4">
        <f>IFERROR(__xludf.DUMMYFUNCTION("""COMPUTED_VALUE"""),8.244886592196059)</f>
        <v>8.244886592</v>
      </c>
    </row>
    <row r="126">
      <c r="A126" s="4" t="str">
        <f>IFERROR(__xludf.DUMMYFUNCTION("""COMPUTED_VALUE"""),"F583-1")</f>
        <v>F583-1</v>
      </c>
      <c r="B126" s="4">
        <f>IFERROR(__xludf.DUMMYFUNCTION("""COMPUTED_VALUE"""),35.4)</f>
        <v>35.4</v>
      </c>
      <c r="C126" s="4">
        <f>IFERROR(__xludf.DUMMYFUNCTION("""COMPUTED_VALUE"""),0.44)</f>
        <v>0.44</v>
      </c>
      <c r="D126" s="4">
        <f>IFERROR(__xludf.DUMMYFUNCTION("""COMPUTED_VALUE"""),10.0)</f>
        <v>10</v>
      </c>
      <c r="E126" s="4">
        <f>IFERROR(__xludf.DUMMYFUNCTION("""COMPUTED_VALUE"""),7.0)</f>
        <v>7</v>
      </c>
      <c r="F126" s="4">
        <f>IFERROR(__xludf.DUMMYFUNCTION("""COMPUTED_VALUE"""),-0.86)</f>
        <v>-0.86</v>
      </c>
      <c r="G126" s="4">
        <f>IFERROR(__xludf.DUMMYFUNCTION("""COMPUTED_VALUE"""),8.17)</f>
        <v>8.17</v>
      </c>
      <c r="H126" s="4">
        <f>IFERROR(__xludf.DUMMYFUNCTION("""COMPUTED_VALUE"""),0.0)</f>
        <v>0</v>
      </c>
      <c r="I126" s="4">
        <f>IFERROR(__xludf.DUMMYFUNCTION("""COMPUTED_VALUE"""),31.74)</f>
        <v>31.74</v>
      </c>
      <c r="J126" s="4">
        <f>IFERROR(__xludf.DUMMYFUNCTION("""COMPUTED_VALUE"""),0.0)</f>
        <v>0</v>
      </c>
      <c r="K126" s="4">
        <f>IFERROR(__xludf.DUMMYFUNCTION("""COMPUTED_VALUE"""),67.48849999999999)</f>
        <v>67.4885</v>
      </c>
      <c r="L126" s="4">
        <f>IFERROR(__xludf.DUMMYFUNCTION("""COMPUTED_VALUE"""),1.481733925039081)</f>
        <v>1.481733925</v>
      </c>
    </row>
    <row r="127">
      <c r="A127" s="4" t="str">
        <f>IFERROR(__xludf.DUMMYFUNCTION("""COMPUTED_VALUE"""),"F583-1")</f>
        <v>F583-1</v>
      </c>
      <c r="B127" s="4">
        <f>IFERROR(__xludf.DUMMYFUNCTION("""COMPUTED_VALUE"""),35.4)</f>
        <v>35.4</v>
      </c>
      <c r="C127" s="4">
        <f>IFERROR(__xludf.DUMMYFUNCTION("""COMPUTED_VALUE"""),0.77)</f>
        <v>0.77</v>
      </c>
      <c r="D127" s="4">
        <f>IFERROR(__xludf.DUMMYFUNCTION("""COMPUTED_VALUE"""),10.7)</f>
        <v>10.7</v>
      </c>
      <c r="E127" s="4">
        <f>IFERROR(__xludf.DUMMYFUNCTION("""COMPUTED_VALUE"""),7.13)</f>
        <v>7.13</v>
      </c>
      <c r="F127" s="4">
        <f>IFERROR(__xludf.DUMMYFUNCTION("""COMPUTED_VALUE"""),-1.55)</f>
        <v>-1.55</v>
      </c>
      <c r="G127" s="4">
        <f>IFERROR(__xludf.DUMMYFUNCTION("""COMPUTED_VALUE"""),13.14)</f>
        <v>13.14</v>
      </c>
      <c r="H127" s="4">
        <f>IFERROR(__xludf.DUMMYFUNCTION("""COMPUTED_VALUE"""),0.0)</f>
        <v>0</v>
      </c>
      <c r="I127" s="4">
        <f>IFERROR(__xludf.DUMMYFUNCTION("""COMPUTED_VALUE"""),26.03)</f>
        <v>26.03</v>
      </c>
      <c r="J127" s="4">
        <f>IFERROR(__xludf.DUMMYFUNCTION("""COMPUTED_VALUE"""),0.0)</f>
        <v>0</v>
      </c>
      <c r="K127" s="4">
        <f>IFERROR(__xludf.DUMMYFUNCTION("""COMPUTED_VALUE"""),175.06210000000002)</f>
        <v>175.0621</v>
      </c>
      <c r="L127" s="4">
        <f>IFERROR(__xludf.DUMMYFUNCTION("""COMPUTED_VALUE"""),0.6539964961005265)</f>
        <v>0.6539964961</v>
      </c>
    </row>
    <row r="128">
      <c r="A128" s="4" t="str">
        <f>IFERROR(__xludf.DUMMYFUNCTION("""COMPUTED_VALUE"""),"F583-1")</f>
        <v>F583-1</v>
      </c>
      <c r="B128" s="4">
        <f>IFERROR(__xludf.DUMMYFUNCTION("""COMPUTED_VALUE"""),35.4)</f>
        <v>35.4</v>
      </c>
      <c r="C128" s="4">
        <f>IFERROR(__xludf.DUMMYFUNCTION("""COMPUTED_VALUE"""),0.89)</f>
        <v>0.89</v>
      </c>
      <c r="D128" s="4">
        <f>IFERROR(__xludf.DUMMYFUNCTION("""COMPUTED_VALUE"""),17.4)</f>
        <v>17.4</v>
      </c>
      <c r="E128" s="4">
        <f>IFERROR(__xludf.DUMMYFUNCTION("""COMPUTED_VALUE"""),9.6)</f>
        <v>9.6</v>
      </c>
      <c r="F128" s="4">
        <f>IFERROR(__xludf.DUMMYFUNCTION("""COMPUTED_VALUE"""),-1.78)</f>
        <v>-1.78</v>
      </c>
      <c r="G128" s="4">
        <f>IFERROR(__xludf.DUMMYFUNCTION("""COMPUTED_VALUE"""),14.55)</f>
        <v>14.55</v>
      </c>
      <c r="H128" s="4">
        <f>IFERROR(__xludf.DUMMYFUNCTION("""COMPUTED_VALUE"""),0.0)</f>
        <v>0</v>
      </c>
      <c r="I128" s="4">
        <f>IFERROR(__xludf.DUMMYFUNCTION("""COMPUTED_VALUE"""),23.16)</f>
        <v>23.16</v>
      </c>
      <c r="J128" s="4">
        <f>IFERROR(__xludf.DUMMYFUNCTION("""COMPUTED_VALUE"""),0.0)</f>
        <v>0</v>
      </c>
      <c r="K128" s="4">
        <f>IFERROR(__xludf.DUMMYFUNCTION("""COMPUTED_VALUE"""),214.8709)</f>
        <v>214.8709</v>
      </c>
      <c r="L128" s="4">
        <f>IFERROR(__xludf.DUMMYFUNCTION("""COMPUTED_VALUE"""),1.4090321211480936)</f>
        <v>1.409032121</v>
      </c>
    </row>
    <row r="129">
      <c r="A129" s="4" t="str">
        <f>IFERROR(__xludf.DUMMYFUNCTION("""COMPUTED_VALUE"""),"F583-1")</f>
        <v>F583-1</v>
      </c>
      <c r="B129" s="4">
        <f>IFERROR(__xludf.DUMMYFUNCTION("""COMPUTED_VALUE"""),35.4)</f>
        <v>35.4</v>
      </c>
      <c r="C129" s="4">
        <f>IFERROR(__xludf.DUMMYFUNCTION("""COMPUTED_VALUE"""),1.22)</f>
        <v>1.22</v>
      </c>
      <c r="D129" s="4">
        <f>IFERROR(__xludf.DUMMYFUNCTION("""COMPUTED_VALUE"""),23.5)</f>
        <v>23.5</v>
      </c>
      <c r="E129" s="4">
        <f>IFERROR(__xludf.DUMMYFUNCTION("""COMPUTED_VALUE"""),11.2)</f>
        <v>11.2</v>
      </c>
      <c r="F129" s="4">
        <f>IFERROR(__xludf.DUMMYFUNCTION("""COMPUTED_VALUE"""),-2.43)</f>
        <v>-2.43</v>
      </c>
      <c r="G129" s="4">
        <f>IFERROR(__xludf.DUMMYFUNCTION("""COMPUTED_VALUE"""),17.29)</f>
        <v>17.29</v>
      </c>
      <c r="H129" s="4">
        <f>IFERROR(__xludf.DUMMYFUNCTION("""COMPUTED_VALUE"""),0.0)</f>
        <v>0</v>
      </c>
      <c r="I129" s="4">
        <f>IFERROR(__xludf.DUMMYFUNCTION("""COMPUTED_VALUE"""),17.48)</f>
        <v>17.48</v>
      </c>
      <c r="J129" s="4">
        <f>IFERROR(__xludf.DUMMYFUNCTION("""COMPUTED_VALUE"""),0.0)</f>
        <v>0</v>
      </c>
      <c r="K129" s="4">
        <f>IFERROR(__xludf.DUMMYFUNCTION("""COMPUTED_VALUE"""),304.849)</f>
        <v>304.849</v>
      </c>
      <c r="L129" s="4">
        <f>IFERROR(__xludf.DUMMYFUNCTION("""COMPUTED_VALUE"""),1.811552604732179)</f>
        <v>1.811552605</v>
      </c>
    </row>
    <row r="130">
      <c r="A130" s="4" t="str">
        <f>IFERROR(__xludf.DUMMYFUNCTION("""COMPUTED_VALUE"""),"F583-1")</f>
        <v>F583-1</v>
      </c>
      <c r="B130" s="4">
        <f>IFERROR(__xludf.DUMMYFUNCTION("""COMPUTED_VALUE"""),35.4)</f>
        <v>35.4</v>
      </c>
      <c r="C130" s="4">
        <f>IFERROR(__xludf.DUMMYFUNCTION("""COMPUTED_VALUE"""),1.55)</f>
        <v>1.55</v>
      </c>
      <c r="D130" s="4">
        <f>IFERROR(__xludf.DUMMYFUNCTION("""COMPUTED_VALUE"""),31.0)</f>
        <v>31</v>
      </c>
      <c r="E130" s="4">
        <f>IFERROR(__xludf.DUMMYFUNCTION("""COMPUTED_VALUE"""),5.2)</f>
        <v>5.2</v>
      </c>
      <c r="F130" s="4">
        <f>IFERROR(__xludf.DUMMYFUNCTION("""COMPUTED_VALUE"""),-2.98)</f>
        <v>-2.98</v>
      </c>
      <c r="G130" s="4">
        <f>IFERROR(__xludf.DUMMYFUNCTION("""COMPUTED_VALUE"""),18.37)</f>
        <v>18.37</v>
      </c>
      <c r="H130" s="4">
        <f>IFERROR(__xludf.DUMMYFUNCTION("""COMPUTED_VALUE"""),0.0)</f>
        <v>0</v>
      </c>
      <c r="I130" s="4">
        <f>IFERROR(__xludf.DUMMYFUNCTION("""COMPUTED_VALUE"""),11.3)</f>
        <v>11.3</v>
      </c>
      <c r="J130" s="4">
        <f>IFERROR(__xludf.DUMMYFUNCTION("""COMPUTED_VALUE"""),0.0)</f>
        <v>0</v>
      </c>
      <c r="K130" s="4">
        <f>IFERROR(__xludf.DUMMYFUNCTION("""COMPUTED_VALUE"""),346.3373)</f>
        <v>346.3373</v>
      </c>
      <c r="L130" s="4">
        <f>IFERROR(__xludf.DUMMYFUNCTION("""COMPUTED_VALUE"""),2.7747516655006548)</f>
        <v>2.774751666</v>
      </c>
    </row>
    <row r="131">
      <c r="A131" s="4" t="str">
        <f>IFERROR(__xludf.DUMMYFUNCTION("""COMPUTED_VALUE"""),"F583-1")</f>
        <v>F583-1</v>
      </c>
      <c r="B131" s="4">
        <f>IFERROR(__xludf.DUMMYFUNCTION("""COMPUTED_VALUE"""),35.4)</f>
        <v>35.4</v>
      </c>
      <c r="C131" s="4">
        <f>IFERROR(__xludf.DUMMYFUNCTION("""COMPUTED_VALUE"""),1.8)</f>
        <v>1.8</v>
      </c>
      <c r="D131" s="4">
        <f>IFERROR(__xludf.DUMMYFUNCTION("""COMPUTED_VALUE"""),32.3)</f>
        <v>32.3</v>
      </c>
      <c r="E131" s="4">
        <f>IFERROR(__xludf.DUMMYFUNCTION("""COMPUTED_VALUE"""),2.41)</f>
        <v>2.41</v>
      </c>
      <c r="F131" s="4">
        <f>IFERROR(__xludf.DUMMYFUNCTION("""COMPUTED_VALUE"""),-3.18)</f>
        <v>-3.18</v>
      </c>
      <c r="G131" s="4">
        <f>IFERROR(__xludf.DUMMYFUNCTION("""COMPUTED_VALUE"""),18.25)</f>
        <v>18.25</v>
      </c>
      <c r="H131" s="4">
        <f>IFERROR(__xludf.DUMMYFUNCTION("""COMPUTED_VALUE"""),0.0)</f>
        <v>0</v>
      </c>
      <c r="I131" s="4">
        <f>IFERROR(__xludf.DUMMYFUNCTION("""COMPUTED_VALUE"""),10.51)</f>
        <v>10.51</v>
      </c>
      <c r="J131" s="4">
        <f>IFERROR(__xludf.DUMMYFUNCTION("""COMPUTED_VALUE"""),0.0)</f>
        <v>0</v>
      </c>
      <c r="K131" s="4">
        <f>IFERROR(__xludf.DUMMYFUNCTION("""COMPUTED_VALUE"""),343.1749)</f>
        <v>343.1749</v>
      </c>
      <c r="L131" s="4">
        <f>IFERROR(__xludf.DUMMYFUNCTION("""COMPUTED_VALUE"""),3.040111616554707)</f>
        <v>3.040111617</v>
      </c>
    </row>
    <row r="132">
      <c r="A132" s="4" t="str">
        <f>IFERROR(__xludf.DUMMYFUNCTION("""COMPUTED_VALUE"""),"F583-1")</f>
        <v>F583-1</v>
      </c>
      <c r="B132" s="4">
        <f>IFERROR(__xludf.DUMMYFUNCTION("""COMPUTED_VALUE"""),35.4)</f>
        <v>35.4</v>
      </c>
      <c r="C132" s="4">
        <f>IFERROR(__xludf.DUMMYFUNCTION("""COMPUTED_VALUE"""),2.21)</f>
        <v>2.21</v>
      </c>
      <c r="D132" s="4">
        <f>IFERROR(__xludf.DUMMYFUNCTION("""COMPUTED_VALUE"""),40.9)</f>
        <v>40.9</v>
      </c>
      <c r="E132" s="4">
        <f>IFERROR(__xludf.DUMMYFUNCTION("""COMPUTED_VALUE"""),5.9)</f>
        <v>5.9</v>
      </c>
      <c r="F132" s="4">
        <f>IFERROR(__xludf.DUMMYFUNCTION("""COMPUTED_VALUE"""),-3.53)</f>
        <v>-3.53</v>
      </c>
      <c r="G132" s="4">
        <f>IFERROR(__xludf.DUMMYFUNCTION("""COMPUTED_VALUE"""),19.06)</f>
        <v>19.06</v>
      </c>
      <c r="H132" s="4">
        <f>IFERROR(__xludf.DUMMYFUNCTION("""COMPUTED_VALUE"""),0.0)</f>
        <v>0</v>
      </c>
      <c r="I132" s="4">
        <f>IFERROR(__xludf.DUMMYFUNCTION("""COMPUTED_VALUE"""),10.14)</f>
        <v>10.14</v>
      </c>
      <c r="J132" s="4">
        <f>IFERROR(__xludf.DUMMYFUNCTION("""COMPUTED_VALUE"""),0.0)</f>
        <v>0</v>
      </c>
      <c r="K132" s="4">
        <f>IFERROR(__xludf.DUMMYFUNCTION("""COMPUTED_VALUE"""),375.74449999999996)</f>
        <v>375.7445</v>
      </c>
      <c r="L132" s="4">
        <f>IFERROR(__xludf.DUMMYFUNCTION("""COMPUTED_VALUE"""),4.451987986517435)</f>
        <v>4.451987987</v>
      </c>
    </row>
    <row r="133">
      <c r="A133" s="4" t="str">
        <f>IFERROR(__xludf.DUMMYFUNCTION("""COMPUTED_VALUE"""),"F583-1")</f>
        <v>F583-1</v>
      </c>
      <c r="B133" s="4">
        <f>IFERROR(__xludf.DUMMYFUNCTION("""COMPUTED_VALUE"""),35.4)</f>
        <v>35.4</v>
      </c>
      <c r="C133" s="4">
        <f>IFERROR(__xludf.DUMMYFUNCTION("""COMPUTED_VALUE"""),2.31)</f>
        <v>2.31</v>
      </c>
      <c r="D133" s="4">
        <f>IFERROR(__xludf.DUMMYFUNCTION("""COMPUTED_VALUE"""),43.8)</f>
        <v>43.8</v>
      </c>
      <c r="E133" s="4">
        <f>IFERROR(__xludf.DUMMYFUNCTION("""COMPUTED_VALUE"""),4.26)</f>
        <v>4.26</v>
      </c>
      <c r="F133" s="4">
        <f>IFERROR(__xludf.DUMMYFUNCTION("""COMPUTED_VALUE"""),-3.66)</f>
        <v>-3.66</v>
      </c>
      <c r="G133" s="4">
        <f>IFERROR(__xludf.DUMMYFUNCTION("""COMPUTED_VALUE"""),19.39)</f>
        <v>19.39</v>
      </c>
      <c r="H133" s="4">
        <f>IFERROR(__xludf.DUMMYFUNCTION("""COMPUTED_VALUE"""),0.0)</f>
        <v>0</v>
      </c>
      <c r="I133" s="4">
        <f>IFERROR(__xludf.DUMMYFUNCTION("""COMPUTED_VALUE"""),9.91)</f>
        <v>9.91</v>
      </c>
      <c r="J133" s="4">
        <f>IFERROR(__xludf.DUMMYFUNCTION("""COMPUTED_VALUE"""),0.0)</f>
        <v>0</v>
      </c>
      <c r="K133" s="4">
        <f>IFERROR(__xludf.DUMMYFUNCTION("""COMPUTED_VALUE"""),389.3677)</f>
        <v>389.3677</v>
      </c>
      <c r="L133" s="4">
        <f>IFERROR(__xludf.DUMMYFUNCTION("""COMPUTED_VALUE"""),4.927065085265161)</f>
        <v>4.927065085</v>
      </c>
    </row>
    <row r="134">
      <c r="A134" s="4" t="str">
        <f>IFERROR(__xludf.DUMMYFUNCTION("""COMPUTED_VALUE"""),"F583-1")</f>
        <v>F583-1</v>
      </c>
      <c r="B134" s="4">
        <f>IFERROR(__xludf.DUMMYFUNCTION("""COMPUTED_VALUE"""),35.4)</f>
        <v>35.4</v>
      </c>
      <c r="C134" s="4">
        <f>IFERROR(__xludf.DUMMYFUNCTION("""COMPUTED_VALUE"""),2.54)</f>
        <v>2.54</v>
      </c>
      <c r="D134" s="4">
        <f>IFERROR(__xludf.DUMMYFUNCTION("""COMPUTED_VALUE"""),44.8)</f>
        <v>44.8</v>
      </c>
      <c r="E134" s="4">
        <f>IFERROR(__xludf.DUMMYFUNCTION("""COMPUTED_VALUE"""),4.5)</f>
        <v>4.5</v>
      </c>
      <c r="F134" s="4">
        <f>IFERROR(__xludf.DUMMYFUNCTION("""COMPUTED_VALUE"""),-4.08)</f>
        <v>-4.08</v>
      </c>
      <c r="G134" s="4">
        <f>IFERROR(__xludf.DUMMYFUNCTION("""COMPUTED_VALUE"""),20.16)</f>
        <v>20.16</v>
      </c>
      <c r="H134" s="4">
        <f>IFERROR(__xludf.DUMMYFUNCTION("""COMPUTED_VALUE"""),0.0)</f>
        <v>0</v>
      </c>
      <c r="I134" s="4">
        <f>IFERROR(__xludf.DUMMYFUNCTION("""COMPUTED_VALUE"""),9.2)</f>
        <v>9.2</v>
      </c>
      <c r="J134" s="4">
        <f>IFERROR(__xludf.DUMMYFUNCTION("""COMPUTED_VALUE"""),0.0)</f>
        <v>0</v>
      </c>
      <c r="K134" s="4">
        <f>IFERROR(__xludf.DUMMYFUNCTION("""COMPUTED_VALUE"""),423.072)</f>
        <v>423.072</v>
      </c>
      <c r="L134" s="4">
        <f>IFERROR(__xludf.DUMMYFUNCTION("""COMPUTED_VALUE"""),4.743967929808637)</f>
        <v>4.74396793</v>
      </c>
    </row>
    <row r="135">
      <c r="A135" s="4" t="str">
        <f>IFERROR(__xludf.DUMMYFUNCTION("""COMPUTED_VALUE"""),"F583-1")</f>
        <v>F583-1</v>
      </c>
      <c r="B135" s="4">
        <f>IFERROR(__xludf.DUMMYFUNCTION("""COMPUTED_VALUE"""),35.4)</f>
        <v>35.4</v>
      </c>
      <c r="C135" s="4">
        <f>IFERROR(__xludf.DUMMYFUNCTION("""COMPUTED_VALUE"""),3.1)</f>
        <v>3.1</v>
      </c>
      <c r="D135" s="4">
        <f>IFERROR(__xludf.DUMMYFUNCTION("""COMPUTED_VALUE"""),51.7)</f>
        <v>51.7</v>
      </c>
      <c r="E135" s="4">
        <f>IFERROR(__xludf.DUMMYFUNCTION("""COMPUTED_VALUE"""),12.7)</f>
        <v>12.7</v>
      </c>
      <c r="F135" s="4">
        <f>IFERROR(__xludf.DUMMYFUNCTION("""COMPUTED_VALUE"""),-5.16)</f>
        <v>-5.16</v>
      </c>
      <c r="G135" s="4">
        <f>IFERROR(__xludf.DUMMYFUNCTION("""COMPUTED_VALUE"""),22.16)</f>
        <v>22.16</v>
      </c>
      <c r="H135" s="4">
        <f>IFERROR(__xludf.DUMMYFUNCTION("""COMPUTED_VALUE"""),0.0)</f>
        <v>0</v>
      </c>
      <c r="I135" s="4">
        <f>IFERROR(__xludf.DUMMYFUNCTION("""COMPUTED_VALUE"""),8.56)</f>
        <v>8.56</v>
      </c>
      <c r="J135" s="4">
        <f>IFERROR(__xludf.DUMMYFUNCTION("""COMPUTED_VALUE"""),0.0)</f>
        <v>0</v>
      </c>
      <c r="K135" s="4">
        <f>IFERROR(__xludf.DUMMYFUNCTION("""COMPUTED_VALUE"""),517.6912)</f>
        <v>517.6912</v>
      </c>
      <c r="L135" s="4">
        <f>IFERROR(__xludf.DUMMYFUNCTION("""COMPUTED_VALUE"""),5.163097228618143)</f>
        <v>5.163097229</v>
      </c>
    </row>
    <row r="136">
      <c r="A136" s="4" t="str">
        <f>IFERROR(__xludf.DUMMYFUNCTION("""COMPUTED_VALUE"""),"F583-1")</f>
        <v>F583-1</v>
      </c>
      <c r="B136" s="4">
        <f>IFERROR(__xludf.DUMMYFUNCTION("""COMPUTED_VALUE"""),35.4)</f>
        <v>35.4</v>
      </c>
      <c r="C136" s="4">
        <f>IFERROR(__xludf.DUMMYFUNCTION("""COMPUTED_VALUE"""),3.43)</f>
        <v>3.43</v>
      </c>
      <c r="D136" s="4">
        <f>IFERROR(__xludf.DUMMYFUNCTION("""COMPUTED_VALUE"""),55.7)</f>
        <v>55.7</v>
      </c>
      <c r="E136" s="4">
        <f>IFERROR(__xludf.DUMMYFUNCTION("""COMPUTED_VALUE"""),4.5)</f>
        <v>4.5</v>
      </c>
      <c r="F136" s="4">
        <f>IFERROR(__xludf.DUMMYFUNCTION("""COMPUTED_VALUE"""),-4.94)</f>
        <v>-4.94</v>
      </c>
      <c r="G136" s="4">
        <f>IFERROR(__xludf.DUMMYFUNCTION("""COMPUTED_VALUE"""),23.71)</f>
        <v>23.71</v>
      </c>
      <c r="H136" s="4">
        <f>IFERROR(__xludf.DUMMYFUNCTION("""COMPUTED_VALUE"""),0.0)</f>
        <v>0</v>
      </c>
      <c r="I136" s="4">
        <f>IFERROR(__xludf.DUMMYFUNCTION("""COMPUTED_VALUE"""),7.6)</f>
        <v>7.6</v>
      </c>
      <c r="J136" s="4">
        <f>IFERROR(__xludf.DUMMYFUNCTION("""COMPUTED_VALUE"""),0.0)</f>
        <v>0</v>
      </c>
      <c r="K136" s="4">
        <f>IFERROR(__xludf.DUMMYFUNCTION("""COMPUTED_VALUE"""),586.5677000000001)</f>
        <v>586.5677</v>
      </c>
      <c r="L136" s="4">
        <f>IFERROR(__xludf.DUMMYFUNCTION("""COMPUTED_VALUE"""),5.289227483886344)</f>
        <v>5.289227484</v>
      </c>
    </row>
    <row r="137">
      <c r="A137" s="4" t="str">
        <f>IFERROR(__xludf.DUMMYFUNCTION("""COMPUTED_VALUE"""),"F583-1")</f>
        <v>F583-1</v>
      </c>
      <c r="B137" s="4">
        <f>IFERROR(__xludf.DUMMYFUNCTION("""COMPUTED_VALUE"""),35.4)</f>
        <v>35.4</v>
      </c>
      <c r="C137" s="4">
        <f>IFERROR(__xludf.DUMMYFUNCTION("""COMPUTED_VALUE"""),3.86)</f>
        <v>3.86</v>
      </c>
      <c r="D137" s="4">
        <f>IFERROR(__xludf.DUMMYFUNCTION("""COMPUTED_VALUE"""),59.4)</f>
        <v>59.4</v>
      </c>
      <c r="E137" s="4">
        <f>IFERROR(__xludf.DUMMYFUNCTION("""COMPUTED_VALUE"""),9.85)</f>
        <v>9.85</v>
      </c>
      <c r="F137" s="4">
        <f>IFERROR(__xludf.DUMMYFUNCTION("""COMPUTED_VALUE"""),-3.07)</f>
        <v>-3.07</v>
      </c>
      <c r="G137" s="4">
        <f>IFERROR(__xludf.DUMMYFUNCTION("""COMPUTED_VALUE"""),24.94)</f>
        <v>24.94</v>
      </c>
      <c r="H137" s="4">
        <f>IFERROR(__xludf.DUMMYFUNCTION("""COMPUTED_VALUE"""),0.0)</f>
        <v>0</v>
      </c>
      <c r="I137" s="4">
        <f>IFERROR(__xludf.DUMMYFUNCTION("""COMPUTED_VALUE"""),6.05)</f>
        <v>6.05</v>
      </c>
      <c r="J137" s="4">
        <f>IFERROR(__xludf.DUMMYFUNCTION("""COMPUTED_VALUE"""),0.0)</f>
        <v>0</v>
      </c>
      <c r="K137" s="4">
        <f>IFERROR(__xludf.DUMMYFUNCTION("""COMPUTED_VALUE"""),631.4285000000001)</f>
        <v>631.4285</v>
      </c>
      <c r="L137" s="4">
        <f>IFERROR(__xludf.DUMMYFUNCTION("""COMPUTED_VALUE"""),5.587901084604193)</f>
        <v>5.587901085</v>
      </c>
    </row>
    <row r="138">
      <c r="A138" s="4" t="str">
        <f>IFERROR(__xludf.DUMMYFUNCTION("""COMPUTED_VALUE"""),"F583-1")</f>
        <v>F583-1</v>
      </c>
      <c r="B138" s="4">
        <f>IFERROR(__xludf.DUMMYFUNCTION("""COMPUTED_VALUE"""),35.4)</f>
        <v>35.4</v>
      </c>
      <c r="C138" s="4">
        <f>IFERROR(__xludf.DUMMYFUNCTION("""COMPUTED_VALUE"""),4.09)</f>
        <v>4.09</v>
      </c>
      <c r="D138" s="4">
        <f>IFERROR(__xludf.DUMMYFUNCTION("""COMPUTED_VALUE"""),62.0)</f>
        <v>62</v>
      </c>
      <c r="E138" s="4">
        <f>IFERROR(__xludf.DUMMYFUNCTION("""COMPUTED_VALUE"""),4.5)</f>
        <v>4.5</v>
      </c>
      <c r="F138" s="4">
        <f>IFERROR(__xludf.DUMMYFUNCTION("""COMPUTED_VALUE"""),1.31)</f>
        <v>1.31</v>
      </c>
      <c r="G138" s="4">
        <f>IFERROR(__xludf.DUMMYFUNCTION("""COMPUTED_VALUE"""),25.34)</f>
        <v>25.34</v>
      </c>
      <c r="H138" s="4">
        <f>IFERROR(__xludf.DUMMYFUNCTION("""COMPUTED_VALUE"""),0.0)</f>
        <v>0</v>
      </c>
      <c r="I138" s="4">
        <f>IFERROR(__xludf.DUMMYFUNCTION("""COMPUTED_VALUE"""),5.43)</f>
        <v>5.43</v>
      </c>
      <c r="J138" s="4">
        <f>IFERROR(__xludf.DUMMYFUNCTION("""COMPUTED_VALUE"""),0.0)</f>
        <v>0</v>
      </c>
      <c r="K138" s="4">
        <f>IFERROR(__xludf.DUMMYFUNCTION("""COMPUTED_VALUE"""),643.8317)</f>
        <v>643.8317</v>
      </c>
      <c r="L138" s="4">
        <f>IFERROR(__xludf.DUMMYFUNCTION("""COMPUTED_VALUE"""),5.970504403557638)</f>
        <v>5.970504404</v>
      </c>
    </row>
    <row r="139">
      <c r="A139" s="4" t="str">
        <f>IFERROR(__xludf.DUMMYFUNCTION("""COMPUTED_VALUE"""),"F583-1")</f>
        <v>F583-1</v>
      </c>
      <c r="B139" s="4">
        <f>IFERROR(__xludf.DUMMYFUNCTION("""COMPUTED_VALUE"""),35.4)</f>
        <v>35.4</v>
      </c>
      <c r="C139" s="4">
        <f>IFERROR(__xludf.DUMMYFUNCTION("""COMPUTED_VALUE"""),4.37)</f>
        <v>4.37</v>
      </c>
      <c r="D139" s="4">
        <f>IFERROR(__xludf.DUMMYFUNCTION("""COMPUTED_VALUE"""),63.0)</f>
        <v>63</v>
      </c>
      <c r="E139" s="4">
        <f>IFERROR(__xludf.DUMMYFUNCTION("""COMPUTED_VALUE"""),3.2)</f>
        <v>3.2</v>
      </c>
      <c r="F139" s="4">
        <f>IFERROR(__xludf.DUMMYFUNCTION("""COMPUTED_VALUE"""),4.42)</f>
        <v>4.42</v>
      </c>
      <c r="G139" s="4">
        <f>IFERROR(__xludf.DUMMYFUNCTION("""COMPUTED_VALUE"""),25.74)</f>
        <v>25.74</v>
      </c>
      <c r="H139" s="4">
        <f>IFERROR(__xludf.DUMMYFUNCTION("""COMPUTED_VALUE"""),0.0)</f>
        <v>0</v>
      </c>
      <c r="I139" s="4">
        <f>IFERROR(__xludf.DUMMYFUNCTION("""COMPUTED_VALUE"""),4.75)</f>
        <v>4.75</v>
      </c>
      <c r="J139" s="4">
        <f>IFERROR(__xludf.DUMMYFUNCTION("""COMPUTED_VALUE"""),0.0)</f>
        <v>0</v>
      </c>
      <c r="K139" s="4">
        <f>IFERROR(__xludf.DUMMYFUNCTION("""COMPUTED_VALUE"""),682.0839999999998)</f>
        <v>682.084</v>
      </c>
      <c r="L139" s="4">
        <f>IFERROR(__xludf.DUMMYFUNCTION("""COMPUTED_VALUE"""),5.818931392614401)</f>
        <v>5.818931393</v>
      </c>
    </row>
    <row r="140">
      <c r="A140" s="4" t="str">
        <f>IFERROR(__xludf.DUMMYFUNCTION("""COMPUTED_VALUE"""),"F583-1")</f>
        <v>F583-1</v>
      </c>
      <c r="B140" s="4">
        <f>IFERROR(__xludf.DUMMYFUNCTION("""COMPUTED_VALUE"""),35.4)</f>
        <v>35.4</v>
      </c>
      <c r="C140" s="4">
        <f>IFERROR(__xludf.DUMMYFUNCTION("""COMPUTED_VALUE"""),4.76)</f>
        <v>4.76</v>
      </c>
      <c r="D140" s="4">
        <f>IFERROR(__xludf.DUMMYFUNCTION("""COMPUTED_VALUE"""),66.6)</f>
        <v>66.6</v>
      </c>
      <c r="E140" s="4">
        <f>IFERROR(__xludf.DUMMYFUNCTION("""COMPUTED_VALUE"""),6.9)</f>
        <v>6.9</v>
      </c>
      <c r="F140" s="4">
        <f>IFERROR(__xludf.DUMMYFUNCTION("""COMPUTED_VALUE"""),7.13)</f>
        <v>7.13</v>
      </c>
      <c r="G140" s="4">
        <f>IFERROR(__xludf.DUMMYFUNCTION("""COMPUTED_VALUE"""),26.09)</f>
        <v>26.09</v>
      </c>
      <c r="H140" s="4">
        <f>IFERROR(__xludf.DUMMYFUNCTION("""COMPUTED_VALUE"""),0.0)</f>
        <v>0</v>
      </c>
      <c r="I140" s="4">
        <f>IFERROR(__xludf.DUMMYFUNCTION("""COMPUTED_VALUE"""),3.9)</f>
        <v>3.9</v>
      </c>
      <c r="J140" s="4">
        <f>IFERROR(__xludf.DUMMYFUNCTION("""COMPUTED_VALUE"""),0.0)</f>
        <v>0</v>
      </c>
      <c r="K140" s="4">
        <f>IFERROR(__xludf.DUMMYFUNCTION("""COMPUTED_VALUE"""),731.525)</f>
        <v>731.525</v>
      </c>
      <c r="L140" s="4">
        <f>IFERROR(__xludf.DUMMYFUNCTION("""COMPUTED_VALUE"""),6.063442807832951)</f>
        <v>6.063442808</v>
      </c>
    </row>
    <row r="141">
      <c r="A141" s="4" t="str">
        <f>IFERROR(__xludf.DUMMYFUNCTION("""COMPUTED_VALUE"""),"F583-1")</f>
        <v>F583-1</v>
      </c>
      <c r="B141" s="4">
        <f>IFERROR(__xludf.DUMMYFUNCTION("""COMPUTED_VALUE"""),35.4)</f>
        <v>35.4</v>
      </c>
      <c r="C141" s="4">
        <f>IFERROR(__xludf.DUMMYFUNCTION("""COMPUTED_VALUE"""),5.4)</f>
        <v>5.4</v>
      </c>
      <c r="D141" s="4">
        <f>IFERROR(__xludf.DUMMYFUNCTION("""COMPUTED_VALUE"""),71.3)</f>
        <v>71.3</v>
      </c>
      <c r="E141" s="4">
        <f>IFERROR(__xludf.DUMMYFUNCTION("""COMPUTED_VALUE"""),2.95)</f>
        <v>2.95</v>
      </c>
      <c r="F141" s="4">
        <f>IFERROR(__xludf.DUMMYFUNCTION("""COMPUTED_VALUE"""),11.25)</f>
        <v>11.25</v>
      </c>
      <c r="G141" s="4">
        <f>IFERROR(__xludf.DUMMYFUNCTION("""COMPUTED_VALUE"""),26.17)</f>
        <v>26.17</v>
      </c>
      <c r="H141" s="4">
        <f>IFERROR(__xludf.DUMMYFUNCTION("""COMPUTED_VALUE"""),0.0)</f>
        <v>0</v>
      </c>
      <c r="I141" s="4">
        <f>IFERROR(__xludf.DUMMYFUNCTION("""COMPUTED_VALUE"""),2.77)</f>
        <v>2.77</v>
      </c>
      <c r="J141" s="4">
        <f>IFERROR(__xludf.DUMMYFUNCTION("""COMPUTED_VALUE"""),0.0)</f>
        <v>0</v>
      </c>
      <c r="K141" s="4">
        <f>IFERROR(__xludf.DUMMYFUNCTION("""COMPUTED_VALUE"""),811.4314)</f>
        <v>811.4314</v>
      </c>
      <c r="L141" s="4">
        <f>IFERROR(__xludf.DUMMYFUNCTION("""COMPUTED_VALUE"""),6.265089075921883)</f>
        <v>6.265089076</v>
      </c>
    </row>
    <row r="142">
      <c r="A142" s="4" t="str">
        <f>IFERROR(__xludf.DUMMYFUNCTION("""COMPUTED_VALUE"""),"F583-1")</f>
        <v>F583-1</v>
      </c>
      <c r="B142" s="4">
        <f>IFERROR(__xludf.DUMMYFUNCTION("""COMPUTED_VALUE"""),35.4)</f>
        <v>35.4</v>
      </c>
      <c r="C142" s="4">
        <f>IFERROR(__xludf.DUMMYFUNCTION("""COMPUTED_VALUE"""),5.86)</f>
        <v>5.86</v>
      </c>
      <c r="D142" s="4">
        <f>IFERROR(__xludf.DUMMYFUNCTION("""COMPUTED_VALUE"""),72.3)</f>
        <v>72.3</v>
      </c>
      <c r="E142" s="4">
        <f>IFERROR(__xludf.DUMMYFUNCTION("""COMPUTED_VALUE"""),15.5)</f>
        <v>15.5</v>
      </c>
      <c r="F142" s="4">
        <f>IFERROR(__xludf.DUMMYFUNCTION("""COMPUTED_VALUE"""),13.88)</f>
        <v>13.88</v>
      </c>
      <c r="G142" s="4">
        <f>IFERROR(__xludf.DUMMYFUNCTION("""COMPUTED_VALUE"""),25.92)</f>
        <v>25.92</v>
      </c>
      <c r="H142" s="4">
        <f>IFERROR(__xludf.DUMMYFUNCTION("""COMPUTED_VALUE"""),0.0)</f>
        <v>0</v>
      </c>
      <c r="I142" s="4">
        <f>IFERROR(__xludf.DUMMYFUNCTION("""COMPUTED_VALUE"""),2.15)</f>
        <v>2.15</v>
      </c>
      <c r="J142" s="4">
        <f>IFERROR(__xludf.DUMMYFUNCTION("""COMPUTED_VALUE"""),0.0)</f>
        <v>0</v>
      </c>
      <c r="K142" s="4">
        <f>IFERROR(__xludf.DUMMYFUNCTION("""COMPUTED_VALUE"""),864.5008000000001)</f>
        <v>864.5008</v>
      </c>
      <c r="L142" s="4">
        <f>IFERROR(__xludf.DUMMYFUNCTION("""COMPUTED_VALUE"""),6.0465993785083825)</f>
        <v>6.046599379</v>
      </c>
    </row>
    <row r="143">
      <c r="A143" s="4" t="str">
        <f>IFERROR(__xludf.DUMMYFUNCTION("""COMPUTED_VALUE"""),"F583-1")</f>
        <v>F583-1</v>
      </c>
      <c r="B143" s="4">
        <f>IFERROR(__xludf.DUMMYFUNCTION("""COMPUTED_VALUE"""),35.4)</f>
        <v>35.4</v>
      </c>
      <c r="C143" s="4">
        <f>IFERROR(__xludf.DUMMYFUNCTION("""COMPUTED_VALUE"""),6.08)</f>
        <v>6.08</v>
      </c>
      <c r="D143" s="4">
        <f>IFERROR(__xludf.DUMMYFUNCTION("""COMPUTED_VALUE"""),73.4)</f>
        <v>73.4</v>
      </c>
      <c r="E143" s="4">
        <f>IFERROR(__xludf.DUMMYFUNCTION("""COMPUTED_VALUE"""),6.0)</f>
        <v>6</v>
      </c>
      <c r="F143" s="4">
        <f>IFERROR(__xludf.DUMMYFUNCTION("""COMPUTED_VALUE"""),14.94)</f>
        <v>14.94</v>
      </c>
      <c r="G143" s="4">
        <f>IFERROR(__xludf.DUMMYFUNCTION("""COMPUTED_VALUE"""),25.73)</f>
        <v>25.73</v>
      </c>
      <c r="H143" s="4">
        <f>IFERROR(__xludf.DUMMYFUNCTION("""COMPUTED_VALUE"""),0.0)</f>
        <v>0</v>
      </c>
      <c r="I143" s="4">
        <f>IFERROR(__xludf.DUMMYFUNCTION("""COMPUTED_VALUE"""),1.92)</f>
        <v>1.92</v>
      </c>
      <c r="J143" s="4">
        <f>IFERROR(__xludf.DUMMYFUNCTION("""COMPUTED_VALUE"""),0.0)</f>
        <v>0</v>
      </c>
      <c r="K143" s="4">
        <f>IFERROR(__xludf.DUMMYFUNCTION("""COMPUTED_VALUE"""),885.2365)</f>
        <v>885.2365</v>
      </c>
      <c r="L143" s="4">
        <f>IFERROR(__xludf.DUMMYFUNCTION("""COMPUTED_VALUE"""),6.086012043109385)</f>
        <v>6.086012043</v>
      </c>
    </row>
    <row r="144">
      <c r="A144" s="4" t="str">
        <f>IFERROR(__xludf.DUMMYFUNCTION("""COMPUTED_VALUE"""),"F583-1")</f>
        <v>F583-1</v>
      </c>
      <c r="B144" s="4">
        <f>IFERROR(__xludf.DUMMYFUNCTION("""COMPUTED_VALUE"""),35.4)</f>
        <v>35.4</v>
      </c>
      <c r="C144" s="4">
        <f>IFERROR(__xludf.DUMMYFUNCTION("""COMPUTED_VALUE"""),6.43)</f>
        <v>6.43</v>
      </c>
      <c r="D144" s="4">
        <f>IFERROR(__xludf.DUMMYFUNCTION("""COMPUTED_VALUE"""),72.4)</f>
        <v>72.4</v>
      </c>
      <c r="E144" s="4">
        <f>IFERROR(__xludf.DUMMYFUNCTION("""COMPUTED_VALUE"""),5.81)</f>
        <v>5.81</v>
      </c>
      <c r="F144" s="4">
        <f>IFERROR(__xludf.DUMMYFUNCTION("""COMPUTED_VALUE"""),16.72)</f>
        <v>16.72</v>
      </c>
      <c r="G144" s="4">
        <f>IFERROR(__xludf.DUMMYFUNCTION("""COMPUTED_VALUE"""),25.39)</f>
        <v>25.39</v>
      </c>
      <c r="H144" s="4">
        <f>IFERROR(__xludf.DUMMYFUNCTION("""COMPUTED_VALUE"""),0.0)</f>
        <v>0</v>
      </c>
      <c r="I144" s="4">
        <f>IFERROR(__xludf.DUMMYFUNCTION("""COMPUTED_VALUE"""),1.61)</f>
        <v>1.61</v>
      </c>
      <c r="J144" s="4">
        <f>IFERROR(__xludf.DUMMYFUNCTION("""COMPUTED_VALUE"""),0.0)</f>
        <v>0</v>
      </c>
      <c r="K144" s="4">
        <f>IFERROR(__xludf.DUMMYFUNCTION("""COMPUTED_VALUE"""),924.2104999999999)</f>
        <v>924.2105</v>
      </c>
      <c r="L144" s="4">
        <f>IFERROR(__xludf.DUMMYFUNCTION("""COMPUTED_VALUE"""),5.671608361947848)</f>
        <v>5.671608362</v>
      </c>
    </row>
    <row r="145">
      <c r="A145" s="4" t="str">
        <f>IFERROR(__xludf.DUMMYFUNCTION("""COMPUTED_VALUE"""),"F583-1")</f>
        <v>F583-1</v>
      </c>
      <c r="B145" s="4">
        <f>IFERROR(__xludf.DUMMYFUNCTION("""COMPUTED_VALUE"""),35.4)</f>
        <v>35.4</v>
      </c>
      <c r="C145" s="4">
        <f>IFERROR(__xludf.DUMMYFUNCTION("""COMPUTED_VALUE"""),6.97)</f>
        <v>6.97</v>
      </c>
      <c r="D145" s="4">
        <f>IFERROR(__xludf.DUMMYFUNCTION("""COMPUTED_VALUE"""),77.1)</f>
        <v>77.1</v>
      </c>
      <c r="E145" s="4">
        <f>IFERROR(__xludf.DUMMYFUNCTION("""COMPUTED_VALUE"""),12.1)</f>
        <v>12.1</v>
      </c>
      <c r="F145" s="4">
        <f>IFERROR(__xludf.DUMMYFUNCTION("""COMPUTED_VALUE"""),19.67)</f>
        <v>19.67</v>
      </c>
      <c r="G145" s="4">
        <f>IFERROR(__xludf.DUMMYFUNCTION("""COMPUTED_VALUE"""),24.74)</f>
        <v>24.74</v>
      </c>
      <c r="H145" s="4">
        <f>IFERROR(__xludf.DUMMYFUNCTION("""COMPUTED_VALUE"""),0.0)</f>
        <v>0</v>
      </c>
      <c r="I145" s="4">
        <f>IFERROR(__xludf.DUMMYFUNCTION("""COMPUTED_VALUE"""),1.25)</f>
        <v>1.25</v>
      </c>
      <c r="J145" s="4">
        <f>IFERROR(__xludf.DUMMYFUNCTION("""COMPUTED_VALUE"""),0.0)</f>
        <v>0</v>
      </c>
      <c r="K145" s="4">
        <f>IFERROR(__xludf.DUMMYFUNCTION("""COMPUTED_VALUE"""),998.9765)</f>
        <v>998.9765</v>
      </c>
      <c r="L145" s="4">
        <f>IFERROR(__xludf.DUMMYFUNCTION("""COMPUTED_VALUE"""),5.950500337095016)</f>
        <v>5.950500337</v>
      </c>
    </row>
    <row r="146">
      <c r="A146" s="4" t="str">
        <f>IFERROR(__xludf.DUMMYFUNCTION("""COMPUTED_VALUE"""),"F583-1")</f>
        <v>F583-1</v>
      </c>
      <c r="B146" s="4">
        <f>IFERROR(__xludf.DUMMYFUNCTION("""COMPUTED_VALUE"""),35.4)</f>
        <v>35.4</v>
      </c>
      <c r="C146" s="4">
        <f>IFERROR(__xludf.DUMMYFUNCTION("""COMPUTED_VALUE"""),7.96)</f>
        <v>7.96</v>
      </c>
      <c r="D146" s="4">
        <f>IFERROR(__xludf.DUMMYFUNCTION("""COMPUTED_VALUE"""),80.3)</f>
        <v>80.3</v>
      </c>
      <c r="E146" s="4">
        <f>IFERROR(__xludf.DUMMYFUNCTION("""COMPUTED_VALUE"""),13.5)</f>
        <v>13.5</v>
      </c>
      <c r="F146" s="4">
        <f>IFERROR(__xludf.DUMMYFUNCTION("""COMPUTED_VALUE"""),24.09)</f>
        <v>24.09</v>
      </c>
      <c r="G146" s="4">
        <f>IFERROR(__xludf.DUMMYFUNCTION("""COMPUTED_VALUE"""),23.76)</f>
        <v>23.76</v>
      </c>
      <c r="H146" s="4">
        <f>IFERROR(__xludf.DUMMYFUNCTION("""COMPUTED_VALUE"""),0.0)</f>
        <v>0</v>
      </c>
      <c r="I146" s="4">
        <f>IFERROR(__xludf.DUMMYFUNCTION("""COMPUTED_VALUE"""),0.92)</f>
        <v>0.92</v>
      </c>
      <c r="J146" s="4">
        <f>IFERROR(__xludf.DUMMYFUNCTION("""COMPUTED_VALUE"""),0.0)</f>
        <v>0</v>
      </c>
      <c r="K146" s="4">
        <f>IFERROR(__xludf.DUMMYFUNCTION("""COMPUTED_VALUE"""),1144.8657)</f>
        <v>1144.8657</v>
      </c>
      <c r="L146" s="4">
        <f>IFERROR(__xludf.DUMMYFUNCTION("""COMPUTED_VALUE"""),5.632180263588995)</f>
        <v>5.632180264</v>
      </c>
    </row>
    <row r="147">
      <c r="A147" s="4" t="str">
        <f>IFERROR(__xludf.DUMMYFUNCTION("""COMPUTED_VALUE"""),"F583-1")</f>
        <v>F583-1</v>
      </c>
      <c r="B147" s="4">
        <f>IFERROR(__xludf.DUMMYFUNCTION("""COMPUTED_VALUE"""),35.4)</f>
        <v>35.4</v>
      </c>
      <c r="C147" s="4">
        <f>IFERROR(__xludf.DUMMYFUNCTION("""COMPUTED_VALUE"""),10.29)</f>
        <v>10.29</v>
      </c>
      <c r="D147" s="4">
        <f>IFERROR(__xludf.DUMMYFUNCTION("""COMPUTED_VALUE"""),84.7)</f>
        <v>84.7</v>
      </c>
      <c r="E147" s="4">
        <f>IFERROR(__xludf.DUMMYFUNCTION("""COMPUTED_VALUE"""),6.0)</f>
        <v>6</v>
      </c>
      <c r="F147" s="4">
        <f>IFERROR(__xludf.DUMMYFUNCTION("""COMPUTED_VALUE"""),31.66)</f>
        <v>31.66</v>
      </c>
      <c r="G147" s="4">
        <f>IFERROR(__xludf.DUMMYFUNCTION("""COMPUTED_VALUE"""),22.09)</f>
        <v>22.09</v>
      </c>
      <c r="H147" s="4">
        <f>IFERROR(__xludf.DUMMYFUNCTION("""COMPUTED_VALUE"""),0.0)</f>
        <v>0</v>
      </c>
      <c r="I147" s="4">
        <f>IFERROR(__xludf.DUMMYFUNCTION("""COMPUTED_VALUE"""),0.37)</f>
        <v>0.37</v>
      </c>
      <c r="J147" s="4">
        <f>IFERROR(__xludf.DUMMYFUNCTION("""COMPUTED_VALUE"""),0.0)</f>
        <v>0</v>
      </c>
      <c r="K147" s="4">
        <f>IFERROR(__xludf.DUMMYFUNCTION("""COMPUTED_VALUE"""),1490.3237)</f>
        <v>1490.3237</v>
      </c>
      <c r="L147" s="4">
        <f>IFERROR(__xludf.DUMMYFUNCTION("""COMPUTED_VALUE"""),4.813779717788827)</f>
        <v>4.813779718</v>
      </c>
    </row>
    <row r="148">
      <c r="A148" s="4" t="str">
        <f>IFERROR(__xludf.DUMMYFUNCTION("""COMPUTED_VALUE"""),"F583-1")</f>
        <v>F583-1</v>
      </c>
      <c r="B148" s="4">
        <f>IFERROR(__xludf.DUMMYFUNCTION("""COMPUTED_VALUE"""),35.4)</f>
        <v>35.4</v>
      </c>
      <c r="C148" s="4">
        <f>IFERROR(__xludf.DUMMYFUNCTION("""COMPUTED_VALUE"""),15.49)</f>
        <v>15.49</v>
      </c>
      <c r="D148" s="4">
        <f>IFERROR(__xludf.DUMMYFUNCTION("""COMPUTED_VALUE"""),86.9)</f>
        <v>86.9</v>
      </c>
      <c r="E148" s="4">
        <f>IFERROR(__xludf.DUMMYFUNCTION("""COMPUTED_VALUE"""),5.6)</f>
        <v>5.6</v>
      </c>
      <c r="F148" s="4">
        <f>IFERROR(__xludf.DUMMYFUNCTION("""COMPUTED_VALUE"""),39.34)</f>
        <v>39.34</v>
      </c>
      <c r="G148" s="4">
        <f>IFERROR(__xludf.DUMMYFUNCTION("""COMPUTED_VALUE"""),17.78)</f>
        <v>17.78</v>
      </c>
      <c r="H148" s="4">
        <f>IFERROR(__xludf.DUMMYFUNCTION("""COMPUTED_VALUE"""),0.0)</f>
        <v>0</v>
      </c>
      <c r="I148" s="4">
        <f>IFERROR(__xludf.DUMMYFUNCTION("""COMPUTED_VALUE"""),0.0)</f>
        <v>0</v>
      </c>
      <c r="J148" s="4">
        <f>IFERROR(__xludf.DUMMYFUNCTION("""COMPUTED_VALUE"""),0.0)</f>
        <v>0</v>
      </c>
      <c r="K148" s="4">
        <f>IFERROR(__xludf.DUMMYFUNCTION("""COMPUTED_VALUE"""),1863.7640000000004)</f>
        <v>1863.764</v>
      </c>
      <c r="L148" s="4">
        <f>IFERROR(__xludf.DUMMYFUNCTION("""COMPUTED_VALUE"""),4.0518059153412125)</f>
        <v>4.051805915</v>
      </c>
    </row>
    <row r="149">
      <c r="A149" s="5" t="str">
        <f>IFERROR(__xludf.DUMMYFUNCTION("""COMPUTED_VALUE"""),"F583-1")</f>
        <v>F583-1</v>
      </c>
      <c r="B149" s="5">
        <f>IFERROR(__xludf.DUMMYFUNCTION("""COMPUTED_VALUE"""),35.4)</f>
        <v>35.4</v>
      </c>
      <c r="C149" s="5">
        <f>IFERROR(__xludf.DUMMYFUNCTION("""COMPUTED_VALUE"""),16.26)</f>
        <v>16.26</v>
      </c>
      <c r="D149" s="5">
        <f>IFERROR(__xludf.DUMMYFUNCTION("""COMPUTED_VALUE"""),85.8)</f>
        <v>85.8</v>
      </c>
      <c r="E149" s="5">
        <f>IFERROR(__xludf.DUMMYFUNCTION("""COMPUTED_VALUE"""),8.6)</f>
        <v>8.6</v>
      </c>
      <c r="F149" s="5">
        <f>IFERROR(__xludf.DUMMYFUNCTION("""COMPUTED_VALUE"""),39.55)</f>
        <v>39.55</v>
      </c>
      <c r="G149" s="5">
        <f>IFERROR(__xludf.DUMMYFUNCTION("""COMPUTED_VALUE"""),17.09)</f>
        <v>17.09</v>
      </c>
      <c r="H149" s="5">
        <f>IFERROR(__xludf.DUMMYFUNCTION("""COMPUTED_VALUE"""),0.0)</f>
        <v>0</v>
      </c>
      <c r="I149" s="5">
        <f>IFERROR(__xludf.DUMMYFUNCTION("""COMPUTED_VALUE"""),0.0)</f>
        <v>0</v>
      </c>
      <c r="J149" s="5">
        <f>IFERROR(__xludf.DUMMYFUNCTION("""COMPUTED_VALUE"""),0.0)</f>
        <v>0</v>
      </c>
      <c r="K149" s="5">
        <f>IFERROR(__xludf.DUMMYFUNCTION("""COMPUTED_VALUE"""),1856.2705999999998)</f>
        <v>1856.2706</v>
      </c>
      <c r="L149" s="5">
        <f>IFERROR(__xludf.DUMMYFUNCTION("""COMPUTED_VALUE"""),3.9658226553822487)</f>
        <v>3.965822655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 t="str">
        <f>IFERROR(__xludf.DUMMYFUNCTION("""COMPUTED_VALUE"""),"KK98-251")</f>
        <v>KK98-251</v>
      </c>
      <c r="B150" s="4">
        <f>IFERROR(__xludf.DUMMYFUNCTION("""COMPUTED_VALUE"""),6.8)</f>
        <v>6.8</v>
      </c>
      <c r="C150" s="4">
        <f>IFERROR(__xludf.DUMMYFUNCTION("""COMPUTED_VALUE"""),0.25)</f>
        <v>0.25</v>
      </c>
      <c r="D150" s="4">
        <f>IFERROR(__xludf.DUMMYFUNCTION("""COMPUTED_VALUE"""),4.25)</f>
        <v>4.25</v>
      </c>
      <c r="E150" s="4">
        <f>IFERROR(__xludf.DUMMYFUNCTION("""COMPUTED_VALUE"""),2.0)</f>
        <v>2</v>
      </c>
      <c r="F150" s="4">
        <f>IFERROR(__xludf.DUMMYFUNCTION("""COMPUTED_VALUE"""),1.87)</f>
        <v>1.87</v>
      </c>
      <c r="G150" s="4">
        <f>IFERROR(__xludf.DUMMYFUNCTION("""COMPUTED_VALUE"""),2.88)</f>
        <v>2.88</v>
      </c>
      <c r="H150" s="4">
        <f>IFERROR(__xludf.DUMMYFUNCTION("""COMPUTED_VALUE"""),0.0)</f>
        <v>0</v>
      </c>
      <c r="I150" s="4">
        <f>IFERROR(__xludf.DUMMYFUNCTION("""COMPUTED_VALUE"""),8.69)</f>
        <v>8.69</v>
      </c>
      <c r="J150" s="4">
        <f>IFERROR(__xludf.DUMMYFUNCTION("""COMPUTED_VALUE"""),0.0)</f>
        <v>0</v>
      </c>
      <c r="K150" s="4">
        <f>IFERROR(__xludf.DUMMYFUNCTION("""COMPUTED_VALUE"""),11.7913)</f>
        <v>11.7913</v>
      </c>
      <c r="L150" s="4">
        <f>IFERROR(__xludf.DUMMYFUNCTION("""COMPUTED_VALUE"""),1.5318497536319151)</f>
        <v>1.531849754</v>
      </c>
    </row>
    <row r="151">
      <c r="A151" s="4" t="str">
        <f>IFERROR(__xludf.DUMMYFUNCTION("""COMPUTED_VALUE"""),"KK98-251")</f>
        <v>KK98-251</v>
      </c>
      <c r="B151" s="4">
        <f>IFERROR(__xludf.DUMMYFUNCTION("""COMPUTED_VALUE"""),6.8)</f>
        <v>6.8</v>
      </c>
      <c r="C151" s="4">
        <f>IFERROR(__xludf.DUMMYFUNCTION("""COMPUTED_VALUE"""),0.41)</f>
        <v>0.41</v>
      </c>
      <c r="D151" s="4">
        <f>IFERROR(__xludf.DUMMYFUNCTION("""COMPUTED_VALUE"""),6.84)</f>
        <v>6.84</v>
      </c>
      <c r="E151" s="4">
        <f>IFERROR(__xludf.DUMMYFUNCTION("""COMPUTED_VALUE"""),2.0)</f>
        <v>2</v>
      </c>
      <c r="F151" s="4">
        <f>IFERROR(__xludf.DUMMYFUNCTION("""COMPUTED_VALUE"""),3.32)</f>
        <v>3.32</v>
      </c>
      <c r="G151" s="4">
        <f>IFERROR(__xludf.DUMMYFUNCTION("""COMPUTED_VALUE"""),3.93)</f>
        <v>3.93</v>
      </c>
      <c r="H151" s="4">
        <f>IFERROR(__xludf.DUMMYFUNCTION("""COMPUTED_VALUE"""),0.0)</f>
        <v>0</v>
      </c>
      <c r="I151" s="4">
        <f>IFERROR(__xludf.DUMMYFUNCTION("""COMPUTED_VALUE"""),6.61)</f>
        <v>6.61</v>
      </c>
      <c r="J151" s="4">
        <f>IFERROR(__xludf.DUMMYFUNCTION("""COMPUTED_VALUE"""),0.0)</f>
        <v>0</v>
      </c>
      <c r="K151" s="4">
        <f>IFERROR(__xludf.DUMMYFUNCTION("""COMPUTED_VALUE"""),26.4673)</f>
        <v>26.4673</v>
      </c>
      <c r="L151" s="4">
        <f>IFERROR(__xludf.DUMMYFUNCTION("""COMPUTED_VALUE"""),1.7676755845892853)</f>
        <v>1.767675585</v>
      </c>
    </row>
    <row r="152">
      <c r="A152" s="4" t="str">
        <f>IFERROR(__xludf.DUMMYFUNCTION("""COMPUTED_VALUE"""),"KK98-251")</f>
        <v>KK98-251</v>
      </c>
      <c r="B152" s="4">
        <f>IFERROR(__xludf.DUMMYFUNCTION("""COMPUTED_VALUE"""),6.8)</f>
        <v>6.8</v>
      </c>
      <c r="C152" s="4">
        <f>IFERROR(__xludf.DUMMYFUNCTION("""COMPUTED_VALUE"""),0.57)</f>
        <v>0.57</v>
      </c>
      <c r="D152" s="4">
        <f>IFERROR(__xludf.DUMMYFUNCTION("""COMPUTED_VALUE"""),9.56)</f>
        <v>9.56</v>
      </c>
      <c r="E152" s="4">
        <f>IFERROR(__xludf.DUMMYFUNCTION("""COMPUTED_VALUE"""),2.0)</f>
        <v>2</v>
      </c>
      <c r="F152" s="4">
        <f>IFERROR(__xludf.DUMMYFUNCTION("""COMPUTED_VALUE"""),4.8)</f>
        <v>4.8</v>
      </c>
      <c r="G152" s="4">
        <f>IFERROR(__xludf.DUMMYFUNCTION("""COMPUTED_VALUE"""),4.8)</f>
        <v>4.8</v>
      </c>
      <c r="H152" s="4">
        <f>IFERROR(__xludf.DUMMYFUNCTION("""COMPUTED_VALUE"""),0.0)</f>
        <v>0</v>
      </c>
      <c r="I152" s="4">
        <f>IFERROR(__xludf.DUMMYFUNCTION("""COMPUTED_VALUE"""),6.95)</f>
        <v>6.95</v>
      </c>
      <c r="J152" s="4">
        <f>IFERROR(__xludf.DUMMYFUNCTION("""COMPUTED_VALUE"""),0.0)</f>
        <v>0</v>
      </c>
      <c r="K152" s="4">
        <f>IFERROR(__xludf.DUMMYFUNCTION("""COMPUTED_VALUE"""),46.08)</f>
        <v>46.08</v>
      </c>
      <c r="L152" s="4">
        <f>IFERROR(__xludf.DUMMYFUNCTION("""COMPUTED_VALUE"""),1.9833680555555557)</f>
        <v>1.983368056</v>
      </c>
    </row>
    <row r="153">
      <c r="A153" s="4" t="str">
        <f>IFERROR(__xludf.DUMMYFUNCTION("""COMPUTED_VALUE"""),"KK98-251")</f>
        <v>KK98-251</v>
      </c>
      <c r="B153" s="4">
        <f>IFERROR(__xludf.DUMMYFUNCTION("""COMPUTED_VALUE"""),6.8)</f>
        <v>6.8</v>
      </c>
      <c r="C153" s="4">
        <f>IFERROR(__xludf.DUMMYFUNCTION("""COMPUTED_VALUE"""),0.74)</f>
        <v>0.74</v>
      </c>
      <c r="D153" s="4">
        <f>IFERROR(__xludf.DUMMYFUNCTION("""COMPUTED_VALUE"""),12.3)</f>
        <v>12.3</v>
      </c>
      <c r="E153" s="4">
        <f>IFERROR(__xludf.DUMMYFUNCTION("""COMPUTED_VALUE"""),2.0)</f>
        <v>2</v>
      </c>
      <c r="F153" s="4">
        <f>IFERROR(__xludf.DUMMYFUNCTION("""COMPUTED_VALUE"""),6.44)</f>
        <v>6.44</v>
      </c>
      <c r="G153" s="4">
        <f>IFERROR(__xludf.DUMMYFUNCTION("""COMPUTED_VALUE"""),6.36)</f>
        <v>6.36</v>
      </c>
      <c r="H153" s="4">
        <f>IFERROR(__xludf.DUMMYFUNCTION("""COMPUTED_VALUE"""),0.0)</f>
        <v>0</v>
      </c>
      <c r="I153" s="4">
        <f>IFERROR(__xludf.DUMMYFUNCTION("""COMPUTED_VALUE"""),6.78)</f>
        <v>6.78</v>
      </c>
      <c r="J153" s="4">
        <f>IFERROR(__xludf.DUMMYFUNCTION("""COMPUTED_VALUE"""),0.0)</f>
        <v>0</v>
      </c>
      <c r="K153" s="4">
        <f>IFERROR(__xludf.DUMMYFUNCTION("""COMPUTED_VALUE"""),81.92320000000001)</f>
        <v>81.9232</v>
      </c>
      <c r="L153" s="4">
        <f>IFERROR(__xludf.DUMMYFUNCTION("""COMPUTED_VALUE"""),1.8467296199367214)</f>
        <v>1.84672962</v>
      </c>
    </row>
    <row r="154">
      <c r="A154" s="4" t="str">
        <f>IFERROR(__xludf.DUMMYFUNCTION("""COMPUTED_VALUE"""),"KK98-251")</f>
        <v>KK98-251</v>
      </c>
      <c r="B154" s="4">
        <f>IFERROR(__xludf.DUMMYFUNCTION("""COMPUTED_VALUE"""),6.8)</f>
        <v>6.8</v>
      </c>
      <c r="C154" s="4">
        <f>IFERROR(__xludf.DUMMYFUNCTION("""COMPUTED_VALUE"""),0.9)</f>
        <v>0.9</v>
      </c>
      <c r="D154" s="4">
        <f>IFERROR(__xludf.DUMMYFUNCTION("""COMPUTED_VALUE"""),15.1)</f>
        <v>15.1</v>
      </c>
      <c r="E154" s="4">
        <f>IFERROR(__xludf.DUMMYFUNCTION("""COMPUTED_VALUE"""),2.0)</f>
        <v>2</v>
      </c>
      <c r="F154" s="4">
        <f>IFERROR(__xludf.DUMMYFUNCTION("""COMPUTED_VALUE"""),8.03)</f>
        <v>8.03</v>
      </c>
      <c r="G154" s="4">
        <f>IFERROR(__xludf.DUMMYFUNCTION("""COMPUTED_VALUE"""),7.43)</f>
        <v>7.43</v>
      </c>
      <c r="H154" s="4">
        <f>IFERROR(__xludf.DUMMYFUNCTION("""COMPUTED_VALUE"""),0.0)</f>
        <v>0</v>
      </c>
      <c r="I154" s="4">
        <f>IFERROR(__xludf.DUMMYFUNCTION("""COMPUTED_VALUE"""),5.71)</f>
        <v>5.71</v>
      </c>
      <c r="J154" s="4">
        <f>IFERROR(__xludf.DUMMYFUNCTION("""COMPUTED_VALUE"""),0.0)</f>
        <v>0</v>
      </c>
      <c r="K154" s="4">
        <f>IFERROR(__xludf.DUMMYFUNCTION("""COMPUTED_VALUE"""),119.68579999999999)</f>
        <v>119.6858</v>
      </c>
      <c r="L154" s="4">
        <f>IFERROR(__xludf.DUMMYFUNCTION("""COMPUTED_VALUE"""),1.905071445401209)</f>
        <v>1.905071445</v>
      </c>
    </row>
    <row r="155">
      <c r="A155" s="4" t="str">
        <f>IFERROR(__xludf.DUMMYFUNCTION("""COMPUTED_VALUE"""),"KK98-251")</f>
        <v>KK98-251</v>
      </c>
      <c r="B155" s="4">
        <f>IFERROR(__xludf.DUMMYFUNCTION("""COMPUTED_VALUE"""),6.8)</f>
        <v>6.8</v>
      </c>
      <c r="C155" s="4">
        <f>IFERROR(__xludf.DUMMYFUNCTION("""COMPUTED_VALUE"""),1.07)</f>
        <v>1.07</v>
      </c>
      <c r="D155" s="4">
        <f>IFERROR(__xludf.DUMMYFUNCTION("""COMPUTED_VALUE"""),17.5)</f>
        <v>17.5</v>
      </c>
      <c r="E155" s="4">
        <f>IFERROR(__xludf.DUMMYFUNCTION("""COMPUTED_VALUE"""),2.0)</f>
        <v>2</v>
      </c>
      <c r="F155" s="4">
        <f>IFERROR(__xludf.DUMMYFUNCTION("""COMPUTED_VALUE"""),9.79)</f>
        <v>9.79</v>
      </c>
      <c r="G155" s="4">
        <f>IFERROR(__xludf.DUMMYFUNCTION("""COMPUTED_VALUE"""),8.56)</f>
        <v>8.56</v>
      </c>
      <c r="H155" s="4">
        <f>IFERROR(__xludf.DUMMYFUNCTION("""COMPUTED_VALUE"""),0.0)</f>
        <v>0</v>
      </c>
      <c r="I155" s="4">
        <f>IFERROR(__xludf.DUMMYFUNCTION("""COMPUTED_VALUE"""),5.63)</f>
        <v>5.63</v>
      </c>
      <c r="J155" s="4">
        <f>IFERROR(__xludf.DUMMYFUNCTION("""COMPUTED_VALUE"""),0.0)</f>
        <v>0</v>
      </c>
      <c r="K155" s="4">
        <f>IFERROR(__xludf.DUMMYFUNCTION("""COMPUTED_VALUE"""),169.11769999999999)</f>
        <v>169.1177</v>
      </c>
      <c r="L155" s="4">
        <f>IFERROR(__xludf.DUMMYFUNCTION("""COMPUTED_VALUE"""),1.8108689983366615)</f>
        <v>1.810868998</v>
      </c>
    </row>
    <row r="156">
      <c r="A156" s="4" t="str">
        <f>IFERROR(__xludf.DUMMYFUNCTION("""COMPUTED_VALUE"""),"KK98-251")</f>
        <v>KK98-251</v>
      </c>
      <c r="B156" s="4">
        <f>IFERROR(__xludf.DUMMYFUNCTION("""COMPUTED_VALUE"""),6.8)</f>
        <v>6.8</v>
      </c>
      <c r="C156" s="4">
        <f>IFERROR(__xludf.DUMMYFUNCTION("""COMPUTED_VALUE"""),1.24)</f>
        <v>1.24</v>
      </c>
      <c r="D156" s="4">
        <f>IFERROR(__xludf.DUMMYFUNCTION("""COMPUTED_VALUE"""),19.7)</f>
        <v>19.7</v>
      </c>
      <c r="E156" s="4">
        <f>IFERROR(__xludf.DUMMYFUNCTION("""COMPUTED_VALUE"""),2.0)</f>
        <v>2</v>
      </c>
      <c r="F156" s="4">
        <f>IFERROR(__xludf.DUMMYFUNCTION("""COMPUTED_VALUE"""),11.57)</f>
        <v>11.57</v>
      </c>
      <c r="G156" s="4">
        <f>IFERROR(__xludf.DUMMYFUNCTION("""COMPUTED_VALUE"""),9.52)</f>
        <v>9.52</v>
      </c>
      <c r="H156" s="4">
        <f>IFERROR(__xludf.DUMMYFUNCTION("""COMPUTED_VALUE"""),0.0)</f>
        <v>0</v>
      </c>
      <c r="I156" s="4">
        <f>IFERROR(__xludf.DUMMYFUNCTION("""COMPUTED_VALUE"""),4.46)</f>
        <v>4.46</v>
      </c>
      <c r="J156" s="4">
        <f>IFERROR(__xludf.DUMMYFUNCTION("""COMPUTED_VALUE"""),0.0)</f>
        <v>0</v>
      </c>
      <c r="K156" s="4">
        <f>IFERROR(__xludf.DUMMYFUNCTION("""COMPUTED_VALUE"""),224.4953)</f>
        <v>224.4953</v>
      </c>
      <c r="L156" s="4">
        <f>IFERROR(__xludf.DUMMYFUNCTION("""COMPUTED_VALUE"""),1.7287221603303053)</f>
        <v>1.72872216</v>
      </c>
    </row>
    <row r="157">
      <c r="A157" s="4" t="str">
        <f>IFERROR(__xludf.DUMMYFUNCTION("""COMPUTED_VALUE"""),"KK98-251")</f>
        <v>KK98-251</v>
      </c>
      <c r="B157" s="4">
        <f>IFERROR(__xludf.DUMMYFUNCTION("""COMPUTED_VALUE"""),6.8)</f>
        <v>6.8</v>
      </c>
      <c r="C157" s="4">
        <f>IFERROR(__xludf.DUMMYFUNCTION("""COMPUTED_VALUE"""),1.4)</f>
        <v>1.4</v>
      </c>
      <c r="D157" s="4">
        <f>IFERROR(__xludf.DUMMYFUNCTION("""COMPUTED_VALUE"""),21.8)</f>
        <v>21.8</v>
      </c>
      <c r="E157" s="4">
        <f>IFERROR(__xludf.DUMMYFUNCTION("""COMPUTED_VALUE"""),2.0)</f>
        <v>2</v>
      </c>
      <c r="F157" s="4">
        <f>IFERROR(__xludf.DUMMYFUNCTION("""COMPUTED_VALUE"""),13.11)</f>
        <v>13.11</v>
      </c>
      <c r="G157" s="4">
        <f>IFERROR(__xludf.DUMMYFUNCTION("""COMPUTED_VALUE"""),10.08)</f>
        <v>10.08</v>
      </c>
      <c r="H157" s="4">
        <f>IFERROR(__xludf.DUMMYFUNCTION("""COMPUTED_VALUE"""),0.0)</f>
        <v>0</v>
      </c>
      <c r="I157" s="4">
        <f>IFERROR(__xludf.DUMMYFUNCTION("""COMPUTED_VALUE"""),3.87)</f>
        <v>3.87</v>
      </c>
      <c r="J157" s="4">
        <f>IFERROR(__xludf.DUMMYFUNCTION("""COMPUTED_VALUE"""),0.0)</f>
        <v>0</v>
      </c>
      <c r="K157" s="4">
        <f>IFERROR(__xludf.DUMMYFUNCTION("""COMPUTED_VALUE"""),273.4785)</f>
        <v>273.4785</v>
      </c>
      <c r="L157" s="4">
        <f>IFERROR(__xludf.DUMMYFUNCTION("""COMPUTED_VALUE"""),1.737760006728134)</f>
        <v>1.737760007</v>
      </c>
    </row>
    <row r="158">
      <c r="A158" s="4" t="str">
        <f>IFERROR(__xludf.DUMMYFUNCTION("""COMPUTED_VALUE"""),"KK98-251")</f>
        <v>KK98-251</v>
      </c>
      <c r="B158" s="4">
        <f>IFERROR(__xludf.DUMMYFUNCTION("""COMPUTED_VALUE"""),6.8)</f>
        <v>6.8</v>
      </c>
      <c r="C158" s="4">
        <f>IFERROR(__xludf.DUMMYFUNCTION("""COMPUTED_VALUE"""),1.57)</f>
        <v>1.57</v>
      </c>
      <c r="D158" s="4">
        <f>IFERROR(__xludf.DUMMYFUNCTION("""COMPUTED_VALUE"""),24.4)</f>
        <v>24.4</v>
      </c>
      <c r="E158" s="4">
        <f>IFERROR(__xludf.DUMMYFUNCTION("""COMPUTED_VALUE"""),2.0)</f>
        <v>2</v>
      </c>
      <c r="F158" s="4">
        <f>IFERROR(__xludf.DUMMYFUNCTION("""COMPUTED_VALUE"""),14.44)</f>
        <v>14.44</v>
      </c>
      <c r="G158" s="4">
        <f>IFERROR(__xludf.DUMMYFUNCTION("""COMPUTED_VALUE"""),10.55)</f>
        <v>10.55</v>
      </c>
      <c r="H158" s="4">
        <f>IFERROR(__xludf.DUMMYFUNCTION("""COMPUTED_VALUE"""),0.0)</f>
        <v>0</v>
      </c>
      <c r="I158" s="4">
        <f>IFERROR(__xludf.DUMMYFUNCTION("""COMPUTED_VALUE"""),3.42)</f>
        <v>3.42</v>
      </c>
      <c r="J158" s="4">
        <f>IFERROR(__xludf.DUMMYFUNCTION("""COMPUTED_VALUE"""),0.0)</f>
        <v>0</v>
      </c>
      <c r="K158" s="4">
        <f>IFERROR(__xludf.DUMMYFUNCTION("""COMPUTED_VALUE"""),319.8161)</f>
        <v>319.8161</v>
      </c>
      <c r="L158" s="4">
        <f>IFERROR(__xludf.DUMMYFUNCTION("""COMPUTED_VALUE"""),1.8615698209064517)</f>
        <v>1.861569821</v>
      </c>
    </row>
    <row r="159">
      <c r="A159" s="4" t="str">
        <f>IFERROR(__xludf.DUMMYFUNCTION("""COMPUTED_VALUE"""),"KK98-251")</f>
        <v>KK98-251</v>
      </c>
      <c r="B159" s="4">
        <f>IFERROR(__xludf.DUMMYFUNCTION("""COMPUTED_VALUE"""),6.8)</f>
        <v>6.8</v>
      </c>
      <c r="C159" s="4">
        <f>IFERROR(__xludf.DUMMYFUNCTION("""COMPUTED_VALUE"""),1.72)</f>
        <v>1.72</v>
      </c>
      <c r="D159" s="4">
        <f>IFERROR(__xludf.DUMMYFUNCTION("""COMPUTED_VALUE"""),27.3)</f>
        <v>27.3</v>
      </c>
      <c r="E159" s="4">
        <f>IFERROR(__xludf.DUMMYFUNCTION("""COMPUTED_VALUE"""),2.0)</f>
        <v>2</v>
      </c>
      <c r="F159" s="4">
        <f>IFERROR(__xludf.DUMMYFUNCTION("""COMPUTED_VALUE"""),15.54)</f>
        <v>15.54</v>
      </c>
      <c r="G159" s="4">
        <f>IFERROR(__xludf.DUMMYFUNCTION("""COMPUTED_VALUE"""),10.95)</f>
        <v>10.95</v>
      </c>
      <c r="H159" s="4">
        <f>IFERROR(__xludf.DUMMYFUNCTION("""COMPUTED_VALUE"""),0.0)</f>
        <v>0</v>
      </c>
      <c r="I159" s="4">
        <f>IFERROR(__xludf.DUMMYFUNCTION("""COMPUTED_VALUE"""),3.02)</f>
        <v>3.02</v>
      </c>
      <c r="J159" s="4">
        <f>IFERROR(__xludf.DUMMYFUNCTION("""COMPUTED_VALUE"""),0.0)</f>
        <v>0</v>
      </c>
      <c r="K159" s="4">
        <f>IFERROR(__xludf.DUMMYFUNCTION("""COMPUTED_VALUE"""),361.3941)</f>
        <v>361.3941</v>
      </c>
      <c r="L159" s="4">
        <f>IFERROR(__xludf.DUMMYFUNCTION("""COMPUTED_VALUE"""),2.0622638831126467)</f>
        <v>2.062263883</v>
      </c>
    </row>
    <row r="160">
      <c r="A160" s="4" t="str">
        <f>IFERROR(__xludf.DUMMYFUNCTION("""COMPUTED_VALUE"""),"KK98-251")</f>
        <v>KK98-251</v>
      </c>
      <c r="B160" s="4">
        <f>IFERROR(__xludf.DUMMYFUNCTION("""COMPUTED_VALUE"""),6.8)</f>
        <v>6.8</v>
      </c>
      <c r="C160" s="4">
        <f>IFERROR(__xludf.DUMMYFUNCTION("""COMPUTED_VALUE"""),1.89)</f>
        <v>1.89</v>
      </c>
      <c r="D160" s="4">
        <f>IFERROR(__xludf.DUMMYFUNCTION("""COMPUTED_VALUE"""),30.3)</f>
        <v>30.3</v>
      </c>
      <c r="E160" s="4">
        <f>IFERROR(__xludf.DUMMYFUNCTION("""COMPUTED_VALUE"""),2.0)</f>
        <v>2</v>
      </c>
      <c r="F160" s="4">
        <f>IFERROR(__xludf.DUMMYFUNCTION("""COMPUTED_VALUE"""),16.53)</f>
        <v>16.53</v>
      </c>
      <c r="G160" s="4">
        <f>IFERROR(__xludf.DUMMYFUNCTION("""COMPUTED_VALUE"""),11.36)</f>
        <v>11.36</v>
      </c>
      <c r="H160" s="4">
        <f>IFERROR(__xludf.DUMMYFUNCTION("""COMPUTED_VALUE"""),0.0)</f>
        <v>0</v>
      </c>
      <c r="I160" s="4">
        <f>IFERROR(__xludf.DUMMYFUNCTION("""COMPUTED_VALUE"""),2.62)</f>
        <v>2.62</v>
      </c>
      <c r="J160" s="4">
        <f>IFERROR(__xludf.DUMMYFUNCTION("""COMPUTED_VALUE"""),0.0)</f>
        <v>0</v>
      </c>
      <c r="K160" s="4">
        <f>IFERROR(__xludf.DUMMYFUNCTION("""COMPUTED_VALUE"""),402.2905)</f>
        <v>402.2905</v>
      </c>
      <c r="L160" s="4">
        <f>IFERROR(__xludf.DUMMYFUNCTION("""COMPUTED_VALUE"""),2.282156799626141)</f>
        <v>2.2821568</v>
      </c>
    </row>
    <row r="161">
      <c r="A161" s="4" t="str">
        <f>IFERROR(__xludf.DUMMYFUNCTION("""COMPUTED_VALUE"""),"KK98-251")</f>
        <v>KK98-251</v>
      </c>
      <c r="B161" s="4">
        <f>IFERROR(__xludf.DUMMYFUNCTION("""COMPUTED_VALUE"""),6.8)</f>
        <v>6.8</v>
      </c>
      <c r="C161" s="4">
        <f>IFERROR(__xludf.DUMMYFUNCTION("""COMPUTED_VALUE"""),2.06)</f>
        <v>2.06</v>
      </c>
      <c r="D161" s="4">
        <f>IFERROR(__xludf.DUMMYFUNCTION("""COMPUTED_VALUE"""),32.6)</f>
        <v>32.6</v>
      </c>
      <c r="E161" s="4">
        <f>IFERROR(__xludf.DUMMYFUNCTION("""COMPUTED_VALUE"""),2.0)</f>
        <v>2</v>
      </c>
      <c r="F161" s="4">
        <f>IFERROR(__xludf.DUMMYFUNCTION("""COMPUTED_VALUE"""),17.3)</f>
        <v>17.3</v>
      </c>
      <c r="G161" s="4">
        <f>IFERROR(__xludf.DUMMYFUNCTION("""COMPUTED_VALUE"""),11.57)</f>
        <v>11.57</v>
      </c>
      <c r="H161" s="4">
        <f>IFERROR(__xludf.DUMMYFUNCTION("""COMPUTED_VALUE"""),0.0)</f>
        <v>0</v>
      </c>
      <c r="I161" s="4">
        <f>IFERROR(__xludf.DUMMYFUNCTION("""COMPUTED_VALUE"""),2.28)</f>
        <v>2.28</v>
      </c>
      <c r="J161" s="4">
        <f>IFERROR(__xludf.DUMMYFUNCTION("""COMPUTED_VALUE"""),0.0)</f>
        <v>0</v>
      </c>
      <c r="K161" s="4">
        <f>IFERROR(__xludf.DUMMYFUNCTION("""COMPUTED_VALUE"""),433.1549)</f>
        <v>433.1549</v>
      </c>
      <c r="L161" s="4">
        <f>IFERROR(__xludf.DUMMYFUNCTION("""COMPUTED_VALUE"""),2.453533366470055)</f>
        <v>2.453533366</v>
      </c>
    </row>
    <row r="162">
      <c r="A162" s="4" t="str">
        <f>IFERROR(__xludf.DUMMYFUNCTION("""COMPUTED_VALUE"""),"KK98-251")</f>
        <v>KK98-251</v>
      </c>
      <c r="B162" s="4">
        <f>IFERROR(__xludf.DUMMYFUNCTION("""COMPUTED_VALUE"""),6.8)</f>
        <v>6.8</v>
      </c>
      <c r="C162" s="4">
        <f>IFERROR(__xludf.DUMMYFUNCTION("""COMPUTED_VALUE"""),2.46)</f>
        <v>2.46</v>
      </c>
      <c r="D162" s="4">
        <f>IFERROR(__xludf.DUMMYFUNCTION("""COMPUTED_VALUE"""),33.3)</f>
        <v>33.3</v>
      </c>
      <c r="E162" s="4">
        <f>IFERROR(__xludf.DUMMYFUNCTION("""COMPUTED_VALUE"""),2.0)</f>
        <v>2</v>
      </c>
      <c r="F162" s="4">
        <f>IFERROR(__xludf.DUMMYFUNCTION("""COMPUTED_VALUE"""),18.07)</f>
        <v>18.07</v>
      </c>
      <c r="G162" s="4">
        <f>IFERROR(__xludf.DUMMYFUNCTION("""COMPUTED_VALUE"""),12.23)</f>
        <v>12.23</v>
      </c>
      <c r="H162" s="4">
        <f>IFERROR(__xludf.DUMMYFUNCTION("""COMPUTED_VALUE"""),0.0)</f>
        <v>0</v>
      </c>
      <c r="I162" s="4">
        <f>IFERROR(__xludf.DUMMYFUNCTION("""COMPUTED_VALUE"""),1.69)</f>
        <v>1.69</v>
      </c>
      <c r="J162" s="4">
        <f>IFERROR(__xludf.DUMMYFUNCTION("""COMPUTED_VALUE"""),0.0)</f>
        <v>0</v>
      </c>
      <c r="K162" s="4">
        <f>IFERROR(__xludf.DUMMYFUNCTION("""COMPUTED_VALUE"""),476.0978)</f>
        <v>476.0978</v>
      </c>
      <c r="L162" s="4">
        <f>IFERROR(__xludf.DUMMYFUNCTION("""COMPUTED_VALUE"""),2.329122293780815)</f>
        <v>2.329122294</v>
      </c>
    </row>
    <row r="163">
      <c r="A163" s="4" t="str">
        <f>IFERROR(__xludf.DUMMYFUNCTION("""COMPUTED_VALUE"""),"KK98-251")</f>
        <v>KK98-251</v>
      </c>
      <c r="B163" s="4">
        <f>IFERROR(__xludf.DUMMYFUNCTION("""COMPUTED_VALUE"""),6.8)</f>
        <v>6.8</v>
      </c>
      <c r="C163" s="4">
        <f>IFERROR(__xludf.DUMMYFUNCTION("""COMPUTED_VALUE"""),2.79)</f>
        <v>2.79</v>
      </c>
      <c r="D163" s="4">
        <f>IFERROR(__xludf.DUMMYFUNCTION("""COMPUTED_VALUE"""),34.6)</f>
        <v>34.6</v>
      </c>
      <c r="E163" s="4">
        <f>IFERROR(__xludf.DUMMYFUNCTION("""COMPUTED_VALUE"""),2.0)</f>
        <v>2</v>
      </c>
      <c r="F163" s="4">
        <f>IFERROR(__xludf.DUMMYFUNCTION("""COMPUTED_VALUE"""),18.07)</f>
        <v>18.07</v>
      </c>
      <c r="G163" s="4">
        <f>IFERROR(__xludf.DUMMYFUNCTION("""COMPUTED_VALUE"""),12.94)</f>
        <v>12.94</v>
      </c>
      <c r="H163" s="4">
        <f>IFERROR(__xludf.DUMMYFUNCTION("""COMPUTED_VALUE"""),0.0)</f>
        <v>0</v>
      </c>
      <c r="I163" s="4">
        <f>IFERROR(__xludf.DUMMYFUNCTION("""COMPUTED_VALUE"""),1.34)</f>
        <v>1.34</v>
      </c>
      <c r="J163" s="4">
        <f>IFERROR(__xludf.DUMMYFUNCTION("""COMPUTED_VALUE"""),0.0)</f>
        <v>0</v>
      </c>
      <c r="K163" s="4">
        <f>IFERROR(__xludf.DUMMYFUNCTION("""COMPUTED_VALUE"""),493.96849999999995)</f>
        <v>493.9685</v>
      </c>
      <c r="L163" s="4">
        <f>IFERROR(__xludf.DUMMYFUNCTION("""COMPUTED_VALUE"""),2.4235553481649137)</f>
        <v>2.423555348</v>
      </c>
    </row>
    <row r="164">
      <c r="A164" s="5" t="str">
        <f>IFERROR(__xludf.DUMMYFUNCTION("""COMPUTED_VALUE"""),"KK98-251")</f>
        <v>KK98-251</v>
      </c>
      <c r="B164" s="5">
        <f>IFERROR(__xludf.DUMMYFUNCTION("""COMPUTED_VALUE"""),6.8)</f>
        <v>6.8</v>
      </c>
      <c r="C164" s="5">
        <f>IFERROR(__xludf.DUMMYFUNCTION("""COMPUTED_VALUE"""),3.13)</f>
        <v>3.13</v>
      </c>
      <c r="D164" s="5">
        <f>IFERROR(__xludf.DUMMYFUNCTION("""COMPUTED_VALUE"""),34.2)</f>
        <v>34.2</v>
      </c>
      <c r="E164" s="5">
        <f>IFERROR(__xludf.DUMMYFUNCTION("""COMPUTED_VALUE"""),2.0)</f>
        <v>2</v>
      </c>
      <c r="F164" s="5">
        <f>IFERROR(__xludf.DUMMYFUNCTION("""COMPUTED_VALUE"""),17.41)</f>
        <v>17.41</v>
      </c>
      <c r="G164" s="5">
        <f>IFERROR(__xludf.DUMMYFUNCTION("""COMPUTED_VALUE"""),12.45)</f>
        <v>12.45</v>
      </c>
      <c r="H164" s="5">
        <f>IFERROR(__xludf.DUMMYFUNCTION("""COMPUTED_VALUE"""),0.0)</f>
        <v>0</v>
      </c>
      <c r="I164" s="5">
        <f>IFERROR(__xludf.DUMMYFUNCTION("""COMPUTED_VALUE"""),0.0)</f>
        <v>0</v>
      </c>
      <c r="J164" s="5">
        <f>IFERROR(__xludf.DUMMYFUNCTION("""COMPUTED_VALUE"""),0.0)</f>
        <v>0</v>
      </c>
      <c r="K164" s="5">
        <f>IFERROR(__xludf.DUMMYFUNCTION("""COMPUTED_VALUE"""),458.1106)</f>
        <v>458.1106</v>
      </c>
      <c r="L164" s="5">
        <f>IFERROR(__xludf.DUMMYFUNCTION("""COMPUTED_VALUE"""),2.5531825720688412)</f>
        <v>2.553182572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 t="str">
        <f>IFERROR(__xludf.DUMMYFUNCTION("""COMPUTED_VALUE"""),"NGC1705")</f>
        <v>NGC1705</v>
      </c>
      <c r="B165" s="4">
        <f>IFERROR(__xludf.DUMMYFUNCTION("""COMPUTED_VALUE"""),5.73)</f>
        <v>5.73</v>
      </c>
      <c r="C165" s="4">
        <f>IFERROR(__xludf.DUMMYFUNCTION("""COMPUTED_VALUE"""),0.22)</f>
        <v>0.22</v>
      </c>
      <c r="D165" s="4">
        <f>IFERROR(__xludf.DUMMYFUNCTION("""COMPUTED_VALUE"""),50.2)</f>
        <v>50.2</v>
      </c>
      <c r="E165" s="4">
        <f>IFERROR(__xludf.DUMMYFUNCTION("""COMPUTED_VALUE"""),7.5)</f>
        <v>7.5</v>
      </c>
      <c r="F165" s="4">
        <f>IFERROR(__xludf.DUMMYFUNCTION("""COMPUTED_VALUE"""),5.62)</f>
        <v>5.62</v>
      </c>
      <c r="G165" s="4">
        <f>IFERROR(__xludf.DUMMYFUNCTION("""COMPUTED_VALUE"""),33.24)</f>
        <v>33.24</v>
      </c>
      <c r="H165" s="4">
        <f>IFERROR(__xludf.DUMMYFUNCTION("""COMPUTED_VALUE"""),0.0)</f>
        <v>0</v>
      </c>
      <c r="I165" s="4">
        <f>IFERROR(__xludf.DUMMYFUNCTION("""COMPUTED_VALUE"""),512.85)</f>
        <v>512.85</v>
      </c>
      <c r="J165" s="4">
        <f>IFERROR(__xludf.DUMMYFUNCTION("""COMPUTED_VALUE"""),0.0)</f>
        <v>0</v>
      </c>
      <c r="K165" s="4">
        <f>IFERROR(__xludf.DUMMYFUNCTION("""COMPUTED_VALUE"""),1136.4820000000002)</f>
        <v>1136.482</v>
      </c>
      <c r="L165" s="4">
        <f>IFERROR(__xludf.DUMMYFUNCTION("""COMPUTED_VALUE"""),2.217404235174864)</f>
        <v>2.217404235</v>
      </c>
    </row>
    <row r="166">
      <c r="A166" s="4" t="str">
        <f>IFERROR(__xludf.DUMMYFUNCTION("""COMPUTED_VALUE"""),"NGC1705")</f>
        <v>NGC1705</v>
      </c>
      <c r="B166" s="4">
        <f>IFERROR(__xludf.DUMMYFUNCTION("""COMPUTED_VALUE"""),5.73)</f>
        <v>5.73</v>
      </c>
      <c r="C166" s="4">
        <f>IFERROR(__xludf.DUMMYFUNCTION("""COMPUTED_VALUE"""),0.66)</f>
        <v>0.66</v>
      </c>
      <c r="D166" s="4">
        <f>IFERROR(__xludf.DUMMYFUNCTION("""COMPUTED_VALUE"""),62.2)</f>
        <v>62.2</v>
      </c>
      <c r="E166" s="4">
        <f>IFERROR(__xludf.DUMMYFUNCTION("""COMPUTED_VALUE"""),7.51)</f>
        <v>7.51</v>
      </c>
      <c r="F166" s="4">
        <f>IFERROR(__xludf.DUMMYFUNCTION("""COMPUTED_VALUE"""),13.36)</f>
        <v>13.36</v>
      </c>
      <c r="G166" s="4">
        <f>IFERROR(__xludf.DUMMYFUNCTION("""COMPUTED_VALUE"""),44.88)</f>
        <v>44.88</v>
      </c>
      <c r="H166" s="4">
        <f>IFERROR(__xludf.DUMMYFUNCTION("""COMPUTED_VALUE"""),0.0)</f>
        <v>0</v>
      </c>
      <c r="I166" s="4">
        <f>IFERROR(__xludf.DUMMYFUNCTION("""COMPUTED_VALUE"""),84.05)</f>
        <v>84.05</v>
      </c>
      <c r="J166" s="4">
        <f>IFERROR(__xludf.DUMMYFUNCTION("""COMPUTED_VALUE"""),0.0)</f>
        <v>0</v>
      </c>
      <c r="K166" s="4">
        <f>IFERROR(__xludf.DUMMYFUNCTION("""COMPUTED_VALUE"""),2192.704)</f>
        <v>2192.704</v>
      </c>
      <c r="L166" s="4">
        <f>IFERROR(__xludf.DUMMYFUNCTION("""COMPUTED_VALUE"""),1.764415078368991)</f>
        <v>1.764415078</v>
      </c>
    </row>
    <row r="167">
      <c r="A167" s="4" t="str">
        <f>IFERROR(__xludf.DUMMYFUNCTION("""COMPUTED_VALUE"""),"NGC1705")</f>
        <v>NGC1705</v>
      </c>
      <c r="B167" s="4">
        <f>IFERROR(__xludf.DUMMYFUNCTION("""COMPUTED_VALUE"""),5.73)</f>
        <v>5.73</v>
      </c>
      <c r="C167" s="4">
        <f>IFERROR(__xludf.DUMMYFUNCTION("""COMPUTED_VALUE"""),1.11)</f>
        <v>1.11</v>
      </c>
      <c r="D167" s="4">
        <f>IFERROR(__xludf.DUMMYFUNCTION("""COMPUTED_VALUE"""),72.4)</f>
        <v>72.4</v>
      </c>
      <c r="E167" s="4">
        <f>IFERROR(__xludf.DUMMYFUNCTION("""COMPUTED_VALUE"""),5.35)</f>
        <v>5.35</v>
      </c>
      <c r="F167" s="4">
        <f>IFERROR(__xludf.DUMMYFUNCTION("""COMPUTED_VALUE"""),17.38)</f>
        <v>17.38</v>
      </c>
      <c r="G167" s="4">
        <f>IFERROR(__xludf.DUMMYFUNCTION("""COMPUTED_VALUE"""),43.65)</f>
        <v>43.65</v>
      </c>
      <c r="H167" s="4">
        <f>IFERROR(__xludf.DUMMYFUNCTION("""COMPUTED_VALUE"""),0.0)</f>
        <v>0</v>
      </c>
      <c r="I167" s="4">
        <f>IFERROR(__xludf.DUMMYFUNCTION("""COMPUTED_VALUE"""),25.33)</f>
        <v>25.33</v>
      </c>
      <c r="J167" s="4">
        <f>IFERROR(__xludf.DUMMYFUNCTION("""COMPUTED_VALUE"""),0.0)</f>
        <v>0</v>
      </c>
      <c r="K167" s="4">
        <f>IFERROR(__xludf.DUMMYFUNCTION("""COMPUTED_VALUE"""),2207.3868999999995)</f>
        <v>2207.3869</v>
      </c>
      <c r="L167" s="4">
        <f>IFERROR(__xludf.DUMMYFUNCTION("""COMPUTED_VALUE"""),2.37464487988037)</f>
        <v>2.37464488</v>
      </c>
    </row>
    <row r="168">
      <c r="A168" s="4" t="str">
        <f>IFERROR(__xludf.DUMMYFUNCTION("""COMPUTED_VALUE"""),"NGC1705")</f>
        <v>NGC1705</v>
      </c>
      <c r="B168" s="4">
        <f>IFERROR(__xludf.DUMMYFUNCTION("""COMPUTED_VALUE"""),5.73)</f>
        <v>5.73</v>
      </c>
      <c r="C168" s="4">
        <f>IFERROR(__xludf.DUMMYFUNCTION("""COMPUTED_VALUE"""),1.55)</f>
        <v>1.55</v>
      </c>
      <c r="D168" s="4">
        <f>IFERROR(__xludf.DUMMYFUNCTION("""COMPUTED_VALUE"""),73.2)</f>
        <v>73.2</v>
      </c>
      <c r="E168" s="4">
        <f>IFERROR(__xludf.DUMMYFUNCTION("""COMPUTED_VALUE"""),3.31)</f>
        <v>3.31</v>
      </c>
      <c r="F168" s="4">
        <f>IFERROR(__xludf.DUMMYFUNCTION("""COMPUTED_VALUE"""),17.38)</f>
        <v>17.38</v>
      </c>
      <c r="G168" s="4">
        <f>IFERROR(__xludf.DUMMYFUNCTION("""COMPUTED_VALUE"""),39.37)</f>
        <v>39.37</v>
      </c>
      <c r="H168" s="4">
        <f>IFERROR(__xludf.DUMMYFUNCTION("""COMPUTED_VALUE"""),0.0)</f>
        <v>0</v>
      </c>
      <c r="I168" s="4">
        <f>IFERROR(__xludf.DUMMYFUNCTION("""COMPUTED_VALUE"""),8.23)</f>
        <v>8.23</v>
      </c>
      <c r="J168" s="4">
        <f>IFERROR(__xludf.DUMMYFUNCTION("""COMPUTED_VALUE"""),0.0)</f>
        <v>0</v>
      </c>
      <c r="K168" s="4">
        <f>IFERROR(__xludf.DUMMYFUNCTION("""COMPUTED_VALUE"""),1852.0612999999998)</f>
        <v>1852.0613</v>
      </c>
      <c r="L168" s="4">
        <f>IFERROR(__xludf.DUMMYFUNCTION("""COMPUTED_VALUE"""),2.8931223820723435)</f>
        <v>2.893122382</v>
      </c>
    </row>
    <row r="169">
      <c r="A169" s="4" t="str">
        <f>IFERROR(__xludf.DUMMYFUNCTION("""COMPUTED_VALUE"""),"NGC1705")</f>
        <v>NGC1705</v>
      </c>
      <c r="B169" s="4">
        <f>IFERROR(__xludf.DUMMYFUNCTION("""COMPUTED_VALUE"""),5.73)</f>
        <v>5.73</v>
      </c>
      <c r="C169" s="4">
        <f>IFERROR(__xludf.DUMMYFUNCTION("""COMPUTED_VALUE"""),2.0)</f>
        <v>2</v>
      </c>
      <c r="D169" s="4">
        <f>IFERROR(__xludf.DUMMYFUNCTION("""COMPUTED_VALUE"""),72.9)</f>
        <v>72.9</v>
      </c>
      <c r="E169" s="4">
        <f>IFERROR(__xludf.DUMMYFUNCTION("""COMPUTED_VALUE"""),3.21)</f>
        <v>3.21</v>
      </c>
      <c r="F169" s="4">
        <f>IFERROR(__xludf.DUMMYFUNCTION("""COMPUTED_VALUE"""),17.17)</f>
        <v>17.17</v>
      </c>
      <c r="G169" s="4">
        <f>IFERROR(__xludf.DUMMYFUNCTION("""COMPUTED_VALUE"""),35.3)</f>
        <v>35.3</v>
      </c>
      <c r="H169" s="4">
        <f>IFERROR(__xludf.DUMMYFUNCTION("""COMPUTED_VALUE"""),0.0)</f>
        <v>0</v>
      </c>
      <c r="I169" s="4">
        <f>IFERROR(__xludf.DUMMYFUNCTION("""COMPUTED_VALUE"""),3.0)</f>
        <v>3</v>
      </c>
      <c r="J169" s="4">
        <f>IFERROR(__xludf.DUMMYFUNCTION("""COMPUTED_VALUE"""),0.0)</f>
        <v>0</v>
      </c>
      <c r="K169" s="4">
        <f>IFERROR(__xludf.DUMMYFUNCTION("""COMPUTED_VALUE"""),1540.8988999999997)</f>
        <v>1540.8989</v>
      </c>
      <c r="L169" s="4">
        <f>IFERROR(__xludf.DUMMYFUNCTION("""COMPUTED_VALUE"""),3.4489024555731733)</f>
        <v>3.448902456</v>
      </c>
    </row>
    <row r="170">
      <c r="A170" s="4" t="str">
        <f>IFERROR(__xludf.DUMMYFUNCTION("""COMPUTED_VALUE"""),"NGC1705")</f>
        <v>NGC1705</v>
      </c>
      <c r="B170" s="4">
        <f>IFERROR(__xludf.DUMMYFUNCTION("""COMPUTED_VALUE"""),5.73)</f>
        <v>5.73</v>
      </c>
      <c r="C170" s="4">
        <f>IFERROR(__xludf.DUMMYFUNCTION("""COMPUTED_VALUE"""),2.45)</f>
        <v>2.45</v>
      </c>
      <c r="D170" s="4">
        <f>IFERROR(__xludf.DUMMYFUNCTION("""COMPUTED_VALUE"""),72.6)</f>
        <v>72.6</v>
      </c>
      <c r="E170" s="4">
        <f>IFERROR(__xludf.DUMMYFUNCTION("""COMPUTED_VALUE"""),2.73)</f>
        <v>2.73</v>
      </c>
      <c r="F170" s="4">
        <f>IFERROR(__xludf.DUMMYFUNCTION("""COMPUTED_VALUE"""),16.22)</f>
        <v>16.22</v>
      </c>
      <c r="G170" s="4">
        <f>IFERROR(__xludf.DUMMYFUNCTION("""COMPUTED_VALUE"""),31.81)</f>
        <v>31.81</v>
      </c>
      <c r="H170" s="4">
        <f>IFERROR(__xludf.DUMMYFUNCTION("""COMPUTED_VALUE"""),0.0)</f>
        <v>0</v>
      </c>
      <c r="I170" s="4">
        <f>IFERROR(__xludf.DUMMYFUNCTION("""COMPUTED_VALUE"""),0.83)</f>
        <v>0.83</v>
      </c>
      <c r="J170" s="4">
        <f>IFERROR(__xludf.DUMMYFUNCTION("""COMPUTED_VALUE"""),0.0)</f>
        <v>0</v>
      </c>
      <c r="K170" s="4">
        <f>IFERROR(__xludf.DUMMYFUNCTION("""COMPUTED_VALUE"""),1274.9645)</f>
        <v>1274.9645</v>
      </c>
      <c r="L170" s="4">
        <f>IFERROR(__xludf.DUMMYFUNCTION("""COMPUTED_VALUE"""),4.134044516533597)</f>
        <v>4.134044517</v>
      </c>
    </row>
    <row r="171">
      <c r="A171" s="4" t="str">
        <f>IFERROR(__xludf.DUMMYFUNCTION("""COMPUTED_VALUE"""),"NGC1705")</f>
        <v>NGC1705</v>
      </c>
      <c r="B171" s="4">
        <f>IFERROR(__xludf.DUMMYFUNCTION("""COMPUTED_VALUE"""),5.73)</f>
        <v>5.73</v>
      </c>
      <c r="C171" s="4">
        <f>IFERROR(__xludf.DUMMYFUNCTION("""COMPUTED_VALUE"""),2.89)</f>
        <v>2.89</v>
      </c>
      <c r="D171" s="4">
        <f>IFERROR(__xludf.DUMMYFUNCTION("""COMPUTED_VALUE"""),71.5)</f>
        <v>71.5</v>
      </c>
      <c r="E171" s="4">
        <f>IFERROR(__xludf.DUMMYFUNCTION("""COMPUTED_VALUE"""),3.41)</f>
        <v>3.41</v>
      </c>
      <c r="F171" s="4">
        <f>IFERROR(__xludf.DUMMYFUNCTION("""COMPUTED_VALUE"""),15.26)</f>
        <v>15.26</v>
      </c>
      <c r="G171" s="4">
        <f>IFERROR(__xludf.DUMMYFUNCTION("""COMPUTED_VALUE"""),28.94)</f>
        <v>28.94</v>
      </c>
      <c r="H171" s="4">
        <f>IFERROR(__xludf.DUMMYFUNCTION("""COMPUTED_VALUE"""),0.0)</f>
        <v>0</v>
      </c>
      <c r="I171" s="4">
        <f>IFERROR(__xludf.DUMMYFUNCTION("""COMPUTED_VALUE"""),0.29)</f>
        <v>0.29</v>
      </c>
      <c r="J171" s="4">
        <f>IFERROR(__xludf.DUMMYFUNCTION("""COMPUTED_VALUE"""),0.0)</f>
        <v>0</v>
      </c>
      <c r="K171" s="4">
        <f>IFERROR(__xludf.DUMMYFUNCTION("""COMPUTED_VALUE"""),1070.3912)</f>
        <v>1070.3912</v>
      </c>
      <c r="L171" s="4">
        <f>IFERROR(__xludf.DUMMYFUNCTION("""COMPUTED_VALUE"""),4.776057575959144)</f>
        <v>4.776057576</v>
      </c>
    </row>
    <row r="172">
      <c r="A172" s="4" t="str">
        <f>IFERROR(__xludf.DUMMYFUNCTION("""COMPUTED_VALUE"""),"NGC1705")</f>
        <v>NGC1705</v>
      </c>
      <c r="B172" s="4">
        <f>IFERROR(__xludf.DUMMYFUNCTION("""COMPUTED_VALUE"""),5.73)</f>
        <v>5.73</v>
      </c>
      <c r="C172" s="4">
        <f>IFERROR(__xludf.DUMMYFUNCTION("""COMPUTED_VALUE"""),3.34)</f>
        <v>3.34</v>
      </c>
      <c r="D172" s="4">
        <f>IFERROR(__xludf.DUMMYFUNCTION("""COMPUTED_VALUE"""),71.1)</f>
        <v>71.1</v>
      </c>
      <c r="E172" s="4">
        <f>IFERROR(__xludf.DUMMYFUNCTION("""COMPUTED_VALUE"""),4.38)</f>
        <v>4.38</v>
      </c>
      <c r="F172" s="4">
        <f>IFERROR(__xludf.DUMMYFUNCTION("""COMPUTED_VALUE"""),14.31)</f>
        <v>14.31</v>
      </c>
      <c r="G172" s="4">
        <f>IFERROR(__xludf.DUMMYFUNCTION("""COMPUTED_VALUE"""),26.66)</f>
        <v>26.66</v>
      </c>
      <c r="H172" s="4">
        <f>IFERROR(__xludf.DUMMYFUNCTION("""COMPUTED_VALUE"""),0.0)</f>
        <v>0</v>
      </c>
      <c r="I172" s="4">
        <f>IFERROR(__xludf.DUMMYFUNCTION("""COMPUTED_VALUE"""),0.09)</f>
        <v>0.09</v>
      </c>
      <c r="J172" s="4">
        <f>IFERROR(__xludf.DUMMYFUNCTION("""COMPUTED_VALUE"""),0.0)</f>
        <v>0</v>
      </c>
      <c r="K172" s="4">
        <f>IFERROR(__xludf.DUMMYFUNCTION("""COMPUTED_VALUE"""),915.5317)</f>
        <v>915.5317</v>
      </c>
      <c r="L172" s="4">
        <f>IFERROR(__xludf.DUMMYFUNCTION("""COMPUTED_VALUE"""),5.52161110314367)</f>
        <v>5.521611103</v>
      </c>
    </row>
    <row r="173">
      <c r="A173" s="4" t="str">
        <f>IFERROR(__xludf.DUMMYFUNCTION("""COMPUTED_VALUE"""),"NGC1705")</f>
        <v>NGC1705</v>
      </c>
      <c r="B173" s="4">
        <f>IFERROR(__xludf.DUMMYFUNCTION("""COMPUTED_VALUE"""),5.73)</f>
        <v>5.73</v>
      </c>
      <c r="C173" s="4">
        <f>IFERROR(__xludf.DUMMYFUNCTION("""COMPUTED_VALUE"""),3.78)</f>
        <v>3.78</v>
      </c>
      <c r="D173" s="4">
        <f>IFERROR(__xludf.DUMMYFUNCTION("""COMPUTED_VALUE"""),71.4)</f>
        <v>71.4</v>
      </c>
      <c r="E173" s="4">
        <f>IFERROR(__xludf.DUMMYFUNCTION("""COMPUTED_VALUE"""),4.6)</f>
        <v>4.6</v>
      </c>
      <c r="F173" s="4">
        <f>IFERROR(__xludf.DUMMYFUNCTION("""COMPUTED_VALUE"""),13.46)</f>
        <v>13.46</v>
      </c>
      <c r="G173" s="4">
        <f>IFERROR(__xludf.DUMMYFUNCTION("""COMPUTED_VALUE"""),24.88)</f>
        <v>24.88</v>
      </c>
      <c r="H173" s="4">
        <f>IFERROR(__xludf.DUMMYFUNCTION("""COMPUTED_VALUE"""),0.0)</f>
        <v>0</v>
      </c>
      <c r="I173" s="4">
        <f>IFERROR(__xludf.DUMMYFUNCTION("""COMPUTED_VALUE"""),0.03)</f>
        <v>0.03</v>
      </c>
      <c r="J173" s="4">
        <f>IFERROR(__xludf.DUMMYFUNCTION("""COMPUTED_VALUE"""),0.0)</f>
        <v>0</v>
      </c>
      <c r="K173" s="4">
        <f>IFERROR(__xludf.DUMMYFUNCTION("""COMPUTED_VALUE"""),800.1859999999999)</f>
        <v>800.186</v>
      </c>
      <c r="L173" s="4">
        <f>IFERROR(__xludf.DUMMYFUNCTION("""COMPUTED_VALUE"""),6.370968749765681)</f>
        <v>6.37096875</v>
      </c>
    </row>
    <row r="174">
      <c r="A174" s="4" t="str">
        <f>IFERROR(__xludf.DUMMYFUNCTION("""COMPUTED_VALUE"""),"NGC1705")</f>
        <v>NGC1705</v>
      </c>
      <c r="B174" s="4">
        <f>IFERROR(__xludf.DUMMYFUNCTION("""COMPUTED_VALUE"""),5.73)</f>
        <v>5.73</v>
      </c>
      <c r="C174" s="4">
        <f>IFERROR(__xludf.DUMMYFUNCTION("""COMPUTED_VALUE"""),4.22)</f>
        <v>4.22</v>
      </c>
      <c r="D174" s="4">
        <f>IFERROR(__xludf.DUMMYFUNCTION("""COMPUTED_VALUE"""),71.5)</f>
        <v>71.5</v>
      </c>
      <c r="E174" s="4">
        <f>IFERROR(__xludf.DUMMYFUNCTION("""COMPUTED_VALUE"""),5.68)</f>
        <v>5.68</v>
      </c>
      <c r="F174" s="4">
        <f>IFERROR(__xludf.DUMMYFUNCTION("""COMPUTED_VALUE"""),13.36)</f>
        <v>13.36</v>
      </c>
      <c r="G174" s="4">
        <f>IFERROR(__xludf.DUMMYFUNCTION("""COMPUTED_VALUE"""),23.42)</f>
        <v>23.42</v>
      </c>
      <c r="H174" s="4">
        <f>IFERROR(__xludf.DUMMYFUNCTION("""COMPUTED_VALUE"""),0.0)</f>
        <v>0</v>
      </c>
      <c r="I174" s="4">
        <f>IFERROR(__xludf.DUMMYFUNCTION("""COMPUTED_VALUE"""),0.01)</f>
        <v>0.01</v>
      </c>
      <c r="J174" s="4">
        <f>IFERROR(__xludf.DUMMYFUNCTION("""COMPUTED_VALUE"""),0.0)</f>
        <v>0</v>
      </c>
      <c r="K174" s="4">
        <f>IFERROR(__xludf.DUMMYFUNCTION("""COMPUTED_VALUE"""),726.9860000000001)</f>
        <v>726.986</v>
      </c>
      <c r="L174" s="4">
        <f>IFERROR(__xludf.DUMMYFUNCTION("""COMPUTED_VALUE"""),7.032116161796788)</f>
        <v>7.032116162</v>
      </c>
    </row>
    <row r="175">
      <c r="A175" s="4" t="str">
        <f>IFERROR(__xludf.DUMMYFUNCTION("""COMPUTED_VALUE"""),"NGC1705")</f>
        <v>NGC1705</v>
      </c>
      <c r="B175" s="4">
        <f>IFERROR(__xludf.DUMMYFUNCTION("""COMPUTED_VALUE"""),5.73)</f>
        <v>5.73</v>
      </c>
      <c r="C175" s="4">
        <f>IFERROR(__xludf.DUMMYFUNCTION("""COMPUTED_VALUE"""),4.66)</f>
        <v>4.66</v>
      </c>
      <c r="D175" s="4">
        <f>IFERROR(__xludf.DUMMYFUNCTION("""COMPUTED_VALUE"""),71.5)</f>
        <v>71.5</v>
      </c>
      <c r="E175" s="4">
        <f>IFERROR(__xludf.DUMMYFUNCTION("""COMPUTED_VALUE"""),6.2)</f>
        <v>6.2</v>
      </c>
      <c r="F175" s="4">
        <f>IFERROR(__xludf.DUMMYFUNCTION("""COMPUTED_VALUE"""),13.36)</f>
        <v>13.36</v>
      </c>
      <c r="G175" s="4">
        <f>IFERROR(__xludf.DUMMYFUNCTION("""COMPUTED_VALUE"""),22.2)</f>
        <v>22.2</v>
      </c>
      <c r="H175" s="4">
        <f>IFERROR(__xludf.DUMMYFUNCTION("""COMPUTED_VALUE"""),0.0)</f>
        <v>0</v>
      </c>
      <c r="I175" s="4">
        <f>IFERROR(__xludf.DUMMYFUNCTION("""COMPUTED_VALUE"""),0.0)</f>
        <v>0</v>
      </c>
      <c r="J175" s="4">
        <f>IFERROR(__xludf.DUMMYFUNCTION("""COMPUTED_VALUE"""),0.0)</f>
        <v>0</v>
      </c>
      <c r="K175" s="4">
        <f>IFERROR(__xludf.DUMMYFUNCTION("""COMPUTED_VALUE"""),671.3296)</f>
        <v>671.3296</v>
      </c>
      <c r="L175" s="4">
        <f>IFERROR(__xludf.DUMMYFUNCTION("""COMPUTED_VALUE"""),7.615111861595258)</f>
        <v>7.615111862</v>
      </c>
    </row>
    <row r="176">
      <c r="A176" s="4" t="str">
        <f>IFERROR(__xludf.DUMMYFUNCTION("""COMPUTED_VALUE"""),"NGC1705")</f>
        <v>NGC1705</v>
      </c>
      <c r="B176" s="4">
        <f>IFERROR(__xludf.DUMMYFUNCTION("""COMPUTED_VALUE"""),5.73)</f>
        <v>5.73</v>
      </c>
      <c r="C176" s="4">
        <f>IFERROR(__xludf.DUMMYFUNCTION("""COMPUTED_VALUE"""),5.11)</f>
        <v>5.11</v>
      </c>
      <c r="D176" s="4">
        <f>IFERROR(__xludf.DUMMYFUNCTION("""COMPUTED_VALUE"""),71.3)</f>
        <v>71.3</v>
      </c>
      <c r="E176" s="4">
        <f>IFERROR(__xludf.DUMMYFUNCTION("""COMPUTED_VALUE"""),6.43)</f>
        <v>6.43</v>
      </c>
      <c r="F176" s="4">
        <f>IFERROR(__xludf.DUMMYFUNCTION("""COMPUTED_VALUE"""),13.46)</f>
        <v>13.46</v>
      </c>
      <c r="G176" s="4">
        <f>IFERROR(__xludf.DUMMYFUNCTION("""COMPUTED_VALUE"""),21.14)</f>
        <v>21.14</v>
      </c>
      <c r="H176" s="4">
        <f>IFERROR(__xludf.DUMMYFUNCTION("""COMPUTED_VALUE"""),0.0)</f>
        <v>0</v>
      </c>
      <c r="I176" s="4">
        <f>IFERROR(__xludf.DUMMYFUNCTION("""COMPUTED_VALUE"""),0.0)</f>
        <v>0</v>
      </c>
      <c r="J176" s="4">
        <f>IFERROR(__xludf.DUMMYFUNCTION("""COMPUTED_VALUE"""),0.0)</f>
        <v>0</v>
      </c>
      <c r="K176" s="4">
        <f>IFERROR(__xludf.DUMMYFUNCTION("""COMPUTED_VALUE"""),628.0712000000001)</f>
        <v>628.0712</v>
      </c>
      <c r="L176" s="4">
        <f>IFERROR(__xludf.DUMMYFUNCTION("""COMPUTED_VALUE"""),8.094130092257055)</f>
        <v>8.094130092</v>
      </c>
    </row>
    <row r="177">
      <c r="A177" s="4" t="str">
        <f>IFERROR(__xludf.DUMMYFUNCTION("""COMPUTED_VALUE"""),"NGC1705")</f>
        <v>NGC1705</v>
      </c>
      <c r="B177" s="4">
        <f>IFERROR(__xludf.DUMMYFUNCTION("""COMPUTED_VALUE"""),5.73)</f>
        <v>5.73</v>
      </c>
      <c r="C177" s="4">
        <f>IFERROR(__xludf.DUMMYFUNCTION("""COMPUTED_VALUE"""),5.56)</f>
        <v>5.56</v>
      </c>
      <c r="D177" s="4">
        <f>IFERROR(__xludf.DUMMYFUNCTION("""COMPUTED_VALUE"""),71.8)</f>
        <v>71.8</v>
      </c>
      <c r="E177" s="4">
        <f>IFERROR(__xludf.DUMMYFUNCTION("""COMPUTED_VALUE"""),9.68)</f>
        <v>9.68</v>
      </c>
      <c r="F177" s="4">
        <f>IFERROR(__xludf.DUMMYFUNCTION("""COMPUTED_VALUE"""),13.46)</f>
        <v>13.46</v>
      </c>
      <c r="G177" s="4">
        <f>IFERROR(__xludf.DUMMYFUNCTION("""COMPUTED_VALUE"""),20.22)</f>
        <v>20.22</v>
      </c>
      <c r="H177" s="4">
        <f>IFERROR(__xludf.DUMMYFUNCTION("""COMPUTED_VALUE"""),0.0)</f>
        <v>0</v>
      </c>
      <c r="I177" s="4">
        <f>IFERROR(__xludf.DUMMYFUNCTION("""COMPUTED_VALUE"""),0.0)</f>
        <v>0</v>
      </c>
      <c r="J177" s="4">
        <f>IFERROR(__xludf.DUMMYFUNCTION("""COMPUTED_VALUE"""),0.0)</f>
        <v>0</v>
      </c>
      <c r="K177" s="4">
        <f>IFERROR(__xludf.DUMMYFUNCTION("""COMPUTED_VALUE"""),590.02)</f>
        <v>590.02</v>
      </c>
      <c r="L177" s="4">
        <f>IFERROR(__xludf.DUMMYFUNCTION("""COMPUTED_VALUE"""),8.737398732246364)</f>
        <v>8.737398732</v>
      </c>
    </row>
    <row r="178">
      <c r="A178" s="5" t="str">
        <f>IFERROR(__xludf.DUMMYFUNCTION("""COMPUTED_VALUE"""),"NGC1705")</f>
        <v>NGC1705</v>
      </c>
      <c r="B178" s="5">
        <f>IFERROR(__xludf.DUMMYFUNCTION("""COMPUTED_VALUE"""),5.73)</f>
        <v>5.73</v>
      </c>
      <c r="C178" s="5">
        <f>IFERROR(__xludf.DUMMYFUNCTION("""COMPUTED_VALUE"""),6.0)</f>
        <v>6</v>
      </c>
      <c r="D178" s="5">
        <f>IFERROR(__xludf.DUMMYFUNCTION("""COMPUTED_VALUE"""),71.5)</f>
        <v>71.5</v>
      </c>
      <c r="E178" s="5">
        <f>IFERROR(__xludf.DUMMYFUNCTION("""COMPUTED_VALUE"""),10.5)</f>
        <v>10.5</v>
      </c>
      <c r="F178" s="5">
        <f>IFERROR(__xludf.DUMMYFUNCTION("""COMPUTED_VALUE"""),14.31)</f>
        <v>14.31</v>
      </c>
      <c r="G178" s="5">
        <f>IFERROR(__xludf.DUMMYFUNCTION("""COMPUTED_VALUE"""),19.44)</f>
        <v>19.44</v>
      </c>
      <c r="H178" s="5">
        <f>IFERROR(__xludf.DUMMYFUNCTION("""COMPUTED_VALUE"""),0.0)</f>
        <v>0</v>
      </c>
      <c r="I178" s="5">
        <f>IFERROR(__xludf.DUMMYFUNCTION("""COMPUTED_VALUE"""),0.0)</f>
        <v>0</v>
      </c>
      <c r="J178" s="5">
        <f>IFERROR(__xludf.DUMMYFUNCTION("""COMPUTED_VALUE"""),0.0)</f>
        <v>0</v>
      </c>
      <c r="K178" s="5">
        <f>IFERROR(__xludf.DUMMYFUNCTION("""COMPUTED_VALUE"""),582.6897)</f>
        <v>582.6897</v>
      </c>
      <c r="L178" s="5">
        <f>IFERROR(__xludf.DUMMYFUNCTION("""COMPUTED_VALUE"""),8.773537613587472)</f>
        <v>8.773537614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 t="str">
        <f>IFERROR(__xludf.DUMMYFUNCTION("""COMPUTED_VALUE"""),"NGC2366")</f>
        <v>NGC2366</v>
      </c>
      <c r="B179" s="4">
        <f>IFERROR(__xludf.DUMMYFUNCTION("""COMPUTED_VALUE"""),3.27)</f>
        <v>3.27</v>
      </c>
      <c r="C179" s="4">
        <f>IFERROR(__xludf.DUMMYFUNCTION("""COMPUTED_VALUE"""),0.12)</f>
        <v>0.12</v>
      </c>
      <c r="D179" s="4">
        <f>IFERROR(__xludf.DUMMYFUNCTION("""COMPUTED_VALUE"""),4.2)</f>
        <v>4.2</v>
      </c>
      <c r="E179" s="4">
        <f>IFERROR(__xludf.DUMMYFUNCTION("""COMPUTED_VALUE"""),3.15)</f>
        <v>3.15</v>
      </c>
      <c r="F179" s="4">
        <f>IFERROR(__xludf.DUMMYFUNCTION("""COMPUTED_VALUE"""),-0.46)</f>
        <v>-0.46</v>
      </c>
      <c r="G179" s="4">
        <f>IFERROR(__xludf.DUMMYFUNCTION("""COMPUTED_VALUE"""),3.95)</f>
        <v>3.95</v>
      </c>
      <c r="H179" s="4">
        <f>IFERROR(__xludf.DUMMYFUNCTION("""COMPUTED_VALUE"""),0.0)</f>
        <v>0</v>
      </c>
      <c r="I179" s="4">
        <f>IFERROR(__xludf.DUMMYFUNCTION("""COMPUTED_VALUE"""),51.7)</f>
        <v>51.7</v>
      </c>
      <c r="J179" s="4">
        <f>IFERROR(__xludf.DUMMYFUNCTION("""COMPUTED_VALUE"""),0.0)</f>
        <v>0</v>
      </c>
      <c r="K179" s="4">
        <f>IFERROR(__xludf.DUMMYFUNCTION("""COMPUTED_VALUE"""),15.814100000000002)</f>
        <v>15.8141</v>
      </c>
      <c r="L179" s="4">
        <f>IFERROR(__xludf.DUMMYFUNCTION("""COMPUTED_VALUE"""),1.115460253824119)</f>
        <v>1.115460254</v>
      </c>
    </row>
    <row r="180">
      <c r="A180" s="4" t="str">
        <f>IFERROR(__xludf.DUMMYFUNCTION("""COMPUTED_VALUE"""),"NGC2366")</f>
        <v>NGC2366</v>
      </c>
      <c r="B180" s="4">
        <f>IFERROR(__xludf.DUMMYFUNCTION("""COMPUTED_VALUE"""),3.27)</f>
        <v>3.27</v>
      </c>
      <c r="C180" s="4">
        <f>IFERROR(__xludf.DUMMYFUNCTION("""COMPUTED_VALUE"""),0.36)</f>
        <v>0.36</v>
      </c>
      <c r="D180" s="4">
        <f>IFERROR(__xludf.DUMMYFUNCTION("""COMPUTED_VALUE"""),9.41)</f>
        <v>9.41</v>
      </c>
      <c r="E180" s="4">
        <f>IFERROR(__xludf.DUMMYFUNCTION("""COMPUTED_VALUE"""),1.83)</f>
        <v>1.83</v>
      </c>
      <c r="F180" s="4">
        <f>IFERROR(__xludf.DUMMYFUNCTION("""COMPUTED_VALUE"""),-0.53)</f>
        <v>-0.53</v>
      </c>
      <c r="G180" s="4">
        <f>IFERROR(__xludf.DUMMYFUNCTION("""COMPUTED_VALUE"""),11.2)</f>
        <v>11.2</v>
      </c>
      <c r="H180" s="4">
        <f>IFERROR(__xludf.DUMMYFUNCTION("""COMPUTED_VALUE"""),0.0)</f>
        <v>0</v>
      </c>
      <c r="I180" s="4">
        <f>IFERROR(__xludf.DUMMYFUNCTION("""COMPUTED_VALUE"""),47.22)</f>
        <v>47.22</v>
      </c>
      <c r="J180" s="4">
        <f>IFERROR(__xludf.DUMMYFUNCTION("""COMPUTED_VALUE"""),0.0)</f>
        <v>0</v>
      </c>
      <c r="K180" s="4">
        <f>IFERROR(__xludf.DUMMYFUNCTION("""COMPUTED_VALUE"""),125.72089999999999)</f>
        <v>125.7209</v>
      </c>
      <c r="L180" s="4">
        <f>IFERROR(__xludf.DUMMYFUNCTION("""COMPUTED_VALUE"""),0.704322829378409)</f>
        <v>0.7043228294</v>
      </c>
    </row>
    <row r="181">
      <c r="A181" s="4" t="str">
        <f>IFERROR(__xludf.DUMMYFUNCTION("""COMPUTED_VALUE"""),"NGC2366")</f>
        <v>NGC2366</v>
      </c>
      <c r="B181" s="4">
        <f>IFERROR(__xludf.DUMMYFUNCTION("""COMPUTED_VALUE"""),3.27)</f>
        <v>3.27</v>
      </c>
      <c r="C181" s="4">
        <f>IFERROR(__xludf.DUMMYFUNCTION("""COMPUTED_VALUE"""),0.59)</f>
        <v>0.59</v>
      </c>
      <c r="D181" s="4">
        <f>IFERROR(__xludf.DUMMYFUNCTION("""COMPUTED_VALUE"""),15.3)</f>
        <v>15.3</v>
      </c>
      <c r="E181" s="4">
        <f>IFERROR(__xludf.DUMMYFUNCTION("""COMPUTED_VALUE"""),1.37)</f>
        <v>1.37</v>
      </c>
      <c r="F181" s="4">
        <f>IFERROR(__xludf.DUMMYFUNCTION("""COMPUTED_VALUE"""),1.73)</f>
        <v>1.73</v>
      </c>
      <c r="G181" s="4">
        <f>IFERROR(__xludf.DUMMYFUNCTION("""COMPUTED_VALUE"""),15.88)</f>
        <v>15.88</v>
      </c>
      <c r="H181" s="4">
        <f>IFERROR(__xludf.DUMMYFUNCTION("""COMPUTED_VALUE"""),0.0)</f>
        <v>0</v>
      </c>
      <c r="I181" s="4">
        <f>IFERROR(__xludf.DUMMYFUNCTION("""COMPUTED_VALUE"""),35.13)</f>
        <v>35.13</v>
      </c>
      <c r="J181" s="4">
        <f>IFERROR(__xludf.DUMMYFUNCTION("""COMPUTED_VALUE"""),0.0)</f>
        <v>0</v>
      </c>
      <c r="K181" s="4">
        <f>IFERROR(__xludf.DUMMYFUNCTION("""COMPUTED_VALUE"""),255.1673)</f>
        <v>255.1673</v>
      </c>
      <c r="L181" s="4">
        <f>IFERROR(__xludf.DUMMYFUNCTION("""COMPUTED_VALUE"""),0.9173981148838429)</f>
        <v>0.9173981149</v>
      </c>
    </row>
    <row r="182">
      <c r="A182" s="4" t="str">
        <f>IFERROR(__xludf.DUMMYFUNCTION("""COMPUTED_VALUE"""),"NGC2366")</f>
        <v>NGC2366</v>
      </c>
      <c r="B182" s="4">
        <f>IFERROR(__xludf.DUMMYFUNCTION("""COMPUTED_VALUE"""),3.27)</f>
        <v>3.27</v>
      </c>
      <c r="C182" s="4">
        <f>IFERROR(__xludf.DUMMYFUNCTION("""COMPUTED_VALUE"""),0.83)</f>
        <v>0.83</v>
      </c>
      <c r="D182" s="4">
        <f>IFERROR(__xludf.DUMMYFUNCTION("""COMPUTED_VALUE"""),18.4)</f>
        <v>18.4</v>
      </c>
      <c r="E182" s="4">
        <f>IFERROR(__xludf.DUMMYFUNCTION("""COMPUTED_VALUE"""),1.64)</f>
        <v>1.64</v>
      </c>
      <c r="F182" s="4">
        <f>IFERROR(__xludf.DUMMYFUNCTION("""COMPUTED_VALUE"""),4.19)</f>
        <v>4.19</v>
      </c>
      <c r="G182" s="4">
        <f>IFERROR(__xludf.DUMMYFUNCTION("""COMPUTED_VALUE"""),19.68)</f>
        <v>19.68</v>
      </c>
      <c r="H182" s="4">
        <f>IFERROR(__xludf.DUMMYFUNCTION("""COMPUTED_VALUE"""),0.0)</f>
        <v>0</v>
      </c>
      <c r="I182" s="4">
        <f>IFERROR(__xludf.DUMMYFUNCTION("""COMPUTED_VALUE"""),28.17)</f>
        <v>28.17</v>
      </c>
      <c r="J182" s="4">
        <f>IFERROR(__xludf.DUMMYFUNCTION("""COMPUTED_VALUE"""),0.0)</f>
        <v>0</v>
      </c>
      <c r="K182" s="4">
        <f>IFERROR(__xludf.DUMMYFUNCTION("""COMPUTED_VALUE"""),404.8585)</f>
        <v>404.8585</v>
      </c>
      <c r="L182" s="4">
        <f>IFERROR(__xludf.DUMMYFUNCTION("""COMPUTED_VALUE"""),0.8362427860598208)</f>
        <v>0.8362427861</v>
      </c>
    </row>
    <row r="183">
      <c r="A183" s="4" t="str">
        <f>IFERROR(__xludf.DUMMYFUNCTION("""COMPUTED_VALUE"""),"NGC2366")</f>
        <v>NGC2366</v>
      </c>
      <c r="B183" s="4">
        <f>IFERROR(__xludf.DUMMYFUNCTION("""COMPUTED_VALUE"""),3.27)</f>
        <v>3.27</v>
      </c>
      <c r="C183" s="4">
        <f>IFERROR(__xludf.DUMMYFUNCTION("""COMPUTED_VALUE"""),1.07)</f>
        <v>1.07</v>
      </c>
      <c r="D183" s="4">
        <f>IFERROR(__xludf.DUMMYFUNCTION("""COMPUTED_VALUE"""),23.4)</f>
        <v>23.4</v>
      </c>
      <c r="E183" s="4">
        <f>IFERROR(__xludf.DUMMYFUNCTION("""COMPUTED_VALUE"""),2.08)</f>
        <v>2.08</v>
      </c>
      <c r="F183" s="4">
        <f>IFERROR(__xludf.DUMMYFUNCTION("""COMPUTED_VALUE"""),6.57)</f>
        <v>6.57</v>
      </c>
      <c r="G183" s="4">
        <f>IFERROR(__xludf.DUMMYFUNCTION("""COMPUTED_VALUE"""),22.21)</f>
        <v>22.21</v>
      </c>
      <c r="H183" s="4">
        <f>IFERROR(__xludf.DUMMYFUNCTION("""COMPUTED_VALUE"""),0.0)</f>
        <v>0</v>
      </c>
      <c r="I183" s="4">
        <f>IFERROR(__xludf.DUMMYFUNCTION("""COMPUTED_VALUE"""),17.57)</f>
        <v>17.57</v>
      </c>
      <c r="J183" s="4">
        <f>IFERROR(__xludf.DUMMYFUNCTION("""COMPUTED_VALUE"""),0.0)</f>
        <v>0</v>
      </c>
      <c r="K183" s="4">
        <f>IFERROR(__xludf.DUMMYFUNCTION("""COMPUTED_VALUE"""),536.4490000000001)</f>
        <v>536.449</v>
      </c>
      <c r="L183" s="4">
        <f>IFERROR(__xludf.DUMMYFUNCTION("""COMPUTED_VALUE"""),1.020712127341089)</f>
        <v>1.020712127</v>
      </c>
    </row>
    <row r="184">
      <c r="A184" s="4" t="str">
        <f>IFERROR(__xludf.DUMMYFUNCTION("""COMPUTED_VALUE"""),"NGC2366")</f>
        <v>NGC2366</v>
      </c>
      <c r="B184" s="4">
        <f>IFERROR(__xludf.DUMMYFUNCTION("""COMPUTED_VALUE"""),3.27)</f>
        <v>3.27</v>
      </c>
      <c r="C184" s="4">
        <f>IFERROR(__xludf.DUMMYFUNCTION("""COMPUTED_VALUE"""),1.31)</f>
        <v>1.31</v>
      </c>
      <c r="D184" s="4">
        <f>IFERROR(__xludf.DUMMYFUNCTION("""COMPUTED_VALUE"""),28.1)</f>
        <v>28.1</v>
      </c>
      <c r="E184" s="4">
        <f>IFERROR(__xludf.DUMMYFUNCTION("""COMPUTED_VALUE"""),2.46)</f>
        <v>2.46</v>
      </c>
      <c r="F184" s="4">
        <f>IFERROR(__xludf.DUMMYFUNCTION("""COMPUTED_VALUE"""),9.69)</f>
        <v>9.69</v>
      </c>
      <c r="G184" s="4">
        <f>IFERROR(__xludf.DUMMYFUNCTION("""COMPUTED_VALUE"""),23.33)</f>
        <v>23.33</v>
      </c>
      <c r="H184" s="4">
        <f>IFERROR(__xludf.DUMMYFUNCTION("""COMPUTED_VALUE"""),0.0)</f>
        <v>0</v>
      </c>
      <c r="I184" s="4">
        <f>IFERROR(__xludf.DUMMYFUNCTION("""COMPUTED_VALUE"""),11.56)</f>
        <v>11.56</v>
      </c>
      <c r="J184" s="4">
        <f>IFERROR(__xludf.DUMMYFUNCTION("""COMPUTED_VALUE"""),0.0)</f>
        <v>0</v>
      </c>
      <c r="K184" s="4">
        <f>IFERROR(__xludf.DUMMYFUNCTION("""COMPUTED_VALUE"""),638.185)</f>
        <v>638.185</v>
      </c>
      <c r="L184" s="4">
        <f>IFERROR(__xludf.DUMMYFUNCTION("""COMPUTED_VALUE"""),1.2372744580333292)</f>
        <v>1.237274458</v>
      </c>
    </row>
    <row r="185">
      <c r="A185" s="4" t="str">
        <f>IFERROR(__xludf.DUMMYFUNCTION("""COMPUTED_VALUE"""),"NGC2366")</f>
        <v>NGC2366</v>
      </c>
      <c r="B185" s="4">
        <f>IFERROR(__xludf.DUMMYFUNCTION("""COMPUTED_VALUE"""),3.27)</f>
        <v>3.27</v>
      </c>
      <c r="C185" s="4">
        <f>IFERROR(__xludf.DUMMYFUNCTION("""COMPUTED_VALUE"""),1.54)</f>
        <v>1.54</v>
      </c>
      <c r="D185" s="4">
        <f>IFERROR(__xludf.DUMMYFUNCTION("""COMPUTED_VALUE"""),33.1)</f>
        <v>33.1</v>
      </c>
      <c r="E185" s="4">
        <f>IFERROR(__xludf.DUMMYFUNCTION("""COMPUTED_VALUE"""),2.01)</f>
        <v>2.01</v>
      </c>
      <c r="F185" s="4">
        <f>IFERROR(__xludf.DUMMYFUNCTION("""COMPUTED_VALUE"""),12.94)</f>
        <v>12.94</v>
      </c>
      <c r="G185" s="4">
        <f>IFERROR(__xludf.DUMMYFUNCTION("""COMPUTED_VALUE"""),22.77)</f>
        <v>22.77</v>
      </c>
      <c r="H185" s="4">
        <f>IFERROR(__xludf.DUMMYFUNCTION("""COMPUTED_VALUE"""),0.0)</f>
        <v>0</v>
      </c>
      <c r="I185" s="4">
        <f>IFERROR(__xludf.DUMMYFUNCTION("""COMPUTED_VALUE"""),7.62)</f>
        <v>7.62</v>
      </c>
      <c r="J185" s="4">
        <f>IFERROR(__xludf.DUMMYFUNCTION("""COMPUTED_VALUE"""),0.0)</f>
        <v>0</v>
      </c>
      <c r="K185" s="4">
        <f>IFERROR(__xludf.DUMMYFUNCTION("""COMPUTED_VALUE"""),685.9164999999999)</f>
        <v>685.9165</v>
      </c>
      <c r="L185" s="4">
        <f>IFERROR(__xludf.DUMMYFUNCTION("""COMPUTED_VALUE"""),1.5972935481213826)</f>
        <v>1.597293548</v>
      </c>
    </row>
    <row r="186">
      <c r="A186" s="4" t="str">
        <f>IFERROR(__xludf.DUMMYFUNCTION("""COMPUTED_VALUE"""),"NGC2366")</f>
        <v>NGC2366</v>
      </c>
      <c r="B186" s="4">
        <f>IFERROR(__xludf.DUMMYFUNCTION("""COMPUTED_VALUE"""),3.27)</f>
        <v>3.27</v>
      </c>
      <c r="C186" s="4">
        <f>IFERROR(__xludf.DUMMYFUNCTION("""COMPUTED_VALUE"""),1.79)</f>
        <v>1.79</v>
      </c>
      <c r="D186" s="4">
        <f>IFERROR(__xludf.DUMMYFUNCTION("""COMPUTED_VALUE"""),37.5)</f>
        <v>37.5</v>
      </c>
      <c r="E186" s="4">
        <f>IFERROR(__xludf.DUMMYFUNCTION("""COMPUTED_VALUE"""),1.62)</f>
        <v>1.62</v>
      </c>
      <c r="F186" s="4">
        <f>IFERROR(__xludf.DUMMYFUNCTION("""COMPUTED_VALUE"""),15.67)</f>
        <v>15.67</v>
      </c>
      <c r="G186" s="4">
        <f>IFERROR(__xludf.DUMMYFUNCTION("""COMPUTED_VALUE"""),22.48)</f>
        <v>22.48</v>
      </c>
      <c r="H186" s="4">
        <f>IFERROR(__xludf.DUMMYFUNCTION("""COMPUTED_VALUE"""),0.0)</f>
        <v>0</v>
      </c>
      <c r="I186" s="4">
        <f>IFERROR(__xludf.DUMMYFUNCTION("""COMPUTED_VALUE"""),5.72)</f>
        <v>5.72</v>
      </c>
      <c r="J186" s="4">
        <f>IFERROR(__xludf.DUMMYFUNCTION("""COMPUTED_VALUE"""),0.0)</f>
        <v>0</v>
      </c>
      <c r="K186" s="4">
        <f>IFERROR(__xludf.DUMMYFUNCTION("""COMPUTED_VALUE"""),750.8993)</f>
        <v>750.8993</v>
      </c>
      <c r="L186" s="4">
        <f>IFERROR(__xludf.DUMMYFUNCTION("""COMPUTED_VALUE"""),1.8727544425730587)</f>
        <v>1.872754443</v>
      </c>
    </row>
    <row r="187">
      <c r="A187" s="4" t="str">
        <f>IFERROR(__xludf.DUMMYFUNCTION("""COMPUTED_VALUE"""),"NGC2366")</f>
        <v>NGC2366</v>
      </c>
      <c r="B187" s="4">
        <f>IFERROR(__xludf.DUMMYFUNCTION("""COMPUTED_VALUE"""),3.27)</f>
        <v>3.27</v>
      </c>
      <c r="C187" s="4">
        <f>IFERROR(__xludf.DUMMYFUNCTION("""COMPUTED_VALUE"""),2.02)</f>
        <v>2.02</v>
      </c>
      <c r="D187" s="4">
        <f>IFERROR(__xludf.DUMMYFUNCTION("""COMPUTED_VALUE"""),40.5)</f>
        <v>40.5</v>
      </c>
      <c r="E187" s="4">
        <f>IFERROR(__xludf.DUMMYFUNCTION("""COMPUTED_VALUE"""),1.68)</f>
        <v>1.68</v>
      </c>
      <c r="F187" s="4">
        <f>IFERROR(__xludf.DUMMYFUNCTION("""COMPUTED_VALUE"""),17.89)</f>
        <v>17.89</v>
      </c>
      <c r="G187" s="4">
        <f>IFERROR(__xludf.DUMMYFUNCTION("""COMPUTED_VALUE"""),22.28)</f>
        <v>22.28</v>
      </c>
      <c r="H187" s="4">
        <f>IFERROR(__xludf.DUMMYFUNCTION("""COMPUTED_VALUE"""),0.0)</f>
        <v>0</v>
      </c>
      <c r="I187" s="4">
        <f>IFERROR(__xludf.DUMMYFUNCTION("""COMPUTED_VALUE"""),4.38)</f>
        <v>4.38</v>
      </c>
      <c r="J187" s="4">
        <f>IFERROR(__xludf.DUMMYFUNCTION("""COMPUTED_VALUE"""),0.0)</f>
        <v>0</v>
      </c>
      <c r="K187" s="4">
        <f>IFERROR(__xludf.DUMMYFUNCTION("""COMPUTED_VALUE"""),816.4505)</f>
        <v>816.4505</v>
      </c>
      <c r="L187" s="4">
        <f>IFERROR(__xludf.DUMMYFUNCTION("""COMPUTED_VALUE"""),2.0090011580616336)</f>
        <v>2.009001158</v>
      </c>
    </row>
    <row r="188">
      <c r="A188" s="4" t="str">
        <f>IFERROR(__xludf.DUMMYFUNCTION("""COMPUTED_VALUE"""),"NGC2366")</f>
        <v>NGC2366</v>
      </c>
      <c r="B188" s="4">
        <f>IFERROR(__xludf.DUMMYFUNCTION("""COMPUTED_VALUE"""),3.27)</f>
        <v>3.27</v>
      </c>
      <c r="C188" s="4">
        <f>IFERROR(__xludf.DUMMYFUNCTION("""COMPUTED_VALUE"""),2.26)</f>
        <v>2.26</v>
      </c>
      <c r="D188" s="4">
        <f>IFERROR(__xludf.DUMMYFUNCTION("""COMPUTED_VALUE"""),42.3)</f>
        <v>42.3</v>
      </c>
      <c r="E188" s="4">
        <f>IFERROR(__xludf.DUMMYFUNCTION("""COMPUTED_VALUE"""),1.69)</f>
        <v>1.69</v>
      </c>
      <c r="F188" s="4">
        <f>IFERROR(__xludf.DUMMYFUNCTION("""COMPUTED_VALUE"""),19.31)</f>
        <v>19.31</v>
      </c>
      <c r="G188" s="4">
        <f>IFERROR(__xludf.DUMMYFUNCTION("""COMPUTED_VALUE"""),22.0)</f>
        <v>22</v>
      </c>
      <c r="H188" s="4">
        <f>IFERROR(__xludf.DUMMYFUNCTION("""COMPUTED_VALUE"""),0.0)</f>
        <v>0</v>
      </c>
      <c r="I188" s="4">
        <f>IFERROR(__xludf.DUMMYFUNCTION("""COMPUTED_VALUE"""),2.95)</f>
        <v>2.95</v>
      </c>
      <c r="J188" s="4">
        <f>IFERROR(__xludf.DUMMYFUNCTION("""COMPUTED_VALUE"""),0.0)</f>
        <v>0</v>
      </c>
      <c r="K188" s="4">
        <f>IFERROR(__xludf.DUMMYFUNCTION("""COMPUTED_VALUE"""),856.8761)</f>
        <v>856.8761</v>
      </c>
      <c r="L188" s="4">
        <f>IFERROR(__xludf.DUMMYFUNCTION("""COMPUTED_VALUE"""),2.0881548685976887)</f>
        <v>2.088154869</v>
      </c>
    </row>
    <row r="189">
      <c r="A189" s="4" t="str">
        <f>IFERROR(__xludf.DUMMYFUNCTION("""COMPUTED_VALUE"""),"NGC2366")</f>
        <v>NGC2366</v>
      </c>
      <c r="B189" s="4">
        <f>IFERROR(__xludf.DUMMYFUNCTION("""COMPUTED_VALUE"""),3.27)</f>
        <v>3.27</v>
      </c>
      <c r="C189" s="4">
        <f>IFERROR(__xludf.DUMMYFUNCTION("""COMPUTED_VALUE"""),2.49)</f>
        <v>2.49</v>
      </c>
      <c r="D189" s="4">
        <f>IFERROR(__xludf.DUMMYFUNCTION("""COMPUTED_VALUE"""),45.2)</f>
        <v>45.2</v>
      </c>
      <c r="E189" s="4">
        <f>IFERROR(__xludf.DUMMYFUNCTION("""COMPUTED_VALUE"""),1.91)</f>
        <v>1.91</v>
      </c>
      <c r="F189" s="4">
        <f>IFERROR(__xludf.DUMMYFUNCTION("""COMPUTED_VALUE"""),20.12)</f>
        <v>20.12</v>
      </c>
      <c r="G189" s="4">
        <f>IFERROR(__xludf.DUMMYFUNCTION("""COMPUTED_VALUE"""),21.29)</f>
        <v>21.29</v>
      </c>
      <c r="H189" s="4">
        <f>IFERROR(__xludf.DUMMYFUNCTION("""COMPUTED_VALUE"""),0.0)</f>
        <v>0</v>
      </c>
      <c r="I189" s="4">
        <f>IFERROR(__xludf.DUMMYFUNCTION("""COMPUTED_VALUE"""),1.9)</f>
        <v>1.9</v>
      </c>
      <c r="J189" s="4">
        <f>IFERROR(__xludf.DUMMYFUNCTION("""COMPUTED_VALUE"""),0.0)</f>
        <v>0</v>
      </c>
      <c r="K189" s="4">
        <f>IFERROR(__xludf.DUMMYFUNCTION("""COMPUTED_VALUE"""),858.0785000000001)</f>
        <v>858.0785</v>
      </c>
      <c r="L189" s="4">
        <f>IFERROR(__xludf.DUMMYFUNCTION("""COMPUTED_VALUE"""),2.3809476638792373)</f>
        <v>2.380947664</v>
      </c>
    </row>
    <row r="190">
      <c r="A190" s="4" t="str">
        <f>IFERROR(__xludf.DUMMYFUNCTION("""COMPUTED_VALUE"""),"NGC2366")</f>
        <v>NGC2366</v>
      </c>
      <c r="B190" s="4">
        <f>IFERROR(__xludf.DUMMYFUNCTION("""COMPUTED_VALUE"""),3.27)</f>
        <v>3.27</v>
      </c>
      <c r="C190" s="4">
        <f>IFERROR(__xludf.DUMMYFUNCTION("""COMPUTED_VALUE"""),2.74)</f>
        <v>2.74</v>
      </c>
      <c r="D190" s="4">
        <f>IFERROR(__xludf.DUMMYFUNCTION("""COMPUTED_VALUE"""),47.4)</f>
        <v>47.4</v>
      </c>
      <c r="E190" s="4">
        <f>IFERROR(__xludf.DUMMYFUNCTION("""COMPUTED_VALUE"""),1.95)</f>
        <v>1.95</v>
      </c>
      <c r="F190" s="4">
        <f>IFERROR(__xludf.DUMMYFUNCTION("""COMPUTED_VALUE"""),21.03)</f>
        <v>21.03</v>
      </c>
      <c r="G190" s="4">
        <f>IFERROR(__xludf.DUMMYFUNCTION("""COMPUTED_VALUE"""),20.52)</f>
        <v>20.52</v>
      </c>
      <c r="H190" s="4">
        <f>IFERROR(__xludf.DUMMYFUNCTION("""COMPUTED_VALUE"""),0.0)</f>
        <v>0</v>
      </c>
      <c r="I190" s="4">
        <f>IFERROR(__xludf.DUMMYFUNCTION("""COMPUTED_VALUE"""),1.32)</f>
        <v>1.32</v>
      </c>
      <c r="J190" s="4">
        <f>IFERROR(__xludf.DUMMYFUNCTION("""COMPUTED_VALUE"""),0.0)</f>
        <v>0</v>
      </c>
      <c r="K190" s="4">
        <f>IFERROR(__xludf.DUMMYFUNCTION("""COMPUTED_VALUE"""),863.3313)</f>
        <v>863.3313</v>
      </c>
      <c r="L190" s="4">
        <f>IFERROR(__xludf.DUMMYFUNCTION("""COMPUTED_VALUE"""),2.6024308397019773)</f>
        <v>2.60243084</v>
      </c>
    </row>
    <row r="191">
      <c r="A191" s="4" t="str">
        <f>IFERROR(__xludf.DUMMYFUNCTION("""COMPUTED_VALUE"""),"NGC2366")</f>
        <v>NGC2366</v>
      </c>
      <c r="B191" s="4">
        <f>IFERROR(__xludf.DUMMYFUNCTION("""COMPUTED_VALUE"""),3.27)</f>
        <v>3.27</v>
      </c>
      <c r="C191" s="4">
        <f>IFERROR(__xludf.DUMMYFUNCTION("""COMPUTED_VALUE"""),2.97)</f>
        <v>2.97</v>
      </c>
      <c r="D191" s="4">
        <f>IFERROR(__xludf.DUMMYFUNCTION("""COMPUTED_VALUE"""),48.1)</f>
        <v>48.1</v>
      </c>
      <c r="E191" s="4">
        <f>IFERROR(__xludf.DUMMYFUNCTION("""COMPUTED_VALUE"""),1.74)</f>
        <v>1.74</v>
      </c>
      <c r="F191" s="4">
        <f>IFERROR(__xludf.DUMMYFUNCTION("""COMPUTED_VALUE"""),22.14)</f>
        <v>22.14</v>
      </c>
      <c r="G191" s="4">
        <f>IFERROR(__xludf.DUMMYFUNCTION("""COMPUTED_VALUE"""),19.83)</f>
        <v>19.83</v>
      </c>
      <c r="H191" s="4">
        <f>IFERROR(__xludf.DUMMYFUNCTION("""COMPUTED_VALUE"""),0.0)</f>
        <v>0</v>
      </c>
      <c r="I191" s="4">
        <f>IFERROR(__xludf.DUMMYFUNCTION("""COMPUTED_VALUE"""),0.93)</f>
        <v>0.93</v>
      </c>
      <c r="J191" s="4">
        <f>IFERROR(__xludf.DUMMYFUNCTION("""COMPUTED_VALUE"""),0.0)</f>
        <v>0</v>
      </c>
      <c r="K191" s="4">
        <f>IFERROR(__xludf.DUMMYFUNCTION("""COMPUTED_VALUE"""),883.4085)</f>
        <v>883.4085</v>
      </c>
      <c r="L191" s="4">
        <f>IFERROR(__xludf.DUMMYFUNCTION("""COMPUTED_VALUE"""),2.618958273550685)</f>
        <v>2.618958274</v>
      </c>
    </row>
    <row r="192">
      <c r="A192" s="4" t="str">
        <f>IFERROR(__xludf.DUMMYFUNCTION("""COMPUTED_VALUE"""),"NGC2366")</f>
        <v>NGC2366</v>
      </c>
      <c r="B192" s="4">
        <f>IFERROR(__xludf.DUMMYFUNCTION("""COMPUTED_VALUE"""),3.27)</f>
        <v>3.27</v>
      </c>
      <c r="C192" s="4">
        <f>IFERROR(__xludf.DUMMYFUNCTION("""COMPUTED_VALUE"""),3.21)</f>
        <v>3.21</v>
      </c>
      <c r="D192" s="4">
        <f>IFERROR(__xludf.DUMMYFUNCTION("""COMPUTED_VALUE"""),48.8)</f>
        <v>48.8</v>
      </c>
      <c r="E192" s="4">
        <f>IFERROR(__xludf.DUMMYFUNCTION("""COMPUTED_VALUE"""),1.08)</f>
        <v>1.08</v>
      </c>
      <c r="F192" s="4">
        <f>IFERROR(__xludf.DUMMYFUNCTION("""COMPUTED_VALUE"""),23.15)</f>
        <v>23.15</v>
      </c>
      <c r="G192" s="4">
        <f>IFERROR(__xludf.DUMMYFUNCTION("""COMPUTED_VALUE"""),19.12)</f>
        <v>19.12</v>
      </c>
      <c r="H192" s="4">
        <f>IFERROR(__xludf.DUMMYFUNCTION("""COMPUTED_VALUE"""),0.0)</f>
        <v>0</v>
      </c>
      <c r="I192" s="4">
        <f>IFERROR(__xludf.DUMMYFUNCTION("""COMPUTED_VALUE"""),0.64)</f>
        <v>0.64</v>
      </c>
      <c r="J192" s="4">
        <f>IFERROR(__xludf.DUMMYFUNCTION("""COMPUTED_VALUE"""),0.0)</f>
        <v>0</v>
      </c>
      <c r="K192" s="4">
        <f>IFERROR(__xludf.DUMMYFUNCTION("""COMPUTED_VALUE"""),901.4968999999999)</f>
        <v>901.4969</v>
      </c>
      <c r="L192" s="4">
        <f>IFERROR(__xludf.DUMMYFUNCTION("""COMPUTED_VALUE"""),2.6416507921436003)</f>
        <v>2.641650792</v>
      </c>
    </row>
    <row r="193">
      <c r="A193" s="4" t="str">
        <f>IFERROR(__xludf.DUMMYFUNCTION("""COMPUTED_VALUE"""),"NGC2366")</f>
        <v>NGC2366</v>
      </c>
      <c r="B193" s="4">
        <f>IFERROR(__xludf.DUMMYFUNCTION("""COMPUTED_VALUE"""),3.27)</f>
        <v>3.27</v>
      </c>
      <c r="C193" s="4">
        <f>IFERROR(__xludf.DUMMYFUNCTION("""COMPUTED_VALUE"""),3.44)</f>
        <v>3.44</v>
      </c>
      <c r="D193" s="4">
        <f>IFERROR(__xludf.DUMMYFUNCTION("""COMPUTED_VALUE"""),50.7)</f>
        <v>50.7</v>
      </c>
      <c r="E193" s="4">
        <f>IFERROR(__xludf.DUMMYFUNCTION("""COMPUTED_VALUE"""),1.55)</f>
        <v>1.55</v>
      </c>
      <c r="F193" s="4">
        <f>IFERROR(__xludf.DUMMYFUNCTION("""COMPUTED_VALUE"""),23.96)</f>
        <v>23.96</v>
      </c>
      <c r="G193" s="4">
        <f>IFERROR(__xludf.DUMMYFUNCTION("""COMPUTED_VALUE"""),18.46)</f>
        <v>18.46</v>
      </c>
      <c r="H193" s="4">
        <f>IFERROR(__xludf.DUMMYFUNCTION("""COMPUTED_VALUE"""),0.0)</f>
        <v>0</v>
      </c>
      <c r="I193" s="4">
        <f>IFERROR(__xludf.DUMMYFUNCTION("""COMPUTED_VALUE"""),0.45)</f>
        <v>0.45</v>
      </c>
      <c r="J193" s="4">
        <f>IFERROR(__xludf.DUMMYFUNCTION("""COMPUTED_VALUE"""),0.0)</f>
        <v>0</v>
      </c>
      <c r="K193" s="4">
        <f>IFERROR(__xludf.DUMMYFUNCTION("""COMPUTED_VALUE"""),914.8532000000001)</f>
        <v>914.8532</v>
      </c>
      <c r="L193" s="4">
        <f>IFERROR(__xludf.DUMMYFUNCTION("""COMPUTED_VALUE"""),2.8097294735373937)</f>
        <v>2.809729474</v>
      </c>
    </row>
    <row r="194">
      <c r="A194" s="4" t="str">
        <f>IFERROR(__xludf.DUMMYFUNCTION("""COMPUTED_VALUE"""),"NGC2366")</f>
        <v>NGC2366</v>
      </c>
      <c r="B194" s="4">
        <f>IFERROR(__xludf.DUMMYFUNCTION("""COMPUTED_VALUE"""),3.27)</f>
        <v>3.27</v>
      </c>
      <c r="C194" s="4">
        <f>IFERROR(__xludf.DUMMYFUNCTION("""COMPUTED_VALUE"""),3.69)</f>
        <v>3.69</v>
      </c>
      <c r="D194" s="4">
        <f>IFERROR(__xludf.DUMMYFUNCTION("""COMPUTED_VALUE"""),52.1)</f>
        <v>52.1</v>
      </c>
      <c r="E194" s="4">
        <f>IFERROR(__xludf.DUMMYFUNCTION("""COMPUTED_VALUE"""),2.78)</f>
        <v>2.78</v>
      </c>
      <c r="F194" s="4">
        <f>IFERROR(__xludf.DUMMYFUNCTION("""COMPUTED_VALUE"""),24.56)</f>
        <v>24.56</v>
      </c>
      <c r="G194" s="4">
        <f>IFERROR(__xludf.DUMMYFUNCTION("""COMPUTED_VALUE"""),17.79)</f>
        <v>17.79</v>
      </c>
      <c r="H194" s="4">
        <f>IFERROR(__xludf.DUMMYFUNCTION("""COMPUTED_VALUE"""),0.0)</f>
        <v>0</v>
      </c>
      <c r="I194" s="4">
        <f>IFERROR(__xludf.DUMMYFUNCTION("""COMPUTED_VALUE"""),0.31)</f>
        <v>0.31</v>
      </c>
      <c r="J194" s="4">
        <f>IFERROR(__xludf.DUMMYFUNCTION("""COMPUTED_VALUE"""),0.0)</f>
        <v>0</v>
      </c>
      <c r="K194" s="4">
        <f>IFERROR(__xludf.DUMMYFUNCTION("""COMPUTED_VALUE"""),919.6777)</f>
        <v>919.6777</v>
      </c>
      <c r="L194" s="4">
        <f>IFERROR(__xludf.DUMMYFUNCTION("""COMPUTED_VALUE"""),2.951479632484294)</f>
        <v>2.951479632</v>
      </c>
    </row>
    <row r="195">
      <c r="A195" s="4" t="str">
        <f>IFERROR(__xludf.DUMMYFUNCTION("""COMPUTED_VALUE"""),"NGC2366")</f>
        <v>NGC2366</v>
      </c>
      <c r="B195" s="4">
        <f>IFERROR(__xludf.DUMMYFUNCTION("""COMPUTED_VALUE"""),3.27)</f>
        <v>3.27</v>
      </c>
      <c r="C195" s="4">
        <f>IFERROR(__xludf.DUMMYFUNCTION("""COMPUTED_VALUE"""),3.92)</f>
        <v>3.92</v>
      </c>
      <c r="D195" s="4">
        <f>IFERROR(__xludf.DUMMYFUNCTION("""COMPUTED_VALUE"""),53.0)</f>
        <v>53</v>
      </c>
      <c r="E195" s="4">
        <f>IFERROR(__xludf.DUMMYFUNCTION("""COMPUTED_VALUE"""),2.98)</f>
        <v>2.98</v>
      </c>
      <c r="F195" s="4">
        <f>IFERROR(__xludf.DUMMYFUNCTION("""COMPUTED_VALUE"""),25.07)</f>
        <v>25.07</v>
      </c>
      <c r="G195" s="4">
        <f>IFERROR(__xludf.DUMMYFUNCTION("""COMPUTED_VALUE"""),17.2)</f>
        <v>17.2</v>
      </c>
      <c r="H195" s="4">
        <f>IFERROR(__xludf.DUMMYFUNCTION("""COMPUTED_VALUE"""),0.0)</f>
        <v>0</v>
      </c>
      <c r="I195" s="4">
        <f>IFERROR(__xludf.DUMMYFUNCTION("""COMPUTED_VALUE"""),0.22)</f>
        <v>0.22</v>
      </c>
      <c r="J195" s="4">
        <f>IFERROR(__xludf.DUMMYFUNCTION("""COMPUTED_VALUE"""),0.0)</f>
        <v>0</v>
      </c>
      <c r="K195" s="4">
        <f>IFERROR(__xludf.DUMMYFUNCTION("""COMPUTED_VALUE"""),924.3449)</f>
        <v>924.3449</v>
      </c>
      <c r="L195" s="4">
        <f>IFERROR(__xludf.DUMMYFUNCTION("""COMPUTED_VALUE"""),3.0389089613627984)</f>
        <v>3.038908961</v>
      </c>
    </row>
    <row r="196">
      <c r="A196" s="4" t="str">
        <f>IFERROR(__xludf.DUMMYFUNCTION("""COMPUTED_VALUE"""),"NGC2366")</f>
        <v>NGC2366</v>
      </c>
      <c r="B196" s="4">
        <f>IFERROR(__xludf.DUMMYFUNCTION("""COMPUTED_VALUE"""),3.27)</f>
        <v>3.27</v>
      </c>
      <c r="C196" s="4">
        <f>IFERROR(__xludf.DUMMYFUNCTION("""COMPUTED_VALUE"""),4.16)</f>
        <v>4.16</v>
      </c>
      <c r="D196" s="4">
        <f>IFERROR(__xludf.DUMMYFUNCTION("""COMPUTED_VALUE"""),53.7)</f>
        <v>53.7</v>
      </c>
      <c r="E196" s="4">
        <f>IFERROR(__xludf.DUMMYFUNCTION("""COMPUTED_VALUE"""),2.39)</f>
        <v>2.39</v>
      </c>
      <c r="F196" s="4">
        <f>IFERROR(__xludf.DUMMYFUNCTION("""COMPUTED_VALUE"""),25.27)</f>
        <v>25.27</v>
      </c>
      <c r="G196" s="4">
        <f>IFERROR(__xludf.DUMMYFUNCTION("""COMPUTED_VALUE"""),16.63)</f>
        <v>16.63</v>
      </c>
      <c r="H196" s="4">
        <f>IFERROR(__xludf.DUMMYFUNCTION("""COMPUTED_VALUE"""),0.0)</f>
        <v>0</v>
      </c>
      <c r="I196" s="4">
        <f>IFERROR(__xludf.DUMMYFUNCTION("""COMPUTED_VALUE"""),0.15)</f>
        <v>0.15</v>
      </c>
      <c r="J196" s="4">
        <f>IFERROR(__xludf.DUMMYFUNCTION("""COMPUTED_VALUE"""),0.0)</f>
        <v>0</v>
      </c>
      <c r="K196" s="4">
        <f>IFERROR(__xludf.DUMMYFUNCTION("""COMPUTED_VALUE"""),915.1297999999999)</f>
        <v>915.1298</v>
      </c>
      <c r="L196" s="4">
        <f>IFERROR(__xludf.DUMMYFUNCTION("""COMPUTED_VALUE"""),3.15112675819321)</f>
        <v>3.151126758</v>
      </c>
    </row>
    <row r="197">
      <c r="A197" s="4" t="str">
        <f>IFERROR(__xludf.DUMMYFUNCTION("""COMPUTED_VALUE"""),"NGC2366")</f>
        <v>NGC2366</v>
      </c>
      <c r="B197" s="4">
        <f>IFERROR(__xludf.DUMMYFUNCTION("""COMPUTED_VALUE"""),3.27)</f>
        <v>3.27</v>
      </c>
      <c r="C197" s="4">
        <f>IFERROR(__xludf.DUMMYFUNCTION("""COMPUTED_VALUE"""),4.4)</f>
        <v>4.4</v>
      </c>
      <c r="D197" s="4">
        <f>IFERROR(__xludf.DUMMYFUNCTION("""COMPUTED_VALUE"""),51.2)</f>
        <v>51.2</v>
      </c>
      <c r="E197" s="4">
        <f>IFERROR(__xludf.DUMMYFUNCTION("""COMPUTED_VALUE"""),2.21)</f>
        <v>2.21</v>
      </c>
      <c r="F197" s="4">
        <f>IFERROR(__xludf.DUMMYFUNCTION("""COMPUTED_VALUE"""),25.47)</f>
        <v>25.47</v>
      </c>
      <c r="G197" s="4">
        <f>IFERROR(__xludf.DUMMYFUNCTION("""COMPUTED_VALUE"""),16.1)</f>
        <v>16.1</v>
      </c>
      <c r="H197" s="4">
        <f>IFERROR(__xludf.DUMMYFUNCTION("""COMPUTED_VALUE"""),0.0)</f>
        <v>0</v>
      </c>
      <c r="I197" s="4">
        <f>IFERROR(__xludf.DUMMYFUNCTION("""COMPUTED_VALUE"""),0.1)</f>
        <v>0.1</v>
      </c>
      <c r="J197" s="4">
        <f>IFERROR(__xludf.DUMMYFUNCTION("""COMPUTED_VALUE"""),0.0)</f>
        <v>0</v>
      </c>
      <c r="K197" s="4">
        <f>IFERROR(__xludf.DUMMYFUNCTION("""COMPUTED_VALUE"""),907.9309)</f>
        <v>907.9309</v>
      </c>
      <c r="L197" s="4">
        <f>IFERROR(__xludf.DUMMYFUNCTION("""COMPUTED_VALUE"""),2.8872681830742852)</f>
        <v>2.887268183</v>
      </c>
    </row>
    <row r="198">
      <c r="A198" s="4" t="str">
        <f>IFERROR(__xludf.DUMMYFUNCTION("""COMPUTED_VALUE"""),"NGC2366")</f>
        <v>NGC2366</v>
      </c>
      <c r="B198" s="4">
        <f>IFERROR(__xludf.DUMMYFUNCTION("""COMPUTED_VALUE"""),3.27)</f>
        <v>3.27</v>
      </c>
      <c r="C198" s="4">
        <f>IFERROR(__xludf.DUMMYFUNCTION("""COMPUTED_VALUE"""),4.64)</f>
        <v>4.64</v>
      </c>
      <c r="D198" s="4">
        <f>IFERROR(__xludf.DUMMYFUNCTION("""COMPUTED_VALUE"""),51.6)</f>
        <v>51.6</v>
      </c>
      <c r="E198" s="4">
        <f>IFERROR(__xludf.DUMMYFUNCTION("""COMPUTED_VALUE"""),1.45)</f>
        <v>1.45</v>
      </c>
      <c r="F198" s="4">
        <f>IFERROR(__xludf.DUMMYFUNCTION("""COMPUTED_VALUE"""),25.68)</f>
        <v>25.68</v>
      </c>
      <c r="G198" s="4">
        <f>IFERROR(__xludf.DUMMYFUNCTION("""COMPUTED_VALUE"""),15.61)</f>
        <v>15.61</v>
      </c>
      <c r="H198" s="4">
        <f>IFERROR(__xludf.DUMMYFUNCTION("""COMPUTED_VALUE"""),0.0)</f>
        <v>0</v>
      </c>
      <c r="I198" s="4">
        <f>IFERROR(__xludf.DUMMYFUNCTION("""COMPUTED_VALUE"""),0.07)</f>
        <v>0.07</v>
      </c>
      <c r="J198" s="4">
        <f>IFERROR(__xludf.DUMMYFUNCTION("""COMPUTED_VALUE"""),0.0)</f>
        <v>0</v>
      </c>
      <c r="K198" s="4">
        <f>IFERROR(__xludf.DUMMYFUNCTION("""COMPUTED_VALUE"""),903.1345)</f>
        <v>903.1345</v>
      </c>
      <c r="L198" s="4">
        <f>IFERROR(__xludf.DUMMYFUNCTION("""COMPUTED_VALUE"""),2.9481323103037256)</f>
        <v>2.94813231</v>
      </c>
    </row>
    <row r="199">
      <c r="A199" s="4" t="str">
        <f>IFERROR(__xludf.DUMMYFUNCTION("""COMPUTED_VALUE"""),"NGC2366")</f>
        <v>NGC2366</v>
      </c>
      <c r="B199" s="4">
        <f>IFERROR(__xludf.DUMMYFUNCTION("""COMPUTED_VALUE"""),3.27)</f>
        <v>3.27</v>
      </c>
      <c r="C199" s="4">
        <f>IFERROR(__xludf.DUMMYFUNCTION("""COMPUTED_VALUE"""),4.87)</f>
        <v>4.87</v>
      </c>
      <c r="D199" s="4">
        <f>IFERROR(__xludf.DUMMYFUNCTION("""COMPUTED_VALUE"""),51.5)</f>
        <v>51.5</v>
      </c>
      <c r="E199" s="4">
        <f>IFERROR(__xludf.DUMMYFUNCTION("""COMPUTED_VALUE"""),1.84)</f>
        <v>1.84</v>
      </c>
      <c r="F199" s="4">
        <f>IFERROR(__xludf.DUMMYFUNCTION("""COMPUTED_VALUE"""),26.18)</f>
        <v>26.18</v>
      </c>
      <c r="G199" s="4">
        <f>IFERROR(__xludf.DUMMYFUNCTION("""COMPUTED_VALUE"""),15.18)</f>
        <v>15.18</v>
      </c>
      <c r="H199" s="4">
        <f>IFERROR(__xludf.DUMMYFUNCTION("""COMPUTED_VALUE"""),0.0)</f>
        <v>0</v>
      </c>
      <c r="I199" s="4">
        <f>IFERROR(__xludf.DUMMYFUNCTION("""COMPUTED_VALUE"""),0.05)</f>
        <v>0.05</v>
      </c>
      <c r="J199" s="4">
        <f>IFERROR(__xludf.DUMMYFUNCTION("""COMPUTED_VALUE"""),0.0)</f>
        <v>0</v>
      </c>
      <c r="K199" s="4">
        <f>IFERROR(__xludf.DUMMYFUNCTION("""COMPUTED_VALUE"""),915.8248)</f>
        <v>915.8248</v>
      </c>
      <c r="L199" s="4">
        <f>IFERROR(__xludf.DUMMYFUNCTION("""COMPUTED_VALUE"""),2.8960233442029524)</f>
        <v>2.896023344</v>
      </c>
    </row>
    <row r="200">
      <c r="A200" s="4" t="str">
        <f>IFERROR(__xludf.DUMMYFUNCTION("""COMPUTED_VALUE"""),"NGC2366")</f>
        <v>NGC2366</v>
      </c>
      <c r="B200" s="4">
        <f>IFERROR(__xludf.DUMMYFUNCTION("""COMPUTED_VALUE"""),3.27)</f>
        <v>3.27</v>
      </c>
      <c r="C200" s="4">
        <f>IFERROR(__xludf.DUMMYFUNCTION("""COMPUTED_VALUE"""),5.11)</f>
        <v>5.11</v>
      </c>
      <c r="D200" s="4">
        <f>IFERROR(__xludf.DUMMYFUNCTION("""COMPUTED_VALUE"""),50.4)</f>
        <v>50.4</v>
      </c>
      <c r="E200" s="4">
        <f>IFERROR(__xludf.DUMMYFUNCTION("""COMPUTED_VALUE"""),2.53)</f>
        <v>2.53</v>
      </c>
      <c r="F200" s="4">
        <f>IFERROR(__xludf.DUMMYFUNCTION("""COMPUTED_VALUE"""),26.59)</f>
        <v>26.59</v>
      </c>
      <c r="G200" s="4">
        <f>IFERROR(__xludf.DUMMYFUNCTION("""COMPUTED_VALUE"""),14.76)</f>
        <v>14.76</v>
      </c>
      <c r="H200" s="4">
        <f>IFERROR(__xludf.DUMMYFUNCTION("""COMPUTED_VALUE"""),0.0)</f>
        <v>0</v>
      </c>
      <c r="I200" s="4">
        <f>IFERROR(__xludf.DUMMYFUNCTION("""COMPUTED_VALUE"""),0.03)</f>
        <v>0.03</v>
      </c>
      <c r="J200" s="4">
        <f>IFERROR(__xludf.DUMMYFUNCTION("""COMPUTED_VALUE"""),0.0)</f>
        <v>0</v>
      </c>
      <c r="K200" s="4">
        <f>IFERROR(__xludf.DUMMYFUNCTION("""COMPUTED_VALUE"""),924.8857)</f>
        <v>924.8857</v>
      </c>
      <c r="L200" s="4">
        <f>IFERROR(__xludf.DUMMYFUNCTION("""COMPUTED_VALUE"""),2.746458292089498)</f>
        <v>2.746458292</v>
      </c>
    </row>
    <row r="201">
      <c r="A201" s="4" t="str">
        <f>IFERROR(__xludf.DUMMYFUNCTION("""COMPUTED_VALUE"""),"NGC2366")</f>
        <v>NGC2366</v>
      </c>
      <c r="B201" s="4">
        <f>IFERROR(__xludf.DUMMYFUNCTION("""COMPUTED_VALUE"""),3.27)</f>
        <v>3.27</v>
      </c>
      <c r="C201" s="4">
        <f>IFERROR(__xludf.DUMMYFUNCTION("""COMPUTED_VALUE"""),5.35)</f>
        <v>5.35</v>
      </c>
      <c r="D201" s="4">
        <f>IFERROR(__xludf.DUMMYFUNCTION("""COMPUTED_VALUE"""),48.5)</f>
        <v>48.5</v>
      </c>
      <c r="E201" s="4">
        <f>IFERROR(__xludf.DUMMYFUNCTION("""COMPUTED_VALUE"""),4.6)</f>
        <v>4.6</v>
      </c>
      <c r="F201" s="4">
        <f>IFERROR(__xludf.DUMMYFUNCTION("""COMPUTED_VALUE"""),26.69)</f>
        <v>26.69</v>
      </c>
      <c r="G201" s="4">
        <f>IFERROR(__xludf.DUMMYFUNCTION("""COMPUTED_VALUE"""),14.37)</f>
        <v>14.37</v>
      </c>
      <c r="H201" s="4">
        <f>IFERROR(__xludf.DUMMYFUNCTION("""COMPUTED_VALUE"""),0.0)</f>
        <v>0</v>
      </c>
      <c r="I201" s="4">
        <f>IFERROR(__xludf.DUMMYFUNCTION("""COMPUTED_VALUE"""),0.02)</f>
        <v>0.02</v>
      </c>
      <c r="J201" s="4">
        <f>IFERROR(__xludf.DUMMYFUNCTION("""COMPUTED_VALUE"""),0.0)</f>
        <v>0</v>
      </c>
      <c r="K201" s="4">
        <f>IFERROR(__xludf.DUMMYFUNCTION("""COMPUTED_VALUE"""),918.8530000000001)</f>
        <v>918.853</v>
      </c>
      <c r="L201" s="4">
        <f>IFERROR(__xludf.DUMMYFUNCTION("""COMPUTED_VALUE"""),2.5599851118731722)</f>
        <v>2.559985112</v>
      </c>
    </row>
    <row r="202">
      <c r="A202" s="4" t="str">
        <f>IFERROR(__xludf.DUMMYFUNCTION("""COMPUTED_VALUE"""),"NGC2366")</f>
        <v>NGC2366</v>
      </c>
      <c r="B202" s="4">
        <f>IFERROR(__xludf.DUMMYFUNCTION("""COMPUTED_VALUE"""),3.27)</f>
        <v>3.27</v>
      </c>
      <c r="C202" s="4">
        <f>IFERROR(__xludf.DUMMYFUNCTION("""COMPUTED_VALUE"""),5.59)</f>
        <v>5.59</v>
      </c>
      <c r="D202" s="4">
        <f>IFERROR(__xludf.DUMMYFUNCTION("""COMPUTED_VALUE"""),50.0)</f>
        <v>50</v>
      </c>
      <c r="E202" s="4">
        <f>IFERROR(__xludf.DUMMYFUNCTION("""COMPUTED_VALUE"""),5.91)</f>
        <v>5.91</v>
      </c>
      <c r="F202" s="4">
        <f>IFERROR(__xludf.DUMMYFUNCTION("""COMPUTED_VALUE"""),26.59)</f>
        <v>26.59</v>
      </c>
      <c r="G202" s="4">
        <f>IFERROR(__xludf.DUMMYFUNCTION("""COMPUTED_VALUE"""),14.01)</f>
        <v>14.01</v>
      </c>
      <c r="H202" s="4">
        <f>IFERROR(__xludf.DUMMYFUNCTION("""COMPUTED_VALUE"""),0.0)</f>
        <v>0</v>
      </c>
      <c r="I202" s="4">
        <f>IFERROR(__xludf.DUMMYFUNCTION("""COMPUTED_VALUE"""),0.02)</f>
        <v>0.02</v>
      </c>
      <c r="J202" s="4">
        <f>IFERROR(__xludf.DUMMYFUNCTION("""COMPUTED_VALUE"""),0.0)</f>
        <v>0</v>
      </c>
      <c r="K202" s="4">
        <f>IFERROR(__xludf.DUMMYFUNCTION("""COMPUTED_VALUE"""),903.3081999999999)</f>
        <v>903.3082</v>
      </c>
      <c r="L202" s="4">
        <f>IFERROR(__xludf.DUMMYFUNCTION("""COMPUTED_VALUE"""),2.7676046780046946)</f>
        <v>2.767604678</v>
      </c>
    </row>
    <row r="203">
      <c r="A203" s="4" t="str">
        <f>IFERROR(__xludf.DUMMYFUNCTION("""COMPUTED_VALUE"""),"NGC2366")</f>
        <v>NGC2366</v>
      </c>
      <c r="B203" s="4">
        <f>IFERROR(__xludf.DUMMYFUNCTION("""COMPUTED_VALUE"""),3.27)</f>
        <v>3.27</v>
      </c>
      <c r="C203" s="4">
        <f>IFERROR(__xludf.DUMMYFUNCTION("""COMPUTED_VALUE"""),5.82)</f>
        <v>5.82</v>
      </c>
      <c r="D203" s="4">
        <f>IFERROR(__xludf.DUMMYFUNCTION("""COMPUTED_VALUE"""),49.0)</f>
        <v>49</v>
      </c>
      <c r="E203" s="4">
        <f>IFERROR(__xludf.DUMMYFUNCTION("""COMPUTED_VALUE"""),7.42)</f>
        <v>7.42</v>
      </c>
      <c r="F203" s="4">
        <f>IFERROR(__xludf.DUMMYFUNCTION("""COMPUTED_VALUE"""),26.28)</f>
        <v>26.28</v>
      </c>
      <c r="G203" s="4">
        <f>IFERROR(__xludf.DUMMYFUNCTION("""COMPUTED_VALUE"""),13.7)</f>
        <v>13.7</v>
      </c>
      <c r="H203" s="4">
        <f>IFERROR(__xludf.DUMMYFUNCTION("""COMPUTED_VALUE"""),0.0)</f>
        <v>0</v>
      </c>
      <c r="I203" s="4">
        <f>IFERROR(__xludf.DUMMYFUNCTION("""COMPUTED_VALUE"""),0.01)</f>
        <v>0.01</v>
      </c>
      <c r="J203" s="4">
        <f>IFERROR(__xludf.DUMMYFUNCTION("""COMPUTED_VALUE"""),0.0)</f>
        <v>0</v>
      </c>
      <c r="K203" s="4">
        <f>IFERROR(__xludf.DUMMYFUNCTION("""COMPUTED_VALUE"""),878.3284)</f>
        <v>878.3284</v>
      </c>
      <c r="L203" s="4">
        <f>IFERROR(__xludf.DUMMYFUNCTION("""COMPUTED_VALUE"""),2.7336016915768635)</f>
        <v>2.733601692</v>
      </c>
    </row>
    <row r="204">
      <c r="A204" s="5" t="str">
        <f>IFERROR(__xludf.DUMMYFUNCTION("""COMPUTED_VALUE"""),"NGC2366")</f>
        <v>NGC2366</v>
      </c>
      <c r="B204" s="5">
        <f>IFERROR(__xludf.DUMMYFUNCTION("""COMPUTED_VALUE"""),3.27)</f>
        <v>3.27</v>
      </c>
      <c r="C204" s="5">
        <f>IFERROR(__xludf.DUMMYFUNCTION("""COMPUTED_VALUE"""),6.06)</f>
        <v>6.06</v>
      </c>
      <c r="D204" s="5">
        <f>IFERROR(__xludf.DUMMYFUNCTION("""COMPUTED_VALUE"""),49.4)</f>
        <v>49.4</v>
      </c>
      <c r="E204" s="5">
        <f>IFERROR(__xludf.DUMMYFUNCTION("""COMPUTED_VALUE"""),5.92)</f>
        <v>5.92</v>
      </c>
      <c r="F204" s="5">
        <f>IFERROR(__xludf.DUMMYFUNCTION("""COMPUTED_VALUE"""),26.18)</f>
        <v>26.18</v>
      </c>
      <c r="G204" s="5">
        <f>IFERROR(__xludf.DUMMYFUNCTION("""COMPUTED_VALUE"""),13.37)</f>
        <v>13.37</v>
      </c>
      <c r="H204" s="5">
        <f>IFERROR(__xludf.DUMMYFUNCTION("""COMPUTED_VALUE"""),0.0)</f>
        <v>0</v>
      </c>
      <c r="I204" s="5">
        <f>IFERROR(__xludf.DUMMYFUNCTION("""COMPUTED_VALUE"""),0.0)</f>
        <v>0</v>
      </c>
      <c r="J204" s="5">
        <f>IFERROR(__xludf.DUMMYFUNCTION("""COMPUTED_VALUE"""),0.0)</f>
        <v>0</v>
      </c>
      <c r="K204" s="5">
        <f>IFERROR(__xludf.DUMMYFUNCTION("""COMPUTED_VALUE"""),864.1492999999999)</f>
        <v>864.1493</v>
      </c>
      <c r="L204" s="5">
        <f>IFERROR(__xludf.DUMMYFUNCTION("""COMPUTED_VALUE"""),2.8240027504506453)</f>
        <v>2.82400275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" t="str">
        <f>IFERROR(__xludf.DUMMYFUNCTION("""COMPUTED_VALUE"""),"NGC2915")</f>
        <v>NGC2915</v>
      </c>
      <c r="B205" s="4">
        <f>IFERROR(__xludf.DUMMYFUNCTION("""COMPUTED_VALUE"""),4.06)</f>
        <v>4.06</v>
      </c>
      <c r="C205" s="4">
        <f>IFERROR(__xludf.DUMMYFUNCTION("""COMPUTED_VALUE"""),0.34)</f>
        <v>0.34</v>
      </c>
      <c r="D205" s="4">
        <f>IFERROR(__xludf.DUMMYFUNCTION("""COMPUTED_VALUE"""),13.5)</f>
        <v>13.5</v>
      </c>
      <c r="E205" s="4">
        <f>IFERROR(__xludf.DUMMYFUNCTION("""COMPUTED_VALUE"""),10.1)</f>
        <v>10.1</v>
      </c>
      <c r="F205" s="4">
        <f>IFERROR(__xludf.DUMMYFUNCTION("""COMPUTED_VALUE"""),4.08)</f>
        <v>4.08</v>
      </c>
      <c r="G205" s="4">
        <f>IFERROR(__xludf.DUMMYFUNCTION("""COMPUTED_VALUE"""),44.78)</f>
        <v>44.78</v>
      </c>
      <c r="H205" s="4">
        <f>IFERROR(__xludf.DUMMYFUNCTION("""COMPUTED_VALUE"""),0.0)</f>
        <v>0</v>
      </c>
      <c r="I205" s="4">
        <f>IFERROR(__xludf.DUMMYFUNCTION("""COMPUTED_VALUE"""),329.95)</f>
        <v>329.95</v>
      </c>
      <c r="J205" s="4">
        <f>IFERROR(__xludf.DUMMYFUNCTION("""COMPUTED_VALUE"""),0.0)</f>
        <v>0</v>
      </c>
      <c r="K205" s="4">
        <f>IFERROR(__xludf.DUMMYFUNCTION("""COMPUTED_VALUE"""),2021.8948000000003)</f>
        <v>2021.8948</v>
      </c>
      <c r="L205" s="4">
        <f>IFERROR(__xludf.DUMMYFUNCTION("""COMPUTED_VALUE"""),0.09013822084116344)</f>
        <v>0.09013822084</v>
      </c>
    </row>
    <row r="206">
      <c r="A206" s="4" t="str">
        <f>IFERROR(__xludf.DUMMYFUNCTION("""COMPUTED_VALUE"""),"NGC2915")</f>
        <v>NGC2915</v>
      </c>
      <c r="B206" s="4">
        <f>IFERROR(__xludf.DUMMYFUNCTION("""COMPUTED_VALUE"""),4.06)</f>
        <v>4.06</v>
      </c>
      <c r="C206" s="4">
        <f>IFERROR(__xludf.DUMMYFUNCTION("""COMPUTED_VALUE"""),0.67)</f>
        <v>0.67</v>
      </c>
      <c r="D206" s="4">
        <f>IFERROR(__xludf.DUMMYFUNCTION("""COMPUTED_VALUE"""),31.3)</f>
        <v>31.3</v>
      </c>
      <c r="E206" s="4">
        <f>IFERROR(__xludf.DUMMYFUNCTION("""COMPUTED_VALUE"""),12.5)</f>
        <v>12.5</v>
      </c>
      <c r="F206" s="4">
        <f>IFERROR(__xludf.DUMMYFUNCTION("""COMPUTED_VALUE"""),7.65)</f>
        <v>7.65</v>
      </c>
      <c r="G206" s="4">
        <f>IFERROR(__xludf.DUMMYFUNCTION("""COMPUTED_VALUE"""),48.88)</f>
        <v>48.88</v>
      </c>
      <c r="H206" s="4">
        <f>IFERROR(__xludf.DUMMYFUNCTION("""COMPUTED_VALUE"""),0.0)</f>
        <v>0</v>
      </c>
      <c r="I206" s="4">
        <f>IFERROR(__xludf.DUMMYFUNCTION("""COMPUTED_VALUE"""),91.07)</f>
        <v>91.07</v>
      </c>
      <c r="J206" s="4">
        <f>IFERROR(__xludf.DUMMYFUNCTION("""COMPUTED_VALUE"""),0.0)</f>
        <v>0</v>
      </c>
      <c r="K206" s="4">
        <f>IFERROR(__xludf.DUMMYFUNCTION("""COMPUTED_VALUE"""),2447.7769000000003)</f>
        <v>2447.7769</v>
      </c>
      <c r="L206" s="4">
        <f>IFERROR(__xludf.DUMMYFUNCTION("""COMPUTED_VALUE"""),0.4002366392133204)</f>
        <v>0.4002366392</v>
      </c>
    </row>
    <row r="207">
      <c r="A207" s="4" t="str">
        <f>IFERROR(__xludf.DUMMYFUNCTION("""COMPUTED_VALUE"""),"NGC2915")</f>
        <v>NGC2915</v>
      </c>
      <c r="B207" s="4">
        <f>IFERROR(__xludf.DUMMYFUNCTION("""COMPUTED_VALUE"""),4.06)</f>
        <v>4.06</v>
      </c>
      <c r="C207" s="4">
        <f>IFERROR(__xludf.DUMMYFUNCTION("""COMPUTED_VALUE"""),1.0)</f>
        <v>1</v>
      </c>
      <c r="D207" s="4">
        <f>IFERROR(__xludf.DUMMYFUNCTION("""COMPUTED_VALUE"""),35.3)</f>
        <v>35.3</v>
      </c>
      <c r="E207" s="4">
        <f>IFERROR(__xludf.DUMMYFUNCTION("""COMPUTED_VALUE"""),13.4)</f>
        <v>13.4</v>
      </c>
      <c r="F207" s="4">
        <f>IFERROR(__xludf.DUMMYFUNCTION("""COMPUTED_VALUE"""),10.36)</f>
        <v>10.36</v>
      </c>
      <c r="G207" s="4">
        <f>IFERROR(__xludf.DUMMYFUNCTION("""COMPUTED_VALUE"""),46.82)</f>
        <v>46.82</v>
      </c>
      <c r="H207" s="4">
        <f>IFERROR(__xludf.DUMMYFUNCTION("""COMPUTED_VALUE"""),0.0)</f>
        <v>0</v>
      </c>
      <c r="I207" s="4">
        <f>IFERROR(__xludf.DUMMYFUNCTION("""COMPUTED_VALUE"""),36.28)</f>
        <v>36.28</v>
      </c>
      <c r="J207" s="4">
        <f>IFERROR(__xludf.DUMMYFUNCTION("""COMPUTED_VALUE"""),0.0)</f>
        <v>0</v>
      </c>
      <c r="K207" s="4">
        <f>IFERROR(__xludf.DUMMYFUNCTION("""COMPUTED_VALUE"""),2299.442)</f>
        <v>2299.442</v>
      </c>
      <c r="L207" s="4">
        <f>IFERROR(__xludf.DUMMYFUNCTION("""COMPUTED_VALUE"""),0.541909732883021)</f>
        <v>0.5419097329</v>
      </c>
    </row>
    <row r="208">
      <c r="A208" s="4" t="str">
        <f>IFERROR(__xludf.DUMMYFUNCTION("""COMPUTED_VALUE"""),"NGC2915")</f>
        <v>NGC2915</v>
      </c>
      <c r="B208" s="4">
        <f>IFERROR(__xludf.DUMMYFUNCTION("""COMPUTED_VALUE"""),4.06)</f>
        <v>4.06</v>
      </c>
      <c r="C208" s="4">
        <f>IFERROR(__xludf.DUMMYFUNCTION("""COMPUTED_VALUE"""),1.34)</f>
        <v>1.34</v>
      </c>
      <c r="D208" s="4">
        <f>IFERROR(__xludf.DUMMYFUNCTION("""COMPUTED_VALUE"""),50.5)</f>
        <v>50.5</v>
      </c>
      <c r="E208" s="4">
        <f>IFERROR(__xludf.DUMMYFUNCTION("""COMPUTED_VALUE"""),9.38)</f>
        <v>9.38</v>
      </c>
      <c r="F208" s="4">
        <f>IFERROR(__xludf.DUMMYFUNCTION("""COMPUTED_VALUE"""),11.92)</f>
        <v>11.92</v>
      </c>
      <c r="G208" s="4">
        <f>IFERROR(__xludf.DUMMYFUNCTION("""COMPUTED_VALUE"""),43.88)</f>
        <v>43.88</v>
      </c>
      <c r="H208" s="4">
        <f>IFERROR(__xludf.DUMMYFUNCTION("""COMPUTED_VALUE"""),0.0)</f>
        <v>0</v>
      </c>
      <c r="I208" s="4">
        <f>IFERROR(__xludf.DUMMYFUNCTION("""COMPUTED_VALUE"""),16.86)</f>
        <v>16.86</v>
      </c>
      <c r="J208" s="4">
        <f>IFERROR(__xludf.DUMMYFUNCTION("""COMPUTED_VALUE"""),0.0)</f>
        <v>0</v>
      </c>
      <c r="K208" s="4">
        <f>IFERROR(__xludf.DUMMYFUNCTION("""COMPUTED_VALUE"""),2067.5408)</f>
        <v>2067.5408</v>
      </c>
      <c r="L208" s="4">
        <f>IFERROR(__xludf.DUMMYFUNCTION("""COMPUTED_VALUE"""),1.2334702173712846)</f>
        <v>1.233470217</v>
      </c>
    </row>
    <row r="209">
      <c r="A209" s="4" t="str">
        <f>IFERROR(__xludf.DUMMYFUNCTION("""COMPUTED_VALUE"""),"NGC2915")</f>
        <v>NGC2915</v>
      </c>
      <c r="B209" s="4">
        <f>IFERROR(__xludf.DUMMYFUNCTION("""COMPUTED_VALUE"""),4.06)</f>
        <v>4.06</v>
      </c>
      <c r="C209" s="4">
        <f>IFERROR(__xludf.DUMMYFUNCTION("""COMPUTED_VALUE"""),1.68)</f>
        <v>1.68</v>
      </c>
      <c r="D209" s="4">
        <f>IFERROR(__xludf.DUMMYFUNCTION("""COMPUTED_VALUE"""),61.0)</f>
        <v>61</v>
      </c>
      <c r="E209" s="4">
        <f>IFERROR(__xludf.DUMMYFUNCTION("""COMPUTED_VALUE"""),10.1)</f>
        <v>10.1</v>
      </c>
      <c r="F209" s="4">
        <f>IFERROR(__xludf.DUMMYFUNCTION("""COMPUTED_VALUE"""),12.33)</f>
        <v>12.33</v>
      </c>
      <c r="G209" s="4">
        <f>IFERROR(__xludf.DUMMYFUNCTION("""COMPUTED_VALUE"""),40.74)</f>
        <v>40.74</v>
      </c>
      <c r="H209" s="4">
        <f>IFERROR(__xludf.DUMMYFUNCTION("""COMPUTED_VALUE"""),0.0)</f>
        <v>0</v>
      </c>
      <c r="I209" s="4">
        <f>IFERROR(__xludf.DUMMYFUNCTION("""COMPUTED_VALUE"""),8.72)</f>
        <v>8.72</v>
      </c>
      <c r="J209" s="4">
        <f>IFERROR(__xludf.DUMMYFUNCTION("""COMPUTED_VALUE"""),0.0)</f>
        <v>0</v>
      </c>
      <c r="K209" s="4">
        <f>IFERROR(__xludf.DUMMYFUNCTION("""COMPUTED_VALUE"""),1811.7765000000002)</f>
        <v>1811.7765</v>
      </c>
      <c r="L209" s="4">
        <f>IFERROR(__xludf.DUMMYFUNCTION("""COMPUTED_VALUE"""),2.0537853316896424)</f>
        <v>2.053785332</v>
      </c>
    </row>
    <row r="210">
      <c r="A210" s="4" t="str">
        <f>IFERROR(__xludf.DUMMYFUNCTION("""COMPUTED_VALUE"""),"NGC2915")</f>
        <v>NGC2915</v>
      </c>
      <c r="B210" s="4">
        <f>IFERROR(__xludf.DUMMYFUNCTION("""COMPUTED_VALUE"""),4.06)</f>
        <v>4.06</v>
      </c>
      <c r="C210" s="4">
        <f>IFERROR(__xludf.DUMMYFUNCTION("""COMPUTED_VALUE"""),2.01)</f>
        <v>2.01</v>
      </c>
      <c r="D210" s="4">
        <f>IFERROR(__xludf.DUMMYFUNCTION("""COMPUTED_VALUE"""),66.5)</f>
        <v>66.5</v>
      </c>
      <c r="E210" s="4">
        <f>IFERROR(__xludf.DUMMYFUNCTION("""COMPUTED_VALUE"""),11.9)</f>
        <v>11.9</v>
      </c>
      <c r="F210" s="4">
        <f>IFERROR(__xludf.DUMMYFUNCTION("""COMPUTED_VALUE"""),12.44)</f>
        <v>12.44</v>
      </c>
      <c r="G210" s="4">
        <f>IFERROR(__xludf.DUMMYFUNCTION("""COMPUTED_VALUE"""),38.01)</f>
        <v>38.01</v>
      </c>
      <c r="H210" s="4">
        <f>IFERROR(__xludf.DUMMYFUNCTION("""COMPUTED_VALUE"""),0.0)</f>
        <v>0</v>
      </c>
      <c r="I210" s="4">
        <f>IFERROR(__xludf.DUMMYFUNCTION("""COMPUTED_VALUE"""),4.56)</f>
        <v>4.56</v>
      </c>
      <c r="J210" s="4">
        <f>IFERROR(__xludf.DUMMYFUNCTION("""COMPUTED_VALUE"""),0.0)</f>
        <v>0</v>
      </c>
      <c r="K210" s="4">
        <f>IFERROR(__xludf.DUMMYFUNCTION("""COMPUTED_VALUE"""),1599.5136999999997)</f>
        <v>1599.5137</v>
      </c>
      <c r="L210" s="4">
        <f>IFERROR(__xludf.DUMMYFUNCTION("""COMPUTED_VALUE"""),2.7647465601576284)</f>
        <v>2.76474656</v>
      </c>
    </row>
    <row r="211">
      <c r="A211" s="4" t="str">
        <f>IFERROR(__xludf.DUMMYFUNCTION("""COMPUTED_VALUE"""),"NGC2915")</f>
        <v>NGC2915</v>
      </c>
      <c r="B211" s="4">
        <f>IFERROR(__xludf.DUMMYFUNCTION("""COMPUTED_VALUE"""),4.06)</f>
        <v>4.06</v>
      </c>
      <c r="C211" s="4">
        <f>IFERROR(__xludf.DUMMYFUNCTION("""COMPUTED_VALUE"""),2.34)</f>
        <v>2.34</v>
      </c>
      <c r="D211" s="4">
        <f>IFERROR(__xludf.DUMMYFUNCTION("""COMPUTED_VALUE"""),74.4)</f>
        <v>74.4</v>
      </c>
      <c r="E211" s="4">
        <f>IFERROR(__xludf.DUMMYFUNCTION("""COMPUTED_VALUE"""),11.6)</f>
        <v>11.6</v>
      </c>
      <c r="F211" s="4">
        <f>IFERROR(__xludf.DUMMYFUNCTION("""COMPUTED_VALUE"""),12.54)</f>
        <v>12.54</v>
      </c>
      <c r="G211" s="4">
        <f>IFERROR(__xludf.DUMMYFUNCTION("""COMPUTED_VALUE"""),35.66)</f>
        <v>35.66</v>
      </c>
      <c r="H211" s="4">
        <f>IFERROR(__xludf.DUMMYFUNCTION("""COMPUTED_VALUE"""),0.0)</f>
        <v>0</v>
      </c>
      <c r="I211" s="4">
        <f>IFERROR(__xludf.DUMMYFUNCTION("""COMPUTED_VALUE"""),2.91)</f>
        <v>2.91</v>
      </c>
      <c r="J211" s="4">
        <f>IFERROR(__xludf.DUMMYFUNCTION("""COMPUTED_VALUE"""),0.0)</f>
        <v>0</v>
      </c>
      <c r="K211" s="4">
        <f>IFERROR(__xludf.DUMMYFUNCTION("""COMPUTED_VALUE"""),1428.8872)</f>
        <v>1428.8872</v>
      </c>
      <c r="L211" s="4">
        <f>IFERROR(__xludf.DUMMYFUNCTION("""COMPUTED_VALUE"""),3.873895714091358)</f>
        <v>3.873895714</v>
      </c>
    </row>
    <row r="212">
      <c r="A212" s="4" t="str">
        <f>IFERROR(__xludf.DUMMYFUNCTION("""COMPUTED_VALUE"""),"NGC2915")</f>
        <v>NGC2915</v>
      </c>
      <c r="B212" s="4">
        <f>IFERROR(__xludf.DUMMYFUNCTION("""COMPUTED_VALUE"""),4.06)</f>
        <v>4.06</v>
      </c>
      <c r="C212" s="4">
        <f>IFERROR(__xludf.DUMMYFUNCTION("""COMPUTED_VALUE"""),2.67)</f>
        <v>2.67</v>
      </c>
      <c r="D212" s="4">
        <f>IFERROR(__xludf.DUMMYFUNCTION("""COMPUTED_VALUE"""),83.0)</f>
        <v>83</v>
      </c>
      <c r="E212" s="4">
        <f>IFERROR(__xludf.DUMMYFUNCTION("""COMPUTED_VALUE"""),9.17)</f>
        <v>9.17</v>
      </c>
      <c r="F212" s="4">
        <f>IFERROR(__xludf.DUMMYFUNCTION("""COMPUTED_VALUE"""),12.44)</f>
        <v>12.44</v>
      </c>
      <c r="G212" s="4">
        <f>IFERROR(__xludf.DUMMYFUNCTION("""COMPUTED_VALUE"""),33.66)</f>
        <v>33.66</v>
      </c>
      <c r="H212" s="4">
        <f>IFERROR(__xludf.DUMMYFUNCTION("""COMPUTED_VALUE"""),0.0)</f>
        <v>0</v>
      </c>
      <c r="I212" s="4">
        <f>IFERROR(__xludf.DUMMYFUNCTION("""COMPUTED_VALUE"""),1.6)</f>
        <v>1.6</v>
      </c>
      <c r="J212" s="4">
        <f>IFERROR(__xludf.DUMMYFUNCTION("""COMPUTED_VALUE"""),0.0)</f>
        <v>0</v>
      </c>
      <c r="K212" s="4">
        <f>IFERROR(__xludf.DUMMYFUNCTION("""COMPUTED_VALUE"""),1287.7491999999997)</f>
        <v>1287.7492</v>
      </c>
      <c r="L212" s="4">
        <f>IFERROR(__xludf.DUMMYFUNCTION("""COMPUTED_VALUE"""),5.349644169843011)</f>
        <v>5.34964417</v>
      </c>
    </row>
    <row r="213">
      <c r="A213" s="4" t="str">
        <f>IFERROR(__xludf.DUMMYFUNCTION("""COMPUTED_VALUE"""),"NGC2915")</f>
        <v>NGC2915</v>
      </c>
      <c r="B213" s="4">
        <f>IFERROR(__xludf.DUMMYFUNCTION("""COMPUTED_VALUE"""),4.06)</f>
        <v>4.06</v>
      </c>
      <c r="C213" s="4">
        <f>IFERROR(__xludf.DUMMYFUNCTION("""COMPUTED_VALUE"""),3.01)</f>
        <v>3.01</v>
      </c>
      <c r="D213" s="4">
        <f>IFERROR(__xludf.DUMMYFUNCTION("""COMPUTED_VALUE"""),86.4)</f>
        <v>86.4</v>
      </c>
      <c r="E213" s="4">
        <f>IFERROR(__xludf.DUMMYFUNCTION("""COMPUTED_VALUE"""),7.66)</f>
        <v>7.66</v>
      </c>
      <c r="F213" s="4">
        <f>IFERROR(__xludf.DUMMYFUNCTION("""COMPUTED_VALUE"""),12.13)</f>
        <v>12.13</v>
      </c>
      <c r="G213" s="4">
        <f>IFERROR(__xludf.DUMMYFUNCTION("""COMPUTED_VALUE"""),31.74)</f>
        <v>31.74</v>
      </c>
      <c r="H213" s="4">
        <f>IFERROR(__xludf.DUMMYFUNCTION("""COMPUTED_VALUE"""),0.0)</f>
        <v>0</v>
      </c>
      <c r="I213" s="4">
        <f>IFERROR(__xludf.DUMMYFUNCTION("""COMPUTED_VALUE"""),0.88)</f>
        <v>0.88</v>
      </c>
      <c r="J213" s="4">
        <f>IFERROR(__xludf.DUMMYFUNCTION("""COMPUTED_VALUE"""),0.0)</f>
        <v>0</v>
      </c>
      <c r="K213" s="4">
        <f>IFERROR(__xludf.DUMMYFUNCTION("""COMPUTED_VALUE"""),1154.5645)</f>
        <v>1154.5645</v>
      </c>
      <c r="L213" s="4">
        <f>IFERROR(__xludf.DUMMYFUNCTION("""COMPUTED_VALUE"""),6.465606728770893)</f>
        <v>6.465606729</v>
      </c>
    </row>
    <row r="214">
      <c r="A214" s="4" t="str">
        <f>IFERROR(__xludf.DUMMYFUNCTION("""COMPUTED_VALUE"""),"NGC2915")</f>
        <v>NGC2915</v>
      </c>
      <c r="B214" s="4">
        <f>IFERROR(__xludf.DUMMYFUNCTION("""COMPUTED_VALUE"""),4.06)</f>
        <v>4.06</v>
      </c>
      <c r="C214" s="4">
        <f>IFERROR(__xludf.DUMMYFUNCTION("""COMPUTED_VALUE"""),3.35)</f>
        <v>3.35</v>
      </c>
      <c r="D214" s="4">
        <f>IFERROR(__xludf.DUMMYFUNCTION("""COMPUTED_VALUE"""),83.6)</f>
        <v>83.6</v>
      </c>
      <c r="E214" s="4">
        <f>IFERROR(__xludf.DUMMYFUNCTION("""COMPUTED_VALUE"""),8.18)</f>
        <v>8.18</v>
      </c>
      <c r="F214" s="4">
        <f>IFERROR(__xludf.DUMMYFUNCTION("""COMPUTED_VALUE"""),12.02)</f>
        <v>12.02</v>
      </c>
      <c r="G214" s="4">
        <f>IFERROR(__xludf.DUMMYFUNCTION("""COMPUTED_VALUE"""),29.95)</f>
        <v>29.95</v>
      </c>
      <c r="H214" s="4">
        <f>IFERROR(__xludf.DUMMYFUNCTION("""COMPUTED_VALUE"""),0.0)</f>
        <v>0</v>
      </c>
      <c r="I214" s="4">
        <f>IFERROR(__xludf.DUMMYFUNCTION("""COMPUTED_VALUE"""),0.43)</f>
        <v>0.43</v>
      </c>
      <c r="J214" s="4">
        <f>IFERROR(__xludf.DUMMYFUNCTION("""COMPUTED_VALUE"""),0.0)</f>
        <v>0</v>
      </c>
      <c r="K214" s="4">
        <f>IFERROR(__xludf.DUMMYFUNCTION("""COMPUTED_VALUE"""),1041.4829)</f>
        <v>1041.4829</v>
      </c>
      <c r="L214" s="4">
        <f>IFERROR(__xludf.DUMMYFUNCTION("""COMPUTED_VALUE"""),6.7105854546435655)</f>
        <v>6.710585455</v>
      </c>
    </row>
    <row r="215">
      <c r="A215" s="4" t="str">
        <f>IFERROR(__xludf.DUMMYFUNCTION("""COMPUTED_VALUE"""),"NGC2915")</f>
        <v>NGC2915</v>
      </c>
      <c r="B215" s="4">
        <f>IFERROR(__xludf.DUMMYFUNCTION("""COMPUTED_VALUE"""),4.06)</f>
        <v>4.06</v>
      </c>
      <c r="C215" s="4">
        <f>IFERROR(__xludf.DUMMYFUNCTION("""COMPUTED_VALUE"""),3.68)</f>
        <v>3.68</v>
      </c>
      <c r="D215" s="4">
        <f>IFERROR(__xludf.DUMMYFUNCTION("""COMPUTED_VALUE"""),79.8)</f>
        <v>79.8</v>
      </c>
      <c r="E215" s="4">
        <f>IFERROR(__xludf.DUMMYFUNCTION("""COMPUTED_VALUE"""),7.93)</f>
        <v>7.93</v>
      </c>
      <c r="F215" s="4">
        <f>IFERROR(__xludf.DUMMYFUNCTION("""COMPUTED_VALUE"""),12.54)</f>
        <v>12.54</v>
      </c>
      <c r="G215" s="4">
        <f>IFERROR(__xludf.DUMMYFUNCTION("""COMPUTED_VALUE"""),28.46)</f>
        <v>28.46</v>
      </c>
      <c r="H215" s="4">
        <f>IFERROR(__xludf.DUMMYFUNCTION("""COMPUTED_VALUE"""),0.0)</f>
        <v>0</v>
      </c>
      <c r="I215" s="4">
        <f>IFERROR(__xludf.DUMMYFUNCTION("""COMPUTED_VALUE"""),0.24)</f>
        <v>0.24</v>
      </c>
      <c r="J215" s="4">
        <f>IFERROR(__xludf.DUMMYFUNCTION("""COMPUTED_VALUE"""),0.0)</f>
        <v>0</v>
      </c>
      <c r="K215" s="4">
        <f>IFERROR(__xludf.DUMMYFUNCTION("""COMPUTED_VALUE"""),967.2232)</f>
        <v>967.2232</v>
      </c>
      <c r="L215" s="4">
        <f>IFERROR(__xludf.DUMMYFUNCTION("""COMPUTED_VALUE"""),6.583837112261161)</f>
        <v>6.583837112</v>
      </c>
    </row>
    <row r="216">
      <c r="A216" s="4" t="str">
        <f>IFERROR(__xludf.DUMMYFUNCTION("""COMPUTED_VALUE"""),"NGC2915")</f>
        <v>NGC2915</v>
      </c>
      <c r="B216" s="4">
        <f>IFERROR(__xludf.DUMMYFUNCTION("""COMPUTED_VALUE"""),4.06)</f>
        <v>4.06</v>
      </c>
      <c r="C216" s="4">
        <f>IFERROR(__xludf.DUMMYFUNCTION("""COMPUTED_VALUE"""),4.02)</f>
        <v>4.02</v>
      </c>
      <c r="D216" s="4">
        <f>IFERROR(__xludf.DUMMYFUNCTION("""COMPUTED_VALUE"""),82.8)</f>
        <v>82.8</v>
      </c>
      <c r="E216" s="4">
        <f>IFERROR(__xludf.DUMMYFUNCTION("""COMPUTED_VALUE"""),6.95)</f>
        <v>6.95</v>
      </c>
      <c r="F216" s="4">
        <f>IFERROR(__xludf.DUMMYFUNCTION("""COMPUTED_VALUE"""),13.47)</f>
        <v>13.47</v>
      </c>
      <c r="G216" s="4">
        <f>IFERROR(__xludf.DUMMYFUNCTION("""COMPUTED_VALUE"""),27.13)</f>
        <v>27.13</v>
      </c>
      <c r="H216" s="4">
        <f>IFERROR(__xludf.DUMMYFUNCTION("""COMPUTED_VALUE"""),0.0)</f>
        <v>0</v>
      </c>
      <c r="I216" s="4">
        <f>IFERROR(__xludf.DUMMYFUNCTION("""COMPUTED_VALUE"""),0.13)</f>
        <v>0.13</v>
      </c>
      <c r="J216" s="4">
        <f>IFERROR(__xludf.DUMMYFUNCTION("""COMPUTED_VALUE"""),0.0)</f>
        <v>0</v>
      </c>
      <c r="K216" s="4">
        <f>IFERROR(__xludf.DUMMYFUNCTION("""COMPUTED_VALUE"""),917.4778)</f>
        <v>917.4778</v>
      </c>
      <c r="L216" s="4">
        <f>IFERROR(__xludf.DUMMYFUNCTION("""COMPUTED_VALUE"""),7.472485982767102)</f>
        <v>7.472485983</v>
      </c>
    </row>
    <row r="217">
      <c r="A217" s="4" t="str">
        <f>IFERROR(__xludf.DUMMYFUNCTION("""COMPUTED_VALUE"""),"NGC2915")</f>
        <v>NGC2915</v>
      </c>
      <c r="B217" s="4">
        <f>IFERROR(__xludf.DUMMYFUNCTION("""COMPUTED_VALUE"""),4.06)</f>
        <v>4.06</v>
      </c>
      <c r="C217" s="4">
        <f>IFERROR(__xludf.DUMMYFUNCTION("""COMPUTED_VALUE"""),4.35)</f>
        <v>4.35</v>
      </c>
      <c r="D217" s="4">
        <f>IFERROR(__xludf.DUMMYFUNCTION("""COMPUTED_VALUE"""),83.5)</f>
        <v>83.5</v>
      </c>
      <c r="E217" s="4">
        <f>IFERROR(__xludf.DUMMYFUNCTION("""COMPUTED_VALUE"""),7.19)</f>
        <v>7.19</v>
      </c>
      <c r="F217" s="4">
        <f>IFERROR(__xludf.DUMMYFUNCTION("""COMPUTED_VALUE"""),14.61)</f>
        <v>14.61</v>
      </c>
      <c r="G217" s="4">
        <f>IFERROR(__xludf.DUMMYFUNCTION("""COMPUTED_VALUE"""),25.93)</f>
        <v>25.93</v>
      </c>
      <c r="H217" s="4">
        <f>IFERROR(__xludf.DUMMYFUNCTION("""COMPUTED_VALUE"""),0.0)</f>
        <v>0</v>
      </c>
      <c r="I217" s="4">
        <f>IFERROR(__xludf.DUMMYFUNCTION("""COMPUTED_VALUE"""),0.07)</f>
        <v>0.07</v>
      </c>
      <c r="J217" s="4">
        <f>IFERROR(__xludf.DUMMYFUNCTION("""COMPUTED_VALUE"""),0.0)</f>
        <v>0</v>
      </c>
      <c r="K217" s="4">
        <f>IFERROR(__xludf.DUMMYFUNCTION("""COMPUTED_VALUE"""),885.817)</f>
        <v>885.817</v>
      </c>
      <c r="L217" s="4">
        <f>IFERROR(__xludf.DUMMYFUNCTION("""COMPUTED_VALUE"""),7.8709823812367565)</f>
        <v>7.870982381</v>
      </c>
    </row>
    <row r="218">
      <c r="A218" s="4" t="str">
        <f>IFERROR(__xludf.DUMMYFUNCTION("""COMPUTED_VALUE"""),"NGC2915")</f>
        <v>NGC2915</v>
      </c>
      <c r="B218" s="4">
        <f>IFERROR(__xludf.DUMMYFUNCTION("""COMPUTED_VALUE"""),4.06)</f>
        <v>4.06</v>
      </c>
      <c r="C218" s="4">
        <f>IFERROR(__xludf.DUMMYFUNCTION("""COMPUTED_VALUE"""),4.68)</f>
        <v>4.68</v>
      </c>
      <c r="D218" s="4">
        <f>IFERROR(__xludf.DUMMYFUNCTION("""COMPUTED_VALUE"""),80.4)</f>
        <v>80.4</v>
      </c>
      <c r="E218" s="4">
        <f>IFERROR(__xludf.DUMMYFUNCTION("""COMPUTED_VALUE"""),7.85)</f>
        <v>7.85</v>
      </c>
      <c r="F218" s="4">
        <f>IFERROR(__xludf.DUMMYFUNCTION("""COMPUTED_VALUE"""),15.44)</f>
        <v>15.44</v>
      </c>
      <c r="G218" s="4">
        <f>IFERROR(__xludf.DUMMYFUNCTION("""COMPUTED_VALUE"""),24.93)</f>
        <v>24.93</v>
      </c>
      <c r="H218" s="4">
        <f>IFERROR(__xludf.DUMMYFUNCTION("""COMPUTED_VALUE"""),0.0)</f>
        <v>0</v>
      </c>
      <c r="I218" s="4">
        <f>IFERROR(__xludf.DUMMYFUNCTION("""COMPUTED_VALUE"""),0.04)</f>
        <v>0.04</v>
      </c>
      <c r="J218" s="4">
        <f>IFERROR(__xludf.DUMMYFUNCTION("""COMPUTED_VALUE"""),0.0)</f>
        <v>0</v>
      </c>
      <c r="K218" s="4">
        <f>IFERROR(__xludf.DUMMYFUNCTION("""COMPUTED_VALUE"""),859.8985)</f>
        <v>859.8985</v>
      </c>
      <c r="L218" s="4">
        <f>IFERROR(__xludf.DUMMYFUNCTION("""COMPUTED_VALUE"""),7.517352338677182)</f>
        <v>7.517352339</v>
      </c>
    </row>
    <row r="219">
      <c r="A219" s="4" t="str">
        <f>IFERROR(__xludf.DUMMYFUNCTION("""COMPUTED_VALUE"""),"NGC2915")</f>
        <v>NGC2915</v>
      </c>
      <c r="B219" s="4">
        <f>IFERROR(__xludf.DUMMYFUNCTION("""COMPUTED_VALUE"""),4.06)</f>
        <v>4.06</v>
      </c>
      <c r="C219" s="4">
        <f>IFERROR(__xludf.DUMMYFUNCTION("""COMPUTED_VALUE"""),5.02)</f>
        <v>5.02</v>
      </c>
      <c r="D219" s="4">
        <f>IFERROR(__xludf.DUMMYFUNCTION("""COMPUTED_VALUE"""),80.3)</f>
        <v>80.3</v>
      </c>
      <c r="E219" s="4">
        <f>IFERROR(__xludf.DUMMYFUNCTION("""COMPUTED_VALUE"""),7.57)</f>
        <v>7.57</v>
      </c>
      <c r="F219" s="4">
        <f>IFERROR(__xludf.DUMMYFUNCTION("""COMPUTED_VALUE"""),15.86)</f>
        <v>15.86</v>
      </c>
      <c r="G219" s="4">
        <f>IFERROR(__xludf.DUMMYFUNCTION("""COMPUTED_VALUE"""),24.0)</f>
        <v>24</v>
      </c>
      <c r="H219" s="4">
        <f>IFERROR(__xludf.DUMMYFUNCTION("""COMPUTED_VALUE"""),0.0)</f>
        <v>0</v>
      </c>
      <c r="I219" s="4">
        <f>IFERROR(__xludf.DUMMYFUNCTION("""COMPUTED_VALUE"""),0.02)</f>
        <v>0.02</v>
      </c>
      <c r="J219" s="4">
        <f>IFERROR(__xludf.DUMMYFUNCTION("""COMPUTED_VALUE"""),0.0)</f>
        <v>0</v>
      </c>
      <c r="K219" s="4">
        <f>IFERROR(__xludf.DUMMYFUNCTION("""COMPUTED_VALUE"""),827.5396)</f>
        <v>827.5396</v>
      </c>
      <c r="L219" s="4">
        <f>IFERROR(__xludf.DUMMYFUNCTION("""COMPUTED_VALUE"""),7.791880896092464)</f>
        <v>7.791880896</v>
      </c>
    </row>
    <row r="220">
      <c r="A220" s="4" t="str">
        <f>IFERROR(__xludf.DUMMYFUNCTION("""COMPUTED_VALUE"""),"NGC2915")</f>
        <v>NGC2915</v>
      </c>
      <c r="B220" s="4">
        <f>IFERROR(__xludf.DUMMYFUNCTION("""COMPUTED_VALUE"""),4.06)</f>
        <v>4.06</v>
      </c>
      <c r="C220" s="4">
        <f>IFERROR(__xludf.DUMMYFUNCTION("""COMPUTED_VALUE"""),5.35)</f>
        <v>5.35</v>
      </c>
      <c r="D220" s="4">
        <f>IFERROR(__xludf.DUMMYFUNCTION("""COMPUTED_VALUE"""),82.1)</f>
        <v>82.1</v>
      </c>
      <c r="E220" s="4">
        <f>IFERROR(__xludf.DUMMYFUNCTION("""COMPUTED_VALUE"""),7.92)</f>
        <v>7.92</v>
      </c>
      <c r="F220" s="4">
        <f>IFERROR(__xludf.DUMMYFUNCTION("""COMPUTED_VALUE"""),15.86)</f>
        <v>15.86</v>
      </c>
      <c r="G220" s="4">
        <f>IFERROR(__xludf.DUMMYFUNCTION("""COMPUTED_VALUE"""),23.2)</f>
        <v>23.2</v>
      </c>
      <c r="H220" s="4">
        <f>IFERROR(__xludf.DUMMYFUNCTION("""COMPUTED_VALUE"""),0.0)</f>
        <v>0</v>
      </c>
      <c r="I220" s="4">
        <f>IFERROR(__xludf.DUMMYFUNCTION("""COMPUTED_VALUE"""),0.01)</f>
        <v>0.01</v>
      </c>
      <c r="J220" s="4">
        <f>IFERROR(__xludf.DUMMYFUNCTION("""COMPUTED_VALUE"""),0.0)</f>
        <v>0</v>
      </c>
      <c r="K220" s="4">
        <f>IFERROR(__xludf.DUMMYFUNCTION("""COMPUTED_VALUE"""),789.7796)</f>
        <v>789.7796</v>
      </c>
      <c r="L220" s="4">
        <f>IFERROR(__xludf.DUMMYFUNCTION("""COMPUTED_VALUE"""),8.534545587148616)</f>
        <v>8.534545587</v>
      </c>
    </row>
    <row r="221">
      <c r="A221" s="4" t="str">
        <f>IFERROR(__xludf.DUMMYFUNCTION("""COMPUTED_VALUE"""),"NGC2915")</f>
        <v>NGC2915</v>
      </c>
      <c r="B221" s="4">
        <f>IFERROR(__xludf.DUMMYFUNCTION("""COMPUTED_VALUE"""),4.06)</f>
        <v>4.06</v>
      </c>
      <c r="C221" s="4">
        <f>IFERROR(__xludf.DUMMYFUNCTION("""COMPUTED_VALUE"""),5.69)</f>
        <v>5.69</v>
      </c>
      <c r="D221" s="4">
        <f>IFERROR(__xludf.DUMMYFUNCTION("""COMPUTED_VALUE"""),82.4)</f>
        <v>82.4</v>
      </c>
      <c r="E221" s="4">
        <f>IFERROR(__xludf.DUMMYFUNCTION("""COMPUTED_VALUE"""),8.33)</f>
        <v>8.33</v>
      </c>
      <c r="F221" s="4">
        <f>IFERROR(__xludf.DUMMYFUNCTION("""COMPUTED_VALUE"""),15.65)</f>
        <v>15.65</v>
      </c>
      <c r="G221" s="4">
        <f>IFERROR(__xludf.DUMMYFUNCTION("""COMPUTED_VALUE"""),22.42)</f>
        <v>22.42</v>
      </c>
      <c r="H221" s="4">
        <f>IFERROR(__xludf.DUMMYFUNCTION("""COMPUTED_VALUE"""),0.0)</f>
        <v>0</v>
      </c>
      <c r="I221" s="4">
        <f>IFERROR(__xludf.DUMMYFUNCTION("""COMPUTED_VALUE"""),0.01)</f>
        <v>0.01</v>
      </c>
      <c r="J221" s="4">
        <f>IFERROR(__xludf.DUMMYFUNCTION("""COMPUTED_VALUE"""),0.0)</f>
        <v>0</v>
      </c>
      <c r="K221" s="4">
        <f>IFERROR(__xludf.DUMMYFUNCTION("""COMPUTED_VALUE"""),747.5789000000001)</f>
        <v>747.5789</v>
      </c>
      <c r="L221" s="4">
        <f>IFERROR(__xludf.DUMMYFUNCTION("""COMPUTED_VALUE"""),9.082332313017396)</f>
        <v>9.082332313</v>
      </c>
    </row>
    <row r="222">
      <c r="A222" s="4" t="str">
        <f>IFERROR(__xludf.DUMMYFUNCTION("""COMPUTED_VALUE"""),"NGC2915")</f>
        <v>NGC2915</v>
      </c>
      <c r="B222" s="4">
        <f>IFERROR(__xludf.DUMMYFUNCTION("""COMPUTED_VALUE"""),4.06)</f>
        <v>4.06</v>
      </c>
      <c r="C222" s="4">
        <f>IFERROR(__xludf.DUMMYFUNCTION("""COMPUTED_VALUE"""),6.03)</f>
        <v>6.03</v>
      </c>
      <c r="D222" s="4">
        <f>IFERROR(__xludf.DUMMYFUNCTION("""COMPUTED_VALUE"""),80.9)</f>
        <v>80.9</v>
      </c>
      <c r="E222" s="4">
        <f>IFERROR(__xludf.DUMMYFUNCTION("""COMPUTED_VALUE"""),7.88)</f>
        <v>7.88</v>
      </c>
      <c r="F222" s="4">
        <f>IFERROR(__xludf.DUMMYFUNCTION("""COMPUTED_VALUE"""),15.44)</f>
        <v>15.44</v>
      </c>
      <c r="G222" s="4">
        <f>IFERROR(__xludf.DUMMYFUNCTION("""COMPUTED_VALUE"""),21.74)</f>
        <v>21.74</v>
      </c>
      <c r="H222" s="4">
        <f>IFERROR(__xludf.DUMMYFUNCTION("""COMPUTED_VALUE"""),0.0)</f>
        <v>0</v>
      </c>
      <c r="I222" s="4">
        <f>IFERROR(__xludf.DUMMYFUNCTION("""COMPUTED_VALUE"""),0.0)</f>
        <v>0</v>
      </c>
      <c r="J222" s="4">
        <f>IFERROR(__xludf.DUMMYFUNCTION("""COMPUTED_VALUE"""),0.0)</f>
        <v>0</v>
      </c>
      <c r="K222" s="4">
        <f>IFERROR(__xludf.DUMMYFUNCTION("""COMPUTED_VALUE"""),711.0211999999999)</f>
        <v>711.0212</v>
      </c>
      <c r="L222" s="4">
        <f>IFERROR(__xludf.DUMMYFUNCTION("""COMPUTED_VALUE"""),9.20480289476601)</f>
        <v>9.204802895</v>
      </c>
    </row>
    <row r="223">
      <c r="A223" s="4" t="str">
        <f>IFERROR(__xludf.DUMMYFUNCTION("""COMPUTED_VALUE"""),"NGC2915")</f>
        <v>NGC2915</v>
      </c>
      <c r="B223" s="4">
        <f>IFERROR(__xludf.DUMMYFUNCTION("""COMPUTED_VALUE"""),4.06)</f>
        <v>4.06</v>
      </c>
      <c r="C223" s="4">
        <f>IFERROR(__xludf.DUMMYFUNCTION("""COMPUTED_VALUE"""),6.36)</f>
        <v>6.36</v>
      </c>
      <c r="D223" s="4">
        <f>IFERROR(__xludf.DUMMYFUNCTION("""COMPUTED_VALUE"""),79.0)</f>
        <v>79</v>
      </c>
      <c r="E223" s="4">
        <f>IFERROR(__xludf.DUMMYFUNCTION("""COMPUTED_VALUE"""),6.15)</f>
        <v>6.15</v>
      </c>
      <c r="F223" s="4">
        <f>IFERROR(__xludf.DUMMYFUNCTION("""COMPUTED_VALUE"""),15.65)</f>
        <v>15.65</v>
      </c>
      <c r="G223" s="4">
        <f>IFERROR(__xludf.DUMMYFUNCTION("""COMPUTED_VALUE"""),21.15)</f>
        <v>21.15</v>
      </c>
      <c r="H223" s="4">
        <f>IFERROR(__xludf.DUMMYFUNCTION("""COMPUTED_VALUE"""),0.0)</f>
        <v>0</v>
      </c>
      <c r="I223" s="4">
        <f>IFERROR(__xludf.DUMMYFUNCTION("""COMPUTED_VALUE"""),0.0)</f>
        <v>0</v>
      </c>
      <c r="J223" s="4">
        <f>IFERROR(__xludf.DUMMYFUNCTION("""COMPUTED_VALUE"""),0.0)</f>
        <v>0</v>
      </c>
      <c r="K223" s="4">
        <f>IFERROR(__xludf.DUMMYFUNCTION("""COMPUTED_VALUE"""),692.2449999999999)</f>
        <v>692.245</v>
      </c>
      <c r="L223" s="4">
        <f>IFERROR(__xludf.DUMMYFUNCTION("""COMPUTED_VALUE"""),9.01559418991831)</f>
        <v>9.01559419</v>
      </c>
    </row>
    <row r="224">
      <c r="A224" s="4" t="str">
        <f>IFERROR(__xludf.DUMMYFUNCTION("""COMPUTED_VALUE"""),"NGC2915")</f>
        <v>NGC2915</v>
      </c>
      <c r="B224" s="4">
        <f>IFERROR(__xludf.DUMMYFUNCTION("""COMPUTED_VALUE"""),4.06)</f>
        <v>4.06</v>
      </c>
      <c r="C224" s="4">
        <f>IFERROR(__xludf.DUMMYFUNCTION("""COMPUTED_VALUE"""),6.69)</f>
        <v>6.69</v>
      </c>
      <c r="D224" s="4">
        <f>IFERROR(__xludf.DUMMYFUNCTION("""COMPUTED_VALUE"""),81.4)</f>
        <v>81.4</v>
      </c>
      <c r="E224" s="4">
        <f>IFERROR(__xludf.DUMMYFUNCTION("""COMPUTED_VALUE"""),6.11)</f>
        <v>6.11</v>
      </c>
      <c r="F224" s="4">
        <f>IFERROR(__xludf.DUMMYFUNCTION("""COMPUTED_VALUE"""),16.27)</f>
        <v>16.27</v>
      </c>
      <c r="G224" s="4">
        <f>IFERROR(__xludf.DUMMYFUNCTION("""COMPUTED_VALUE"""),20.57)</f>
        <v>20.57</v>
      </c>
      <c r="H224" s="4">
        <f>IFERROR(__xludf.DUMMYFUNCTION("""COMPUTED_VALUE"""),0.0)</f>
        <v>0</v>
      </c>
      <c r="I224" s="4">
        <f>IFERROR(__xludf.DUMMYFUNCTION("""COMPUTED_VALUE"""),0.0)</f>
        <v>0</v>
      </c>
      <c r="J224" s="4">
        <f>IFERROR(__xludf.DUMMYFUNCTION("""COMPUTED_VALUE"""),0.0)</f>
        <v>0</v>
      </c>
      <c r="K224" s="4">
        <f>IFERROR(__xludf.DUMMYFUNCTION("""COMPUTED_VALUE"""),687.8378)</f>
        <v>687.8378</v>
      </c>
      <c r="L224" s="4">
        <f>IFERROR(__xludf.DUMMYFUNCTION("""COMPUTED_VALUE"""),9.633026856040772)</f>
        <v>9.633026856</v>
      </c>
    </row>
    <row r="225">
      <c r="A225" s="4" t="str">
        <f>IFERROR(__xludf.DUMMYFUNCTION("""COMPUTED_VALUE"""),"NGC2915")</f>
        <v>NGC2915</v>
      </c>
      <c r="B225" s="4">
        <f>IFERROR(__xludf.DUMMYFUNCTION("""COMPUTED_VALUE"""),4.06)</f>
        <v>4.06</v>
      </c>
      <c r="C225" s="4">
        <f>IFERROR(__xludf.DUMMYFUNCTION("""COMPUTED_VALUE"""),7.02)</f>
        <v>7.02</v>
      </c>
      <c r="D225" s="4">
        <f>IFERROR(__xludf.DUMMYFUNCTION("""COMPUTED_VALUE"""),79.7)</f>
        <v>79.7</v>
      </c>
      <c r="E225" s="4">
        <f>IFERROR(__xludf.DUMMYFUNCTION("""COMPUTED_VALUE"""),5.59)</f>
        <v>5.59</v>
      </c>
      <c r="F225" s="4">
        <f>IFERROR(__xludf.DUMMYFUNCTION("""COMPUTED_VALUE"""),17.1)</f>
        <v>17.1</v>
      </c>
      <c r="G225" s="4">
        <f>IFERROR(__xludf.DUMMYFUNCTION("""COMPUTED_VALUE"""),20.07)</f>
        <v>20.07</v>
      </c>
      <c r="H225" s="4">
        <f>IFERROR(__xludf.DUMMYFUNCTION("""COMPUTED_VALUE"""),0.0)</f>
        <v>0</v>
      </c>
      <c r="I225" s="4">
        <f>IFERROR(__xludf.DUMMYFUNCTION("""COMPUTED_VALUE"""),0.0)</f>
        <v>0</v>
      </c>
      <c r="J225" s="4">
        <f>IFERROR(__xludf.DUMMYFUNCTION("""COMPUTED_VALUE"""),0.0)</f>
        <v>0</v>
      </c>
      <c r="K225" s="4">
        <f>IFERROR(__xludf.DUMMYFUNCTION("""COMPUTED_VALUE"""),695.2149000000001)</f>
        <v>695.2149</v>
      </c>
      <c r="L225" s="4">
        <f>IFERROR(__xludf.DUMMYFUNCTION("""COMPUTED_VALUE"""),9.13687264182629)</f>
        <v>9.136872642</v>
      </c>
    </row>
    <row r="226">
      <c r="A226" s="4" t="str">
        <f>IFERROR(__xludf.DUMMYFUNCTION("""COMPUTED_VALUE"""),"NGC2915")</f>
        <v>NGC2915</v>
      </c>
      <c r="B226" s="4">
        <f>IFERROR(__xludf.DUMMYFUNCTION("""COMPUTED_VALUE"""),4.06)</f>
        <v>4.06</v>
      </c>
      <c r="C226" s="4">
        <f>IFERROR(__xludf.DUMMYFUNCTION("""COMPUTED_VALUE"""),7.36)</f>
        <v>7.36</v>
      </c>
      <c r="D226" s="4">
        <f>IFERROR(__xludf.DUMMYFUNCTION("""COMPUTED_VALUE"""),77.5)</f>
        <v>77.5</v>
      </c>
      <c r="E226" s="4">
        <f>IFERROR(__xludf.DUMMYFUNCTION("""COMPUTED_VALUE"""),6.33)</f>
        <v>6.33</v>
      </c>
      <c r="F226" s="4">
        <f>IFERROR(__xludf.DUMMYFUNCTION("""COMPUTED_VALUE"""),17.83)</f>
        <v>17.83</v>
      </c>
      <c r="G226" s="4">
        <f>IFERROR(__xludf.DUMMYFUNCTION("""COMPUTED_VALUE"""),19.59)</f>
        <v>19.59</v>
      </c>
      <c r="H226" s="4">
        <f>IFERROR(__xludf.DUMMYFUNCTION("""COMPUTED_VALUE"""),0.0)</f>
        <v>0</v>
      </c>
      <c r="I226" s="4">
        <f>IFERROR(__xludf.DUMMYFUNCTION("""COMPUTED_VALUE"""),0.0)</f>
        <v>0</v>
      </c>
      <c r="J226" s="4">
        <f>IFERROR(__xludf.DUMMYFUNCTION("""COMPUTED_VALUE"""),0.0)</f>
        <v>0</v>
      </c>
      <c r="K226" s="4">
        <f>IFERROR(__xludf.DUMMYFUNCTION("""COMPUTED_VALUE"""),701.6769999999999)</f>
        <v>701.677</v>
      </c>
      <c r="L226" s="4">
        <f>IFERROR(__xludf.DUMMYFUNCTION("""COMPUTED_VALUE"""),8.559850187479425)</f>
        <v>8.559850187</v>
      </c>
    </row>
    <row r="227">
      <c r="A227" s="4" t="str">
        <f>IFERROR(__xludf.DUMMYFUNCTION("""COMPUTED_VALUE"""),"NGC2915")</f>
        <v>NGC2915</v>
      </c>
      <c r="B227" s="4">
        <f>IFERROR(__xludf.DUMMYFUNCTION("""COMPUTED_VALUE"""),4.06)</f>
        <v>4.06</v>
      </c>
      <c r="C227" s="4">
        <f>IFERROR(__xludf.DUMMYFUNCTION("""COMPUTED_VALUE"""),7.7)</f>
        <v>7.7</v>
      </c>
      <c r="D227" s="4">
        <f>IFERROR(__xludf.DUMMYFUNCTION("""COMPUTED_VALUE"""),79.9)</f>
        <v>79.9</v>
      </c>
      <c r="E227" s="4">
        <f>IFERROR(__xludf.DUMMYFUNCTION("""COMPUTED_VALUE"""),6.41)</f>
        <v>6.41</v>
      </c>
      <c r="F227" s="4">
        <f>IFERROR(__xludf.DUMMYFUNCTION("""COMPUTED_VALUE"""),17.93)</f>
        <v>17.93</v>
      </c>
      <c r="G227" s="4">
        <f>IFERROR(__xludf.DUMMYFUNCTION("""COMPUTED_VALUE"""),19.12)</f>
        <v>19.12</v>
      </c>
      <c r="H227" s="4">
        <f>IFERROR(__xludf.DUMMYFUNCTION("""COMPUTED_VALUE"""),0.0)</f>
        <v>0</v>
      </c>
      <c r="I227" s="4">
        <f>IFERROR(__xludf.DUMMYFUNCTION("""COMPUTED_VALUE"""),0.0)</f>
        <v>0</v>
      </c>
      <c r="J227" s="4">
        <f>IFERROR(__xludf.DUMMYFUNCTION("""COMPUTED_VALUE"""),0.0)</f>
        <v>0</v>
      </c>
      <c r="K227" s="4">
        <f>IFERROR(__xludf.DUMMYFUNCTION("""COMPUTED_VALUE"""),687.0593)</f>
        <v>687.0593</v>
      </c>
      <c r="L227" s="4">
        <f>IFERROR(__xludf.DUMMYFUNCTION("""COMPUTED_VALUE"""),9.291788932920348)</f>
        <v>9.291788933</v>
      </c>
    </row>
    <row r="228">
      <c r="A228" s="4" t="str">
        <f>IFERROR(__xludf.DUMMYFUNCTION("""COMPUTED_VALUE"""),"NGC2915")</f>
        <v>NGC2915</v>
      </c>
      <c r="B228" s="4">
        <f>IFERROR(__xludf.DUMMYFUNCTION("""COMPUTED_VALUE"""),4.06)</f>
        <v>4.06</v>
      </c>
      <c r="C228" s="4">
        <f>IFERROR(__xludf.DUMMYFUNCTION("""COMPUTED_VALUE"""),8.03)</f>
        <v>8.03</v>
      </c>
      <c r="D228" s="4">
        <f>IFERROR(__xludf.DUMMYFUNCTION("""COMPUTED_VALUE"""),81.5)</f>
        <v>81.5</v>
      </c>
      <c r="E228" s="4">
        <f>IFERROR(__xludf.DUMMYFUNCTION("""COMPUTED_VALUE"""),7.86)</f>
        <v>7.86</v>
      </c>
      <c r="F228" s="4">
        <f>IFERROR(__xludf.DUMMYFUNCTION("""COMPUTED_VALUE"""),18.24)</f>
        <v>18.24</v>
      </c>
      <c r="G228" s="4">
        <f>IFERROR(__xludf.DUMMYFUNCTION("""COMPUTED_VALUE"""),18.72)</f>
        <v>18.72</v>
      </c>
      <c r="H228" s="4">
        <f>IFERROR(__xludf.DUMMYFUNCTION("""COMPUTED_VALUE"""),0.0)</f>
        <v>0</v>
      </c>
      <c r="I228" s="4">
        <f>IFERROR(__xludf.DUMMYFUNCTION("""COMPUTED_VALUE"""),0.0)</f>
        <v>0</v>
      </c>
      <c r="J228" s="4">
        <f>IFERROR(__xludf.DUMMYFUNCTION("""COMPUTED_VALUE"""),0.0)</f>
        <v>0</v>
      </c>
      <c r="K228" s="4">
        <f>IFERROR(__xludf.DUMMYFUNCTION("""COMPUTED_VALUE"""),683.136)</f>
        <v>683.136</v>
      </c>
      <c r="L228" s="4">
        <f>IFERROR(__xludf.DUMMYFUNCTION("""COMPUTED_VALUE"""),9.723173716507402)</f>
        <v>9.723173717</v>
      </c>
    </row>
    <row r="229">
      <c r="A229" s="4" t="str">
        <f>IFERROR(__xludf.DUMMYFUNCTION("""COMPUTED_VALUE"""),"NGC2915")</f>
        <v>NGC2915</v>
      </c>
      <c r="B229" s="4">
        <f>IFERROR(__xludf.DUMMYFUNCTION("""COMPUTED_VALUE"""),4.06)</f>
        <v>4.06</v>
      </c>
      <c r="C229" s="4">
        <f>IFERROR(__xludf.DUMMYFUNCTION("""COMPUTED_VALUE"""),8.37)</f>
        <v>8.37</v>
      </c>
      <c r="D229" s="4">
        <f>IFERROR(__xludf.DUMMYFUNCTION("""COMPUTED_VALUE"""),82.2)</f>
        <v>82.2</v>
      </c>
      <c r="E229" s="4">
        <f>IFERROR(__xludf.DUMMYFUNCTION("""COMPUTED_VALUE"""),7.82)</f>
        <v>7.82</v>
      </c>
      <c r="F229" s="4">
        <f>IFERROR(__xludf.DUMMYFUNCTION("""COMPUTED_VALUE"""),18.65)</f>
        <v>18.65</v>
      </c>
      <c r="G229" s="4">
        <f>IFERROR(__xludf.DUMMYFUNCTION("""COMPUTED_VALUE"""),18.33)</f>
        <v>18.33</v>
      </c>
      <c r="H229" s="4">
        <f>IFERROR(__xludf.DUMMYFUNCTION("""COMPUTED_VALUE"""),0.0)</f>
        <v>0</v>
      </c>
      <c r="I229" s="4">
        <f>IFERROR(__xludf.DUMMYFUNCTION("""COMPUTED_VALUE"""),0.0)</f>
        <v>0</v>
      </c>
      <c r="J229" s="4">
        <f>IFERROR(__xludf.DUMMYFUNCTION("""COMPUTED_VALUE"""),0.0)</f>
        <v>0</v>
      </c>
      <c r="K229" s="4">
        <f>IFERROR(__xludf.DUMMYFUNCTION("""COMPUTED_VALUE"""),683.8113999999998)</f>
        <v>683.8114</v>
      </c>
      <c r="L229" s="4">
        <f>IFERROR(__xludf.DUMMYFUNCTION("""COMPUTED_VALUE"""),9.881145590728675)</f>
        <v>9.881145591</v>
      </c>
    </row>
    <row r="230">
      <c r="A230" s="4" t="str">
        <f>IFERROR(__xludf.DUMMYFUNCTION("""COMPUTED_VALUE"""),"NGC2915")</f>
        <v>NGC2915</v>
      </c>
      <c r="B230" s="4">
        <f>IFERROR(__xludf.DUMMYFUNCTION("""COMPUTED_VALUE"""),4.06)</f>
        <v>4.06</v>
      </c>
      <c r="C230" s="4">
        <f>IFERROR(__xludf.DUMMYFUNCTION("""COMPUTED_VALUE"""),8.7)</f>
        <v>8.7</v>
      </c>
      <c r="D230" s="4">
        <f>IFERROR(__xludf.DUMMYFUNCTION("""COMPUTED_VALUE"""),82.0)</f>
        <v>82</v>
      </c>
      <c r="E230" s="4">
        <f>IFERROR(__xludf.DUMMYFUNCTION("""COMPUTED_VALUE"""),7.09)</f>
        <v>7.09</v>
      </c>
      <c r="F230" s="4">
        <f>IFERROR(__xludf.DUMMYFUNCTION("""COMPUTED_VALUE"""),18.97)</f>
        <v>18.97</v>
      </c>
      <c r="G230" s="4">
        <f>IFERROR(__xludf.DUMMYFUNCTION("""COMPUTED_VALUE"""),17.95)</f>
        <v>17.95</v>
      </c>
      <c r="H230" s="4">
        <f>IFERROR(__xludf.DUMMYFUNCTION("""COMPUTED_VALUE"""),0.0)</f>
        <v>0</v>
      </c>
      <c r="I230" s="4">
        <f>IFERROR(__xludf.DUMMYFUNCTION("""COMPUTED_VALUE"""),0.0)</f>
        <v>0</v>
      </c>
      <c r="J230" s="4">
        <f>IFERROR(__xludf.DUMMYFUNCTION("""COMPUTED_VALUE"""),0.0)</f>
        <v>0</v>
      </c>
      <c r="K230" s="4">
        <f>IFERROR(__xludf.DUMMYFUNCTION("""COMPUTED_VALUE"""),682.0634)</f>
        <v>682.0634</v>
      </c>
      <c r="L230" s="4">
        <f>IFERROR(__xludf.DUMMYFUNCTION("""COMPUTED_VALUE"""),9.858321088626072)</f>
        <v>9.858321089</v>
      </c>
    </row>
    <row r="231">
      <c r="A231" s="4" t="str">
        <f>IFERROR(__xludf.DUMMYFUNCTION("""COMPUTED_VALUE"""),"NGC2915")</f>
        <v>NGC2915</v>
      </c>
      <c r="B231" s="4">
        <f>IFERROR(__xludf.DUMMYFUNCTION("""COMPUTED_VALUE"""),4.06)</f>
        <v>4.06</v>
      </c>
      <c r="C231" s="4">
        <f>IFERROR(__xludf.DUMMYFUNCTION("""COMPUTED_VALUE"""),9.03)</f>
        <v>9.03</v>
      </c>
      <c r="D231" s="4">
        <f>IFERROR(__xludf.DUMMYFUNCTION("""COMPUTED_VALUE"""),84.7)</f>
        <v>84.7</v>
      </c>
      <c r="E231" s="4">
        <f>IFERROR(__xludf.DUMMYFUNCTION("""COMPUTED_VALUE"""),5.74)</f>
        <v>5.74</v>
      </c>
      <c r="F231" s="4">
        <f>IFERROR(__xludf.DUMMYFUNCTION("""COMPUTED_VALUE"""),19.38)</f>
        <v>19.38</v>
      </c>
      <c r="G231" s="4">
        <f>IFERROR(__xludf.DUMMYFUNCTION("""COMPUTED_VALUE"""),17.62)</f>
        <v>17.62</v>
      </c>
      <c r="H231" s="4">
        <f>IFERROR(__xludf.DUMMYFUNCTION("""COMPUTED_VALUE"""),0.0)</f>
        <v>0</v>
      </c>
      <c r="I231" s="4">
        <f>IFERROR(__xludf.DUMMYFUNCTION("""COMPUTED_VALUE"""),0.0)</f>
        <v>0</v>
      </c>
      <c r="J231" s="4">
        <f>IFERROR(__xludf.DUMMYFUNCTION("""COMPUTED_VALUE"""),0.0)</f>
        <v>0</v>
      </c>
      <c r="K231" s="4">
        <f>IFERROR(__xludf.DUMMYFUNCTION("""COMPUTED_VALUE"""),686.0488)</f>
        <v>686.0488</v>
      </c>
      <c r="L231" s="4">
        <f>IFERROR(__xludf.DUMMYFUNCTION("""COMPUTED_VALUE"""),10.457113254917143)</f>
        <v>10.45711325</v>
      </c>
    </row>
    <row r="232">
      <c r="A232" s="4" t="str">
        <f>IFERROR(__xludf.DUMMYFUNCTION("""COMPUTED_VALUE"""),"NGC2915")</f>
        <v>NGC2915</v>
      </c>
      <c r="B232" s="4">
        <f>IFERROR(__xludf.DUMMYFUNCTION("""COMPUTED_VALUE"""),4.06)</f>
        <v>4.06</v>
      </c>
      <c r="C232" s="4">
        <f>IFERROR(__xludf.DUMMYFUNCTION("""COMPUTED_VALUE"""),9.37)</f>
        <v>9.37</v>
      </c>
      <c r="D232" s="4">
        <f>IFERROR(__xludf.DUMMYFUNCTION("""COMPUTED_VALUE"""),86.1)</f>
        <v>86.1</v>
      </c>
      <c r="E232" s="4">
        <f>IFERROR(__xludf.DUMMYFUNCTION("""COMPUTED_VALUE"""),5.54)</f>
        <v>5.54</v>
      </c>
      <c r="F232" s="4">
        <f>IFERROR(__xludf.DUMMYFUNCTION("""COMPUTED_VALUE"""),19.59)</f>
        <v>19.59</v>
      </c>
      <c r="G232" s="4">
        <f>IFERROR(__xludf.DUMMYFUNCTION("""COMPUTED_VALUE"""),17.3)</f>
        <v>17.3</v>
      </c>
      <c r="H232" s="4">
        <f>IFERROR(__xludf.DUMMYFUNCTION("""COMPUTED_VALUE"""),0.0)</f>
        <v>0</v>
      </c>
      <c r="I232" s="4">
        <f>IFERROR(__xludf.DUMMYFUNCTION("""COMPUTED_VALUE"""),0.0)</f>
        <v>0</v>
      </c>
      <c r="J232" s="4">
        <f>IFERROR(__xludf.DUMMYFUNCTION("""COMPUTED_VALUE"""),0.0)</f>
        <v>0</v>
      </c>
      <c r="K232" s="4">
        <f>IFERROR(__xludf.DUMMYFUNCTION("""COMPUTED_VALUE"""),683.0581)</f>
        <v>683.0581</v>
      </c>
      <c r="L232" s="4">
        <f>IFERROR(__xludf.DUMMYFUNCTION("""COMPUTED_VALUE"""),10.852971365100567)</f>
        <v>10.85297137</v>
      </c>
    </row>
    <row r="233">
      <c r="A233" s="4" t="str">
        <f>IFERROR(__xludf.DUMMYFUNCTION("""COMPUTED_VALUE"""),"NGC2915")</f>
        <v>NGC2915</v>
      </c>
      <c r="B233" s="4">
        <f>IFERROR(__xludf.DUMMYFUNCTION("""COMPUTED_VALUE"""),4.06)</f>
        <v>4.06</v>
      </c>
      <c r="C233" s="4">
        <f>IFERROR(__xludf.DUMMYFUNCTION("""COMPUTED_VALUE"""),9.7)</f>
        <v>9.7</v>
      </c>
      <c r="D233" s="4">
        <f>IFERROR(__xludf.DUMMYFUNCTION("""COMPUTED_VALUE"""),85.3)</f>
        <v>85.3</v>
      </c>
      <c r="E233" s="4">
        <f>IFERROR(__xludf.DUMMYFUNCTION("""COMPUTED_VALUE"""),5.23)</f>
        <v>5.23</v>
      </c>
      <c r="F233" s="4">
        <f>IFERROR(__xludf.DUMMYFUNCTION("""COMPUTED_VALUE"""),19.9)</f>
        <v>19.9</v>
      </c>
      <c r="G233" s="4">
        <f>IFERROR(__xludf.DUMMYFUNCTION("""COMPUTED_VALUE"""),16.98)</f>
        <v>16.98</v>
      </c>
      <c r="H233" s="4">
        <f>IFERROR(__xludf.DUMMYFUNCTION("""COMPUTED_VALUE"""),0.0)</f>
        <v>0</v>
      </c>
      <c r="I233" s="4">
        <f>IFERROR(__xludf.DUMMYFUNCTION("""COMPUTED_VALUE"""),0.0)</f>
        <v>0</v>
      </c>
      <c r="J233" s="4">
        <f>IFERROR(__xludf.DUMMYFUNCTION("""COMPUTED_VALUE"""),0.0)</f>
        <v>0</v>
      </c>
      <c r="K233" s="4">
        <f>IFERROR(__xludf.DUMMYFUNCTION("""COMPUTED_VALUE"""),684.3303999999999)</f>
        <v>684.3304</v>
      </c>
      <c r="L233" s="4">
        <f>IFERROR(__xludf.DUMMYFUNCTION("""COMPUTED_VALUE"""),10.632422584178636)</f>
        <v>10.63242258</v>
      </c>
    </row>
    <row r="234">
      <c r="A234" s="5" t="str">
        <f>IFERROR(__xludf.DUMMYFUNCTION("""COMPUTED_VALUE"""),"NGC2915")</f>
        <v>NGC2915</v>
      </c>
      <c r="B234" s="5">
        <f>IFERROR(__xludf.DUMMYFUNCTION("""COMPUTED_VALUE"""),4.06)</f>
        <v>4.06</v>
      </c>
      <c r="C234" s="5">
        <f>IFERROR(__xludf.DUMMYFUNCTION("""COMPUTED_VALUE"""),10.04)</f>
        <v>10.04</v>
      </c>
      <c r="D234" s="5">
        <f>IFERROR(__xludf.DUMMYFUNCTION("""COMPUTED_VALUE"""),86.5)</f>
        <v>86.5</v>
      </c>
      <c r="E234" s="5">
        <f>IFERROR(__xludf.DUMMYFUNCTION("""COMPUTED_VALUE"""),6.45)</f>
        <v>6.45</v>
      </c>
      <c r="F234" s="5">
        <f>IFERROR(__xludf.DUMMYFUNCTION("""COMPUTED_VALUE"""),19.9)</f>
        <v>19.9</v>
      </c>
      <c r="G234" s="5">
        <f>IFERROR(__xludf.DUMMYFUNCTION("""COMPUTED_VALUE"""),16.69)</f>
        <v>16.69</v>
      </c>
      <c r="H234" s="5">
        <f>IFERROR(__xludf.DUMMYFUNCTION("""COMPUTED_VALUE"""),0.0)</f>
        <v>0</v>
      </c>
      <c r="I234" s="5">
        <f>IFERROR(__xludf.DUMMYFUNCTION("""COMPUTED_VALUE"""),0.0)</f>
        <v>0</v>
      </c>
      <c r="J234" s="5">
        <f>IFERROR(__xludf.DUMMYFUNCTION("""COMPUTED_VALUE"""),0.0)</f>
        <v>0</v>
      </c>
      <c r="K234" s="5">
        <f>IFERROR(__xludf.DUMMYFUNCTION("""COMPUTED_VALUE"""),674.5661)</f>
        <v>674.5661</v>
      </c>
      <c r="L234" s="5">
        <f>IFERROR(__xludf.DUMMYFUNCTION("""COMPUTED_VALUE"""),11.09194488130963)</f>
        <v>11.09194488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4" t="str">
        <f>IFERROR(__xludf.DUMMYFUNCTION("""COMPUTED_VALUE"""),"NGC3109")</f>
        <v>NGC3109</v>
      </c>
      <c r="B235" s="4">
        <f>IFERROR(__xludf.DUMMYFUNCTION("""COMPUTED_VALUE"""),1.33)</f>
        <v>1.33</v>
      </c>
      <c r="C235" s="4">
        <f>IFERROR(__xludf.DUMMYFUNCTION("""COMPUTED_VALUE"""),0.26)</f>
        <v>0.26</v>
      </c>
      <c r="D235" s="4">
        <f>IFERROR(__xludf.DUMMYFUNCTION("""COMPUTED_VALUE"""),6.1)</f>
        <v>6.1</v>
      </c>
      <c r="E235" s="4">
        <f>IFERROR(__xludf.DUMMYFUNCTION("""COMPUTED_VALUE"""),1.6)</f>
        <v>1.6</v>
      </c>
      <c r="F235" s="4">
        <f>IFERROR(__xludf.DUMMYFUNCTION("""COMPUTED_VALUE"""),1.0)</f>
        <v>1</v>
      </c>
      <c r="G235" s="4">
        <f>IFERROR(__xludf.DUMMYFUNCTION("""COMPUTED_VALUE"""),2.78)</f>
        <v>2.78</v>
      </c>
      <c r="H235" s="4">
        <f>IFERROR(__xludf.DUMMYFUNCTION("""COMPUTED_VALUE"""),0.0)</f>
        <v>0</v>
      </c>
      <c r="I235" s="4">
        <f>IFERROR(__xludf.DUMMYFUNCTION("""COMPUTED_VALUE"""),10.55)</f>
        <v>10.55</v>
      </c>
      <c r="J235" s="4">
        <f>IFERROR(__xludf.DUMMYFUNCTION("""COMPUTED_VALUE"""),0.0)</f>
        <v>0</v>
      </c>
      <c r="K235" s="4">
        <f>IFERROR(__xludf.DUMMYFUNCTION("""COMPUTED_VALUE"""),8.728399999999999)</f>
        <v>8.7284</v>
      </c>
      <c r="L235" s="4">
        <f>IFERROR(__xludf.DUMMYFUNCTION("""COMPUTED_VALUE"""),4.263095183538793)</f>
        <v>4.263095184</v>
      </c>
    </row>
    <row r="236">
      <c r="A236" s="4" t="str">
        <f>IFERROR(__xludf.DUMMYFUNCTION("""COMPUTED_VALUE"""),"NGC3109")</f>
        <v>NGC3109</v>
      </c>
      <c r="B236" s="4">
        <f>IFERROR(__xludf.DUMMYFUNCTION("""COMPUTED_VALUE"""),1.33)</f>
        <v>1.33</v>
      </c>
      <c r="C236" s="4">
        <f>IFERROR(__xludf.DUMMYFUNCTION("""COMPUTED_VALUE"""),0.52)</f>
        <v>0.52</v>
      </c>
      <c r="D236" s="4">
        <f>IFERROR(__xludf.DUMMYFUNCTION("""COMPUTED_VALUE"""),11.2)</f>
        <v>11.2</v>
      </c>
      <c r="E236" s="4">
        <f>IFERROR(__xludf.DUMMYFUNCTION("""COMPUTED_VALUE"""),0.7)</f>
        <v>0.7</v>
      </c>
      <c r="F236" s="4">
        <f>IFERROR(__xludf.DUMMYFUNCTION("""COMPUTED_VALUE"""),2.12)</f>
        <v>2.12</v>
      </c>
      <c r="G236" s="4">
        <f>IFERROR(__xludf.DUMMYFUNCTION("""COMPUTED_VALUE"""),4.73)</f>
        <v>4.73</v>
      </c>
      <c r="H236" s="4">
        <f>IFERROR(__xludf.DUMMYFUNCTION("""COMPUTED_VALUE"""),0.0)</f>
        <v>0</v>
      </c>
      <c r="I236" s="4">
        <f>IFERROR(__xludf.DUMMYFUNCTION("""COMPUTED_VALUE"""),8.77)</f>
        <v>8.77</v>
      </c>
      <c r="J236" s="4">
        <f>IFERROR(__xludf.DUMMYFUNCTION("""COMPUTED_VALUE"""),0.0)</f>
        <v>0</v>
      </c>
      <c r="K236" s="4">
        <f>IFERROR(__xludf.DUMMYFUNCTION("""COMPUTED_VALUE"""),26.867300000000007)</f>
        <v>26.8673</v>
      </c>
      <c r="L236" s="4">
        <f>IFERROR(__xludf.DUMMYFUNCTION("""COMPUTED_VALUE"""),4.66887257000145)</f>
        <v>4.66887257</v>
      </c>
    </row>
    <row r="237">
      <c r="A237" s="4" t="str">
        <f>IFERROR(__xludf.DUMMYFUNCTION("""COMPUTED_VALUE"""),"NGC3109")</f>
        <v>NGC3109</v>
      </c>
      <c r="B237" s="4">
        <f>IFERROR(__xludf.DUMMYFUNCTION("""COMPUTED_VALUE"""),1.33)</f>
        <v>1.33</v>
      </c>
      <c r="C237" s="4">
        <f>IFERROR(__xludf.DUMMYFUNCTION("""COMPUTED_VALUE"""),0.77)</f>
        <v>0.77</v>
      </c>
      <c r="D237" s="4">
        <f>IFERROR(__xludf.DUMMYFUNCTION("""COMPUTED_VALUE"""),14.9)</f>
        <v>14.9</v>
      </c>
      <c r="E237" s="4">
        <f>IFERROR(__xludf.DUMMYFUNCTION("""COMPUTED_VALUE"""),1.5)</f>
        <v>1.5</v>
      </c>
      <c r="F237" s="4">
        <f>IFERROR(__xludf.DUMMYFUNCTION("""COMPUTED_VALUE"""),4.53)</f>
        <v>4.53</v>
      </c>
      <c r="G237" s="4">
        <f>IFERROR(__xludf.DUMMYFUNCTION("""COMPUTED_VALUE"""),7.0)</f>
        <v>7</v>
      </c>
      <c r="H237" s="4">
        <f>IFERROR(__xludf.DUMMYFUNCTION("""COMPUTED_VALUE"""),0.0)</f>
        <v>0</v>
      </c>
      <c r="I237" s="4">
        <f>IFERROR(__xludf.DUMMYFUNCTION("""COMPUTED_VALUE"""),8.41)</f>
        <v>8.41</v>
      </c>
      <c r="J237" s="4">
        <f>IFERROR(__xludf.DUMMYFUNCTION("""COMPUTED_VALUE"""),0.0)</f>
        <v>0</v>
      </c>
      <c r="K237" s="4">
        <f>IFERROR(__xludf.DUMMYFUNCTION("""COMPUTED_VALUE"""),69.5209)</f>
        <v>69.5209</v>
      </c>
      <c r="L237" s="4">
        <f>IFERROR(__xludf.DUMMYFUNCTION("""COMPUTED_VALUE"""),3.1934281633293016)</f>
        <v>3.193428163</v>
      </c>
    </row>
    <row r="238">
      <c r="A238" s="4" t="str">
        <f>IFERROR(__xludf.DUMMYFUNCTION("""COMPUTED_VALUE"""),"NGC3109")</f>
        <v>NGC3109</v>
      </c>
      <c r="B238" s="4">
        <f>IFERROR(__xludf.DUMMYFUNCTION("""COMPUTED_VALUE"""),1.33)</f>
        <v>1.33</v>
      </c>
      <c r="C238" s="4">
        <f>IFERROR(__xludf.DUMMYFUNCTION("""COMPUTED_VALUE"""),1.03)</f>
        <v>1.03</v>
      </c>
      <c r="D238" s="4">
        <f>IFERROR(__xludf.DUMMYFUNCTION("""COMPUTED_VALUE"""),19.1)</f>
        <v>19.1</v>
      </c>
      <c r="E238" s="4">
        <f>IFERROR(__xludf.DUMMYFUNCTION("""COMPUTED_VALUE"""),2.2)</f>
        <v>2.2</v>
      </c>
      <c r="F238" s="4">
        <f>IFERROR(__xludf.DUMMYFUNCTION("""COMPUTED_VALUE"""),6.54)</f>
        <v>6.54</v>
      </c>
      <c r="G238" s="4">
        <f>IFERROR(__xludf.DUMMYFUNCTION("""COMPUTED_VALUE"""),8.59)</f>
        <v>8.59</v>
      </c>
      <c r="H238" s="4">
        <f>IFERROR(__xludf.DUMMYFUNCTION("""COMPUTED_VALUE"""),0.0)</f>
        <v>0</v>
      </c>
      <c r="I238" s="4">
        <f>IFERROR(__xludf.DUMMYFUNCTION("""COMPUTED_VALUE"""),7.93)</f>
        <v>7.93</v>
      </c>
      <c r="J238" s="4">
        <f>IFERROR(__xludf.DUMMYFUNCTION("""COMPUTED_VALUE"""),0.0)</f>
        <v>0</v>
      </c>
      <c r="K238" s="4">
        <f>IFERROR(__xludf.DUMMYFUNCTION("""COMPUTED_VALUE"""),116.55969999999999)</f>
        <v>116.5597</v>
      </c>
      <c r="L238" s="4">
        <f>IFERROR(__xludf.DUMMYFUNCTION("""COMPUTED_VALUE"""),3.129812448041648)</f>
        <v>3.129812448</v>
      </c>
    </row>
    <row r="239">
      <c r="A239" s="4" t="str">
        <f>IFERROR(__xludf.DUMMYFUNCTION("""COMPUTED_VALUE"""),"NGC3109")</f>
        <v>NGC3109</v>
      </c>
      <c r="B239" s="4">
        <f>IFERROR(__xludf.DUMMYFUNCTION("""COMPUTED_VALUE"""),1.33)</f>
        <v>1.33</v>
      </c>
      <c r="C239" s="4">
        <f>IFERROR(__xludf.DUMMYFUNCTION("""COMPUTED_VALUE"""),1.29)</f>
        <v>1.29</v>
      </c>
      <c r="D239" s="4">
        <f>IFERROR(__xludf.DUMMYFUNCTION("""COMPUTED_VALUE"""),24.3)</f>
        <v>24.3</v>
      </c>
      <c r="E239" s="4">
        <f>IFERROR(__xludf.DUMMYFUNCTION("""COMPUTED_VALUE"""),0.9)</f>
        <v>0.9</v>
      </c>
      <c r="F239" s="4">
        <f>IFERROR(__xludf.DUMMYFUNCTION("""COMPUTED_VALUE"""),8.22)</f>
        <v>8.22</v>
      </c>
      <c r="G239" s="4">
        <f>IFERROR(__xludf.DUMMYFUNCTION("""COMPUTED_VALUE"""),10.63)</f>
        <v>10.63</v>
      </c>
      <c r="H239" s="4">
        <f>IFERROR(__xludf.DUMMYFUNCTION("""COMPUTED_VALUE"""),0.0)</f>
        <v>0</v>
      </c>
      <c r="I239" s="4">
        <f>IFERROR(__xludf.DUMMYFUNCTION("""COMPUTED_VALUE"""),6.67)</f>
        <v>6.67</v>
      </c>
      <c r="J239" s="4">
        <f>IFERROR(__xludf.DUMMYFUNCTION("""COMPUTED_VALUE"""),0.0)</f>
        <v>0</v>
      </c>
      <c r="K239" s="4">
        <f>IFERROR(__xludf.DUMMYFUNCTION("""COMPUTED_VALUE"""),180.56530000000004)</f>
        <v>180.5653</v>
      </c>
      <c r="L239" s="4">
        <f>IFERROR(__xludf.DUMMYFUNCTION("""COMPUTED_VALUE"""),3.270229662066853)</f>
        <v>3.270229662</v>
      </c>
    </row>
    <row r="240">
      <c r="A240" s="4" t="str">
        <f>IFERROR(__xludf.DUMMYFUNCTION("""COMPUTED_VALUE"""),"NGC3109")</f>
        <v>NGC3109</v>
      </c>
      <c r="B240" s="4">
        <f>IFERROR(__xludf.DUMMYFUNCTION("""COMPUTED_VALUE"""),1.33)</f>
        <v>1.33</v>
      </c>
      <c r="C240" s="4">
        <f>IFERROR(__xludf.DUMMYFUNCTION("""COMPUTED_VALUE"""),1.55)</f>
        <v>1.55</v>
      </c>
      <c r="D240" s="4">
        <f>IFERROR(__xludf.DUMMYFUNCTION("""COMPUTED_VALUE"""),29.8)</f>
        <v>29.8</v>
      </c>
      <c r="E240" s="4">
        <f>IFERROR(__xludf.DUMMYFUNCTION("""COMPUTED_VALUE"""),1.9)</f>
        <v>1.9</v>
      </c>
      <c r="F240" s="4">
        <f>IFERROR(__xludf.DUMMYFUNCTION("""COMPUTED_VALUE"""),10.06)</f>
        <v>10.06</v>
      </c>
      <c r="G240" s="4">
        <f>IFERROR(__xludf.DUMMYFUNCTION("""COMPUTED_VALUE"""),11.72)</f>
        <v>11.72</v>
      </c>
      <c r="H240" s="4">
        <f>IFERROR(__xludf.DUMMYFUNCTION("""COMPUTED_VALUE"""),0.0)</f>
        <v>0</v>
      </c>
      <c r="I240" s="4">
        <f>IFERROR(__xludf.DUMMYFUNCTION("""COMPUTED_VALUE"""),5.17)</f>
        <v>5.17</v>
      </c>
      <c r="J240" s="4">
        <f>IFERROR(__xludf.DUMMYFUNCTION("""COMPUTED_VALUE"""),0.0)</f>
        <v>0</v>
      </c>
      <c r="K240" s="4">
        <f>IFERROR(__xludf.DUMMYFUNCTION("""COMPUTED_VALUE"""),238.562)</f>
        <v>238.562</v>
      </c>
      <c r="L240" s="4">
        <f>IFERROR(__xludf.DUMMYFUNCTION("""COMPUTED_VALUE"""),3.7224704688927828)</f>
        <v>3.722470469</v>
      </c>
    </row>
    <row r="241">
      <c r="A241" s="4" t="str">
        <f>IFERROR(__xludf.DUMMYFUNCTION("""COMPUTED_VALUE"""),"NGC3109")</f>
        <v>NGC3109</v>
      </c>
      <c r="B241" s="4">
        <f>IFERROR(__xludf.DUMMYFUNCTION("""COMPUTED_VALUE"""),1.33)</f>
        <v>1.33</v>
      </c>
      <c r="C241" s="4">
        <f>IFERROR(__xludf.DUMMYFUNCTION("""COMPUTED_VALUE"""),1.81)</f>
        <v>1.81</v>
      </c>
      <c r="D241" s="4">
        <f>IFERROR(__xludf.DUMMYFUNCTION("""COMPUTED_VALUE"""),34.3)</f>
        <v>34.3</v>
      </c>
      <c r="E241" s="4">
        <f>IFERROR(__xludf.DUMMYFUNCTION("""COMPUTED_VALUE"""),1.6)</f>
        <v>1.6</v>
      </c>
      <c r="F241" s="4">
        <f>IFERROR(__xludf.DUMMYFUNCTION("""COMPUTED_VALUE"""),11.73)</f>
        <v>11.73</v>
      </c>
      <c r="G241" s="4">
        <f>IFERROR(__xludf.DUMMYFUNCTION("""COMPUTED_VALUE"""),12.56)</f>
        <v>12.56</v>
      </c>
      <c r="H241" s="4">
        <f>IFERROR(__xludf.DUMMYFUNCTION("""COMPUTED_VALUE"""),0.0)</f>
        <v>0</v>
      </c>
      <c r="I241" s="4">
        <f>IFERROR(__xludf.DUMMYFUNCTION("""COMPUTED_VALUE"""),4.71)</f>
        <v>4.71</v>
      </c>
      <c r="J241" s="4">
        <f>IFERROR(__xludf.DUMMYFUNCTION("""COMPUTED_VALUE"""),0.0)</f>
        <v>0</v>
      </c>
      <c r="K241" s="4">
        <f>IFERROR(__xludf.DUMMYFUNCTION("""COMPUTED_VALUE"""),295.3465)</f>
        <v>295.3465</v>
      </c>
      <c r="L241" s="4">
        <f>IFERROR(__xludf.DUMMYFUNCTION("""COMPUTED_VALUE"""),3.9834228609446862)</f>
        <v>3.983422861</v>
      </c>
    </row>
    <row r="242">
      <c r="A242" s="4" t="str">
        <f>IFERROR(__xludf.DUMMYFUNCTION("""COMPUTED_VALUE"""),"NGC3109")</f>
        <v>NGC3109</v>
      </c>
      <c r="B242" s="4">
        <f>IFERROR(__xludf.DUMMYFUNCTION("""COMPUTED_VALUE"""),1.33)</f>
        <v>1.33</v>
      </c>
      <c r="C242" s="4">
        <f>IFERROR(__xludf.DUMMYFUNCTION("""COMPUTED_VALUE"""),2.06)</f>
        <v>2.06</v>
      </c>
      <c r="D242" s="4">
        <f>IFERROR(__xludf.DUMMYFUNCTION("""COMPUTED_VALUE"""),38.2)</f>
        <v>38.2</v>
      </c>
      <c r="E242" s="4">
        <f>IFERROR(__xludf.DUMMYFUNCTION("""COMPUTED_VALUE"""),3.5)</f>
        <v>3.5</v>
      </c>
      <c r="F242" s="4">
        <f>IFERROR(__xludf.DUMMYFUNCTION("""COMPUTED_VALUE"""),12.92)</f>
        <v>12.92</v>
      </c>
      <c r="G242" s="4">
        <f>IFERROR(__xludf.DUMMYFUNCTION("""COMPUTED_VALUE"""),13.39)</f>
        <v>13.39</v>
      </c>
      <c r="H242" s="4">
        <f>IFERROR(__xludf.DUMMYFUNCTION("""COMPUTED_VALUE"""),0.0)</f>
        <v>0</v>
      </c>
      <c r="I242" s="4">
        <f>IFERROR(__xludf.DUMMYFUNCTION("""COMPUTED_VALUE"""),3.81)</f>
        <v>3.81</v>
      </c>
      <c r="J242" s="4">
        <f>IFERROR(__xludf.DUMMYFUNCTION("""COMPUTED_VALUE"""),0.0)</f>
        <v>0</v>
      </c>
      <c r="K242" s="4">
        <f>IFERROR(__xludf.DUMMYFUNCTION("""COMPUTED_VALUE"""),346.2185)</f>
        <v>346.2185</v>
      </c>
      <c r="L242" s="4">
        <f>IFERROR(__xludf.DUMMYFUNCTION("""COMPUTED_VALUE"""),4.214794992179795)</f>
        <v>4.214794992</v>
      </c>
    </row>
    <row r="243">
      <c r="A243" s="4" t="str">
        <f>IFERROR(__xludf.DUMMYFUNCTION("""COMPUTED_VALUE"""),"NGC3109")</f>
        <v>NGC3109</v>
      </c>
      <c r="B243" s="4">
        <f>IFERROR(__xludf.DUMMYFUNCTION("""COMPUTED_VALUE"""),1.33)</f>
        <v>1.33</v>
      </c>
      <c r="C243" s="4">
        <f>IFERROR(__xludf.DUMMYFUNCTION("""COMPUTED_VALUE"""),2.32)</f>
        <v>2.32</v>
      </c>
      <c r="D243" s="4">
        <f>IFERROR(__xludf.DUMMYFUNCTION("""COMPUTED_VALUE"""),42.5)</f>
        <v>42.5</v>
      </c>
      <c r="E243" s="4">
        <f>IFERROR(__xludf.DUMMYFUNCTION("""COMPUTED_VALUE"""),5.6)</f>
        <v>5.6</v>
      </c>
      <c r="F243" s="4">
        <f>IFERROR(__xludf.DUMMYFUNCTION("""COMPUTED_VALUE"""),13.76)</f>
        <v>13.76</v>
      </c>
      <c r="G243" s="4">
        <f>IFERROR(__xludf.DUMMYFUNCTION("""COMPUTED_VALUE"""),13.69)</f>
        <v>13.69</v>
      </c>
      <c r="H243" s="4">
        <f>IFERROR(__xludf.DUMMYFUNCTION("""COMPUTED_VALUE"""),0.0)</f>
        <v>0</v>
      </c>
      <c r="I243" s="4">
        <f>IFERROR(__xludf.DUMMYFUNCTION("""COMPUTED_VALUE"""),2.97)</f>
        <v>2.97</v>
      </c>
      <c r="J243" s="4">
        <f>IFERROR(__xludf.DUMMYFUNCTION("""COMPUTED_VALUE"""),0.0)</f>
        <v>0</v>
      </c>
      <c r="K243" s="4">
        <f>IFERROR(__xludf.DUMMYFUNCTION("""COMPUTED_VALUE"""),376.7537)</f>
        <v>376.7537</v>
      </c>
      <c r="L243" s="4">
        <f>IFERROR(__xludf.DUMMYFUNCTION("""COMPUTED_VALUE"""),4.7942462144366464)</f>
        <v>4.794246214</v>
      </c>
    </row>
    <row r="244">
      <c r="A244" s="4" t="str">
        <f>IFERROR(__xludf.DUMMYFUNCTION("""COMPUTED_VALUE"""),"NGC3109")</f>
        <v>NGC3109</v>
      </c>
      <c r="B244" s="4">
        <f>IFERROR(__xludf.DUMMYFUNCTION("""COMPUTED_VALUE"""),1.33)</f>
        <v>1.33</v>
      </c>
      <c r="C244" s="4">
        <f>IFERROR(__xludf.DUMMYFUNCTION("""COMPUTED_VALUE"""),2.58)</f>
        <v>2.58</v>
      </c>
      <c r="D244" s="4">
        <f>IFERROR(__xludf.DUMMYFUNCTION("""COMPUTED_VALUE"""),42.3)</f>
        <v>42.3</v>
      </c>
      <c r="E244" s="4">
        <f>IFERROR(__xludf.DUMMYFUNCTION("""COMPUTED_VALUE"""),3.0)</f>
        <v>3</v>
      </c>
      <c r="F244" s="4">
        <f>IFERROR(__xludf.DUMMYFUNCTION("""COMPUTED_VALUE"""),14.44)</f>
        <v>14.44</v>
      </c>
      <c r="G244" s="4">
        <f>IFERROR(__xludf.DUMMYFUNCTION("""COMPUTED_VALUE"""),13.73)</f>
        <v>13.73</v>
      </c>
      <c r="H244" s="4">
        <f>IFERROR(__xludf.DUMMYFUNCTION("""COMPUTED_VALUE"""),0.0)</f>
        <v>0</v>
      </c>
      <c r="I244" s="4">
        <f>IFERROR(__xludf.DUMMYFUNCTION("""COMPUTED_VALUE"""),2.43)</f>
        <v>2.43</v>
      </c>
      <c r="J244" s="4">
        <f>IFERROR(__xludf.DUMMYFUNCTION("""COMPUTED_VALUE"""),0.0)</f>
        <v>0</v>
      </c>
      <c r="K244" s="4">
        <f>IFERROR(__xludf.DUMMYFUNCTION("""COMPUTED_VALUE"""),397.0265)</f>
        <v>397.0265</v>
      </c>
      <c r="L244" s="4">
        <f>IFERROR(__xludf.DUMMYFUNCTION("""COMPUTED_VALUE"""),4.506726880951271)</f>
        <v>4.506726881</v>
      </c>
    </row>
    <row r="245">
      <c r="A245" s="4" t="str">
        <f>IFERROR(__xludf.DUMMYFUNCTION("""COMPUTED_VALUE"""),"NGC3109")</f>
        <v>NGC3109</v>
      </c>
      <c r="B245" s="4">
        <f>IFERROR(__xludf.DUMMYFUNCTION("""COMPUTED_VALUE"""),1.33)</f>
        <v>1.33</v>
      </c>
      <c r="C245" s="4">
        <f>IFERROR(__xludf.DUMMYFUNCTION("""COMPUTED_VALUE"""),2.84)</f>
        <v>2.84</v>
      </c>
      <c r="D245" s="4">
        <f>IFERROR(__xludf.DUMMYFUNCTION("""COMPUTED_VALUE"""),47.3)</f>
        <v>47.3</v>
      </c>
      <c r="E245" s="4">
        <f>IFERROR(__xludf.DUMMYFUNCTION("""COMPUTED_VALUE"""),4.4)</f>
        <v>4.4</v>
      </c>
      <c r="F245" s="4">
        <f>IFERROR(__xludf.DUMMYFUNCTION("""COMPUTED_VALUE"""),15.04)</f>
        <v>15.04</v>
      </c>
      <c r="G245" s="4">
        <f>IFERROR(__xludf.DUMMYFUNCTION("""COMPUTED_VALUE"""),13.74)</f>
        <v>13.74</v>
      </c>
      <c r="H245" s="4">
        <f>IFERROR(__xludf.DUMMYFUNCTION("""COMPUTED_VALUE"""),0.0)</f>
        <v>0</v>
      </c>
      <c r="I245" s="4">
        <f>IFERROR(__xludf.DUMMYFUNCTION("""COMPUTED_VALUE"""),2.3)</f>
        <v>2.3</v>
      </c>
      <c r="J245" s="4">
        <f>IFERROR(__xludf.DUMMYFUNCTION("""COMPUTED_VALUE"""),0.0)</f>
        <v>0</v>
      </c>
      <c r="K245" s="4">
        <f>IFERROR(__xludf.DUMMYFUNCTION("""COMPUTED_VALUE"""),414.9892)</f>
        <v>414.9892</v>
      </c>
      <c r="L245" s="4">
        <f>IFERROR(__xludf.DUMMYFUNCTION("""COMPUTED_VALUE"""),5.391200542086396)</f>
        <v>5.391200542</v>
      </c>
    </row>
    <row r="246">
      <c r="A246" s="4" t="str">
        <f>IFERROR(__xludf.DUMMYFUNCTION("""COMPUTED_VALUE"""),"NGC3109")</f>
        <v>NGC3109</v>
      </c>
      <c r="B246" s="4">
        <f>IFERROR(__xludf.DUMMYFUNCTION("""COMPUTED_VALUE"""),1.33)</f>
        <v>1.33</v>
      </c>
      <c r="C246" s="4">
        <f>IFERROR(__xludf.DUMMYFUNCTION("""COMPUTED_VALUE"""),3.1)</f>
        <v>3.1</v>
      </c>
      <c r="D246" s="4">
        <f>IFERROR(__xludf.DUMMYFUNCTION("""COMPUTED_VALUE"""),49.3)</f>
        <v>49.3</v>
      </c>
      <c r="E246" s="4">
        <f>IFERROR(__xludf.DUMMYFUNCTION("""COMPUTED_VALUE"""),4.0)</f>
        <v>4</v>
      </c>
      <c r="F246" s="4">
        <f>IFERROR(__xludf.DUMMYFUNCTION("""COMPUTED_VALUE"""),15.37)</f>
        <v>15.37</v>
      </c>
      <c r="G246" s="4">
        <f>IFERROR(__xludf.DUMMYFUNCTION("""COMPUTED_VALUE"""),14.32)</f>
        <v>14.32</v>
      </c>
      <c r="H246" s="4">
        <f>IFERROR(__xludf.DUMMYFUNCTION("""COMPUTED_VALUE"""),0.0)</f>
        <v>0</v>
      </c>
      <c r="I246" s="4">
        <f>IFERROR(__xludf.DUMMYFUNCTION("""COMPUTED_VALUE"""),2.42)</f>
        <v>2.42</v>
      </c>
      <c r="J246" s="4">
        <f>IFERROR(__xludf.DUMMYFUNCTION("""COMPUTED_VALUE"""),0.0)</f>
        <v>0</v>
      </c>
      <c r="K246" s="4">
        <f>IFERROR(__xludf.DUMMYFUNCTION("""COMPUTED_VALUE"""),441.29929999999996)</f>
        <v>441.2993</v>
      </c>
      <c r="L246" s="4">
        <f>IFERROR(__xludf.DUMMYFUNCTION("""COMPUTED_VALUE"""),5.5075772837165164)</f>
        <v>5.507577284</v>
      </c>
    </row>
    <row r="247">
      <c r="A247" s="4" t="str">
        <f>IFERROR(__xludf.DUMMYFUNCTION("""COMPUTED_VALUE"""),"NGC3109")</f>
        <v>NGC3109</v>
      </c>
      <c r="B247" s="4">
        <f>IFERROR(__xludf.DUMMYFUNCTION("""COMPUTED_VALUE"""),1.33)</f>
        <v>1.33</v>
      </c>
      <c r="C247" s="4">
        <f>IFERROR(__xludf.DUMMYFUNCTION("""COMPUTED_VALUE"""),3.35)</f>
        <v>3.35</v>
      </c>
      <c r="D247" s="4">
        <f>IFERROR(__xludf.DUMMYFUNCTION("""COMPUTED_VALUE"""),50.6)</f>
        <v>50.6</v>
      </c>
      <c r="E247" s="4">
        <f>IFERROR(__xludf.DUMMYFUNCTION("""COMPUTED_VALUE"""),3.5)</f>
        <v>3.5</v>
      </c>
      <c r="F247" s="4">
        <f>IFERROR(__xludf.DUMMYFUNCTION("""COMPUTED_VALUE"""),15.75)</f>
        <v>15.75</v>
      </c>
      <c r="G247" s="4">
        <f>IFERROR(__xludf.DUMMYFUNCTION("""COMPUTED_VALUE"""),15.08)</f>
        <v>15.08</v>
      </c>
      <c r="H247" s="4">
        <f>IFERROR(__xludf.DUMMYFUNCTION("""COMPUTED_VALUE"""),0.0)</f>
        <v>0</v>
      </c>
      <c r="I247" s="4">
        <f>IFERROR(__xludf.DUMMYFUNCTION("""COMPUTED_VALUE"""),1.97)</f>
        <v>1.97</v>
      </c>
      <c r="J247" s="4">
        <f>IFERROR(__xludf.DUMMYFUNCTION("""COMPUTED_VALUE"""),0.0)</f>
        <v>0</v>
      </c>
      <c r="K247" s="4">
        <f>IFERROR(__xludf.DUMMYFUNCTION("""COMPUTED_VALUE"""),475.46889999999996)</f>
        <v>475.4689</v>
      </c>
      <c r="L247" s="4">
        <f>IFERROR(__xludf.DUMMYFUNCTION("""COMPUTED_VALUE"""),5.384915816786335)</f>
        <v>5.384915817</v>
      </c>
    </row>
    <row r="248">
      <c r="A248" s="4" t="str">
        <f>IFERROR(__xludf.DUMMYFUNCTION("""COMPUTED_VALUE"""),"NGC3109")</f>
        <v>NGC3109</v>
      </c>
      <c r="B248" s="4">
        <f>IFERROR(__xludf.DUMMYFUNCTION("""COMPUTED_VALUE"""),1.33)</f>
        <v>1.33</v>
      </c>
      <c r="C248" s="4">
        <f>IFERROR(__xludf.DUMMYFUNCTION("""COMPUTED_VALUE"""),3.61)</f>
        <v>3.61</v>
      </c>
      <c r="D248" s="4">
        <f>IFERROR(__xludf.DUMMYFUNCTION("""COMPUTED_VALUE"""),53.0)</f>
        <v>53</v>
      </c>
      <c r="E248" s="4">
        <f>IFERROR(__xludf.DUMMYFUNCTION("""COMPUTED_VALUE"""),3.5)</f>
        <v>3.5</v>
      </c>
      <c r="F248" s="4">
        <f>IFERROR(__xludf.DUMMYFUNCTION("""COMPUTED_VALUE"""),16.29)</f>
        <v>16.29</v>
      </c>
      <c r="G248" s="4">
        <f>IFERROR(__xludf.DUMMYFUNCTION("""COMPUTED_VALUE"""),15.34)</f>
        <v>15.34</v>
      </c>
      <c r="H248" s="4">
        <f>IFERROR(__xludf.DUMMYFUNCTION("""COMPUTED_VALUE"""),0.0)</f>
        <v>0</v>
      </c>
      <c r="I248" s="4">
        <f>IFERROR(__xludf.DUMMYFUNCTION("""COMPUTED_VALUE"""),1.22)</f>
        <v>1.22</v>
      </c>
      <c r="J248" s="4">
        <f>IFERROR(__xludf.DUMMYFUNCTION("""COMPUTED_VALUE"""),0.0)</f>
        <v>0</v>
      </c>
      <c r="K248" s="4">
        <f>IFERROR(__xludf.DUMMYFUNCTION("""COMPUTED_VALUE"""),500.6796999999999)</f>
        <v>500.6797</v>
      </c>
      <c r="L248" s="4">
        <f>IFERROR(__xludf.DUMMYFUNCTION("""COMPUTED_VALUE"""),5.61037325859227)</f>
        <v>5.610373259</v>
      </c>
    </row>
    <row r="249">
      <c r="A249" s="4" t="str">
        <f>IFERROR(__xludf.DUMMYFUNCTION("""COMPUTED_VALUE"""),"NGC3109")</f>
        <v>NGC3109</v>
      </c>
      <c r="B249" s="4">
        <f>IFERROR(__xludf.DUMMYFUNCTION("""COMPUTED_VALUE"""),1.33)</f>
        <v>1.33</v>
      </c>
      <c r="C249" s="4">
        <f>IFERROR(__xludf.DUMMYFUNCTION("""COMPUTED_VALUE"""),3.87)</f>
        <v>3.87</v>
      </c>
      <c r="D249" s="4">
        <f>IFERROR(__xludf.DUMMYFUNCTION("""COMPUTED_VALUE"""),54.7)</f>
        <v>54.7</v>
      </c>
      <c r="E249" s="4">
        <f>IFERROR(__xludf.DUMMYFUNCTION("""COMPUTED_VALUE"""),3.3)</f>
        <v>3.3</v>
      </c>
      <c r="F249" s="4">
        <f>IFERROR(__xludf.DUMMYFUNCTION("""COMPUTED_VALUE"""),16.37)</f>
        <v>16.37</v>
      </c>
      <c r="G249" s="4">
        <f>IFERROR(__xludf.DUMMYFUNCTION("""COMPUTED_VALUE"""),14.77)</f>
        <v>14.77</v>
      </c>
      <c r="H249" s="4">
        <f>IFERROR(__xludf.DUMMYFUNCTION("""COMPUTED_VALUE"""),0.0)</f>
        <v>0</v>
      </c>
      <c r="I249" s="4">
        <f>IFERROR(__xludf.DUMMYFUNCTION("""COMPUTED_VALUE"""),0.78)</f>
        <v>0.78</v>
      </c>
      <c r="J249" s="4">
        <f>IFERROR(__xludf.DUMMYFUNCTION("""COMPUTED_VALUE"""),0.0)</f>
        <v>0</v>
      </c>
      <c r="K249" s="4">
        <f>IFERROR(__xludf.DUMMYFUNCTION("""COMPUTED_VALUE"""),486.12980000000005)</f>
        <v>486.1298</v>
      </c>
      <c r="L249" s="4">
        <f>IFERROR(__xludf.DUMMYFUNCTION("""COMPUTED_VALUE"""),6.154919941135063)</f>
        <v>6.154919941</v>
      </c>
    </row>
    <row r="250">
      <c r="A250" s="4" t="str">
        <f>IFERROR(__xludf.DUMMYFUNCTION("""COMPUTED_VALUE"""),"NGC3109")</f>
        <v>NGC3109</v>
      </c>
      <c r="B250" s="4">
        <f>IFERROR(__xludf.DUMMYFUNCTION("""COMPUTED_VALUE"""),1.33)</f>
        <v>1.33</v>
      </c>
      <c r="C250" s="4">
        <f>IFERROR(__xludf.DUMMYFUNCTION("""COMPUTED_VALUE"""),4.13)</f>
        <v>4.13</v>
      </c>
      <c r="D250" s="4">
        <f>IFERROR(__xludf.DUMMYFUNCTION("""COMPUTED_VALUE"""),55.2)</f>
        <v>55.2</v>
      </c>
      <c r="E250" s="4">
        <f>IFERROR(__xludf.DUMMYFUNCTION("""COMPUTED_VALUE"""),3.1)</f>
        <v>3.1</v>
      </c>
      <c r="F250" s="4">
        <f>IFERROR(__xludf.DUMMYFUNCTION("""COMPUTED_VALUE"""),16.42)</f>
        <v>16.42</v>
      </c>
      <c r="G250" s="4">
        <f>IFERROR(__xludf.DUMMYFUNCTION("""COMPUTED_VALUE"""),14.16)</f>
        <v>14.16</v>
      </c>
      <c r="H250" s="4">
        <f>IFERROR(__xludf.DUMMYFUNCTION("""COMPUTED_VALUE"""),0.0)</f>
        <v>0</v>
      </c>
      <c r="I250" s="4">
        <f>IFERROR(__xludf.DUMMYFUNCTION("""COMPUTED_VALUE"""),0.69)</f>
        <v>0.69</v>
      </c>
      <c r="J250" s="4">
        <f>IFERROR(__xludf.DUMMYFUNCTION("""COMPUTED_VALUE"""),0.0)</f>
        <v>0</v>
      </c>
      <c r="K250" s="4">
        <f>IFERROR(__xludf.DUMMYFUNCTION("""COMPUTED_VALUE"""),470.12200000000007)</f>
        <v>470.122</v>
      </c>
      <c r="L250" s="4">
        <f>IFERROR(__xludf.DUMMYFUNCTION("""COMPUTED_VALUE"""),6.481381428650435)</f>
        <v>6.481381429</v>
      </c>
    </row>
    <row r="251">
      <c r="A251" s="4" t="str">
        <f>IFERROR(__xludf.DUMMYFUNCTION("""COMPUTED_VALUE"""),"NGC3109")</f>
        <v>NGC3109</v>
      </c>
      <c r="B251" s="4">
        <f>IFERROR(__xludf.DUMMYFUNCTION("""COMPUTED_VALUE"""),1.33)</f>
        <v>1.33</v>
      </c>
      <c r="C251" s="4">
        <f>IFERROR(__xludf.DUMMYFUNCTION("""COMPUTED_VALUE"""),4.38)</f>
        <v>4.38</v>
      </c>
      <c r="D251" s="4">
        <f>IFERROR(__xludf.DUMMYFUNCTION("""COMPUTED_VALUE"""),57.5)</f>
        <v>57.5</v>
      </c>
      <c r="E251" s="4">
        <f>IFERROR(__xludf.DUMMYFUNCTION("""COMPUTED_VALUE"""),2.6)</f>
        <v>2.6</v>
      </c>
      <c r="F251" s="4">
        <f>IFERROR(__xludf.DUMMYFUNCTION("""COMPUTED_VALUE"""),16.88)</f>
        <v>16.88</v>
      </c>
      <c r="G251" s="4">
        <f>IFERROR(__xludf.DUMMYFUNCTION("""COMPUTED_VALUE"""),13.87)</f>
        <v>13.87</v>
      </c>
      <c r="H251" s="4">
        <f>IFERROR(__xludf.DUMMYFUNCTION("""COMPUTED_VALUE"""),0.0)</f>
        <v>0</v>
      </c>
      <c r="I251" s="4">
        <f>IFERROR(__xludf.DUMMYFUNCTION("""COMPUTED_VALUE"""),0.81)</f>
        <v>0.81</v>
      </c>
      <c r="J251" s="4">
        <f>IFERROR(__xludf.DUMMYFUNCTION("""COMPUTED_VALUE"""),0.0)</f>
        <v>0</v>
      </c>
      <c r="K251" s="4">
        <f>IFERROR(__xludf.DUMMYFUNCTION("""COMPUTED_VALUE"""),477.31129999999996)</f>
        <v>477.3113</v>
      </c>
      <c r="L251" s="4">
        <f>IFERROR(__xludf.DUMMYFUNCTION("""COMPUTED_VALUE"""),6.926821133293933)</f>
        <v>6.926821133</v>
      </c>
    </row>
    <row r="252">
      <c r="A252" s="4" t="str">
        <f>IFERROR(__xludf.DUMMYFUNCTION("""COMPUTED_VALUE"""),"NGC3109")</f>
        <v>NGC3109</v>
      </c>
      <c r="B252" s="4">
        <f>IFERROR(__xludf.DUMMYFUNCTION("""COMPUTED_VALUE"""),1.33)</f>
        <v>1.33</v>
      </c>
      <c r="C252" s="4">
        <f>IFERROR(__xludf.DUMMYFUNCTION("""COMPUTED_VALUE"""),4.64)</f>
        <v>4.64</v>
      </c>
      <c r="D252" s="4">
        <f>IFERROR(__xludf.DUMMYFUNCTION("""COMPUTED_VALUE"""),59.1)</f>
        <v>59.1</v>
      </c>
      <c r="E252" s="4">
        <f>IFERROR(__xludf.DUMMYFUNCTION("""COMPUTED_VALUE"""),2.4)</f>
        <v>2.4</v>
      </c>
      <c r="F252" s="4">
        <f>IFERROR(__xludf.DUMMYFUNCTION("""COMPUTED_VALUE"""),17.22)</f>
        <v>17.22</v>
      </c>
      <c r="G252" s="4">
        <f>IFERROR(__xludf.DUMMYFUNCTION("""COMPUTED_VALUE"""),13.96)</f>
        <v>13.96</v>
      </c>
      <c r="H252" s="4">
        <f>IFERROR(__xludf.DUMMYFUNCTION("""COMPUTED_VALUE"""),0.0)</f>
        <v>0</v>
      </c>
      <c r="I252" s="4">
        <f>IFERROR(__xludf.DUMMYFUNCTION("""COMPUTED_VALUE"""),0.75)</f>
        <v>0.75</v>
      </c>
      <c r="J252" s="4">
        <f>IFERROR(__xludf.DUMMYFUNCTION("""COMPUTED_VALUE"""),0.0)</f>
        <v>0</v>
      </c>
      <c r="K252" s="4">
        <f>IFERROR(__xludf.DUMMYFUNCTION("""COMPUTED_VALUE"""),491.40999999999997)</f>
        <v>491.41</v>
      </c>
      <c r="L252" s="4">
        <f>IFERROR(__xludf.DUMMYFUNCTION("""COMPUTED_VALUE"""),7.107730815408722)</f>
        <v>7.107730815</v>
      </c>
    </row>
    <row r="253">
      <c r="A253" s="4" t="str">
        <f>IFERROR(__xludf.DUMMYFUNCTION("""COMPUTED_VALUE"""),"NGC3109")</f>
        <v>NGC3109</v>
      </c>
      <c r="B253" s="4">
        <f>IFERROR(__xludf.DUMMYFUNCTION("""COMPUTED_VALUE"""),1.33)</f>
        <v>1.33</v>
      </c>
      <c r="C253" s="4">
        <f>IFERROR(__xludf.DUMMYFUNCTION("""COMPUTED_VALUE"""),4.9)</f>
        <v>4.9</v>
      </c>
      <c r="D253" s="4">
        <f>IFERROR(__xludf.DUMMYFUNCTION("""COMPUTED_VALUE"""),61.2)</f>
        <v>61.2</v>
      </c>
      <c r="E253" s="4">
        <f>IFERROR(__xludf.DUMMYFUNCTION("""COMPUTED_VALUE"""),1.9)</f>
        <v>1.9</v>
      </c>
      <c r="F253" s="4">
        <f>IFERROR(__xludf.DUMMYFUNCTION("""COMPUTED_VALUE"""),17.66)</f>
        <v>17.66</v>
      </c>
      <c r="G253" s="4">
        <f>IFERROR(__xludf.DUMMYFUNCTION("""COMPUTED_VALUE"""),14.01)</f>
        <v>14.01</v>
      </c>
      <c r="H253" s="4">
        <f>IFERROR(__xludf.DUMMYFUNCTION("""COMPUTED_VALUE"""),0.0)</f>
        <v>0</v>
      </c>
      <c r="I253" s="4">
        <f>IFERROR(__xludf.DUMMYFUNCTION("""COMPUTED_VALUE"""),0.64)</f>
        <v>0.64</v>
      </c>
      <c r="J253" s="4">
        <f>IFERROR(__xludf.DUMMYFUNCTION("""COMPUTED_VALUE"""),0.0)</f>
        <v>0</v>
      </c>
      <c r="K253" s="4">
        <f>IFERROR(__xludf.DUMMYFUNCTION("""COMPUTED_VALUE"""),508.1557)</f>
        <v>508.1557</v>
      </c>
      <c r="L253" s="4">
        <f>IFERROR(__xludf.DUMMYFUNCTION("""COMPUTED_VALUE"""),7.370654309299296)</f>
        <v>7.370654309</v>
      </c>
    </row>
    <row r="254">
      <c r="A254" s="4" t="str">
        <f>IFERROR(__xludf.DUMMYFUNCTION("""COMPUTED_VALUE"""),"NGC3109")</f>
        <v>NGC3109</v>
      </c>
      <c r="B254" s="4">
        <f>IFERROR(__xludf.DUMMYFUNCTION("""COMPUTED_VALUE"""),1.33)</f>
        <v>1.33</v>
      </c>
      <c r="C254" s="4">
        <f>IFERROR(__xludf.DUMMYFUNCTION("""COMPUTED_VALUE"""),5.16)</f>
        <v>5.16</v>
      </c>
      <c r="D254" s="4">
        <f>IFERROR(__xludf.DUMMYFUNCTION("""COMPUTED_VALUE"""),62.7)</f>
        <v>62.7</v>
      </c>
      <c r="E254" s="4">
        <f>IFERROR(__xludf.DUMMYFUNCTION("""COMPUTED_VALUE"""),1.9)</f>
        <v>1.9</v>
      </c>
      <c r="F254" s="4">
        <f>IFERROR(__xludf.DUMMYFUNCTION("""COMPUTED_VALUE"""),18.09)</f>
        <v>18.09</v>
      </c>
      <c r="G254" s="4">
        <f>IFERROR(__xludf.DUMMYFUNCTION("""COMPUTED_VALUE"""),14.01)</f>
        <v>14.01</v>
      </c>
      <c r="H254" s="4">
        <f>IFERROR(__xludf.DUMMYFUNCTION("""COMPUTED_VALUE"""),0.0)</f>
        <v>0</v>
      </c>
      <c r="I254" s="4">
        <f>IFERROR(__xludf.DUMMYFUNCTION("""COMPUTED_VALUE"""),0.51)</f>
        <v>0.51</v>
      </c>
      <c r="J254" s="4">
        <f>IFERROR(__xludf.DUMMYFUNCTION("""COMPUTED_VALUE"""),0.0)</f>
        <v>0</v>
      </c>
      <c r="K254" s="4">
        <f>IFERROR(__xludf.DUMMYFUNCTION("""COMPUTED_VALUE"""),523.5282)</f>
        <v>523.5282</v>
      </c>
      <c r="L254" s="4">
        <f>IFERROR(__xludf.DUMMYFUNCTION("""COMPUTED_VALUE"""),7.509222998875707)</f>
        <v>7.509222999</v>
      </c>
    </row>
    <row r="255">
      <c r="A255" s="4" t="str">
        <f>IFERROR(__xludf.DUMMYFUNCTION("""COMPUTED_VALUE"""),"NGC3109")</f>
        <v>NGC3109</v>
      </c>
      <c r="B255" s="4">
        <f>IFERROR(__xludf.DUMMYFUNCTION("""COMPUTED_VALUE"""),1.33)</f>
        <v>1.33</v>
      </c>
      <c r="C255" s="4">
        <f>IFERROR(__xludf.DUMMYFUNCTION("""COMPUTED_VALUE"""),5.42)</f>
        <v>5.42</v>
      </c>
      <c r="D255" s="4">
        <f>IFERROR(__xludf.DUMMYFUNCTION("""COMPUTED_VALUE"""),64.4)</f>
        <v>64.4</v>
      </c>
      <c r="E255" s="4">
        <f>IFERROR(__xludf.DUMMYFUNCTION("""COMPUTED_VALUE"""),2.9)</f>
        <v>2.9</v>
      </c>
      <c r="F255" s="4">
        <f>IFERROR(__xludf.DUMMYFUNCTION("""COMPUTED_VALUE"""),18.73)</f>
        <v>18.73</v>
      </c>
      <c r="G255" s="4">
        <f>IFERROR(__xludf.DUMMYFUNCTION("""COMPUTED_VALUE"""),13.96)</f>
        <v>13.96</v>
      </c>
      <c r="H255" s="4">
        <f>IFERROR(__xludf.DUMMYFUNCTION("""COMPUTED_VALUE"""),0.0)</f>
        <v>0</v>
      </c>
      <c r="I255" s="4">
        <f>IFERROR(__xludf.DUMMYFUNCTION("""COMPUTED_VALUE"""),0.43)</f>
        <v>0.43</v>
      </c>
      <c r="J255" s="4">
        <f>IFERROR(__xludf.DUMMYFUNCTION("""COMPUTED_VALUE"""),0.0)</f>
        <v>0</v>
      </c>
      <c r="K255" s="4">
        <f>IFERROR(__xludf.DUMMYFUNCTION("""COMPUTED_VALUE"""),545.6945000000001)</f>
        <v>545.6945</v>
      </c>
      <c r="L255" s="4">
        <f>IFERROR(__xludf.DUMMYFUNCTION("""COMPUTED_VALUE"""),7.60014990072284)</f>
        <v>7.600149901</v>
      </c>
    </row>
    <row r="256">
      <c r="A256" s="4" t="str">
        <f>IFERROR(__xludf.DUMMYFUNCTION("""COMPUTED_VALUE"""),"NGC3109")</f>
        <v>NGC3109</v>
      </c>
      <c r="B256" s="4">
        <f>IFERROR(__xludf.DUMMYFUNCTION("""COMPUTED_VALUE"""),1.33)</f>
        <v>1.33</v>
      </c>
      <c r="C256" s="4">
        <f>IFERROR(__xludf.DUMMYFUNCTION("""COMPUTED_VALUE"""),5.67)</f>
        <v>5.67</v>
      </c>
      <c r="D256" s="4">
        <f>IFERROR(__xludf.DUMMYFUNCTION("""COMPUTED_VALUE"""),66.6)</f>
        <v>66.6</v>
      </c>
      <c r="E256" s="4">
        <f>IFERROR(__xludf.DUMMYFUNCTION("""COMPUTED_VALUE"""),3.2)</f>
        <v>3.2</v>
      </c>
      <c r="F256" s="4">
        <f>IFERROR(__xludf.DUMMYFUNCTION("""COMPUTED_VALUE"""),19.3)</f>
        <v>19.3</v>
      </c>
      <c r="G256" s="4">
        <f>IFERROR(__xludf.DUMMYFUNCTION("""COMPUTED_VALUE"""),13.99)</f>
        <v>13.99</v>
      </c>
      <c r="H256" s="4">
        <f>IFERROR(__xludf.DUMMYFUNCTION("""COMPUTED_VALUE"""),0.0)</f>
        <v>0</v>
      </c>
      <c r="I256" s="4">
        <f>IFERROR(__xludf.DUMMYFUNCTION("""COMPUTED_VALUE"""),0.36)</f>
        <v>0.36</v>
      </c>
      <c r="J256" s="4">
        <f>IFERROR(__xludf.DUMMYFUNCTION("""COMPUTED_VALUE"""),0.0)</f>
        <v>0</v>
      </c>
      <c r="K256" s="4">
        <f>IFERROR(__xludf.DUMMYFUNCTION("""COMPUTED_VALUE"""),568.2101)</f>
        <v>568.2101</v>
      </c>
      <c r="L256" s="4">
        <f>IFERROR(__xludf.DUMMYFUNCTION("""COMPUTED_VALUE"""),7.806197038736199)</f>
        <v>7.806197039</v>
      </c>
    </row>
    <row r="257">
      <c r="A257" s="4" t="str">
        <f>IFERROR(__xludf.DUMMYFUNCTION("""COMPUTED_VALUE"""),"NGC3109")</f>
        <v>NGC3109</v>
      </c>
      <c r="B257" s="4">
        <f>IFERROR(__xludf.DUMMYFUNCTION("""COMPUTED_VALUE"""),1.33)</f>
        <v>1.33</v>
      </c>
      <c r="C257" s="4">
        <f>IFERROR(__xludf.DUMMYFUNCTION("""COMPUTED_VALUE"""),5.93)</f>
        <v>5.93</v>
      </c>
      <c r="D257" s="4">
        <f>IFERROR(__xludf.DUMMYFUNCTION("""COMPUTED_VALUE"""),66.3)</f>
        <v>66.3</v>
      </c>
      <c r="E257" s="4">
        <f>IFERROR(__xludf.DUMMYFUNCTION("""COMPUTED_VALUE"""),3.4)</f>
        <v>3.4</v>
      </c>
      <c r="F257" s="4">
        <f>IFERROR(__xludf.DUMMYFUNCTION("""COMPUTED_VALUE"""),19.36)</f>
        <v>19.36</v>
      </c>
      <c r="G257" s="4">
        <f>IFERROR(__xludf.DUMMYFUNCTION("""COMPUTED_VALUE"""),13.93)</f>
        <v>13.93</v>
      </c>
      <c r="H257" s="4">
        <f>IFERROR(__xludf.DUMMYFUNCTION("""COMPUTED_VALUE"""),0.0)</f>
        <v>0</v>
      </c>
      <c r="I257" s="4">
        <f>IFERROR(__xludf.DUMMYFUNCTION("""COMPUTED_VALUE"""),0.0)</f>
        <v>0</v>
      </c>
      <c r="J257" s="4">
        <f>IFERROR(__xludf.DUMMYFUNCTION("""COMPUTED_VALUE"""),0.0)</f>
        <v>0</v>
      </c>
      <c r="K257" s="4">
        <f>IFERROR(__xludf.DUMMYFUNCTION("""COMPUTED_VALUE"""),568.8544999999999)</f>
        <v>568.8545</v>
      </c>
      <c r="L257" s="4">
        <f>IFERROR(__xludf.DUMMYFUNCTION("""COMPUTED_VALUE"""),7.727265935313864)</f>
        <v>7.727265935</v>
      </c>
    </row>
    <row r="258">
      <c r="A258" s="4" t="str">
        <f>IFERROR(__xludf.DUMMYFUNCTION("""COMPUTED_VALUE"""),"NGC3109")</f>
        <v>NGC3109</v>
      </c>
      <c r="B258" s="4">
        <f>IFERROR(__xludf.DUMMYFUNCTION("""COMPUTED_VALUE"""),1.33)</f>
        <v>1.33</v>
      </c>
      <c r="C258" s="4">
        <f>IFERROR(__xludf.DUMMYFUNCTION("""COMPUTED_VALUE"""),6.19)</f>
        <v>6.19</v>
      </c>
      <c r="D258" s="4">
        <f>IFERROR(__xludf.DUMMYFUNCTION("""COMPUTED_VALUE"""),66.2)</f>
        <v>66.2</v>
      </c>
      <c r="E258" s="4">
        <f>IFERROR(__xludf.DUMMYFUNCTION("""COMPUTED_VALUE"""),3.2)</f>
        <v>3.2</v>
      </c>
      <c r="F258" s="4">
        <f>IFERROR(__xludf.DUMMYFUNCTION("""COMPUTED_VALUE"""),19.43)</f>
        <v>19.43</v>
      </c>
      <c r="G258" s="4">
        <f>IFERROR(__xludf.DUMMYFUNCTION("""COMPUTED_VALUE"""),13.15)</f>
        <v>13.15</v>
      </c>
      <c r="H258" s="4">
        <f>IFERROR(__xludf.DUMMYFUNCTION("""COMPUTED_VALUE"""),0.0)</f>
        <v>0</v>
      </c>
      <c r="I258" s="4">
        <f>IFERROR(__xludf.DUMMYFUNCTION("""COMPUTED_VALUE"""),0.0)</f>
        <v>0</v>
      </c>
      <c r="J258" s="4">
        <f>IFERROR(__xludf.DUMMYFUNCTION("""COMPUTED_VALUE"""),0.0)</f>
        <v>0</v>
      </c>
      <c r="K258" s="4">
        <f>IFERROR(__xludf.DUMMYFUNCTION("""COMPUTED_VALUE"""),550.4474)</f>
        <v>550.4474</v>
      </c>
      <c r="L258" s="4">
        <f>IFERROR(__xludf.DUMMYFUNCTION("""COMPUTED_VALUE"""),7.961596330548569)</f>
        <v>7.961596331</v>
      </c>
    </row>
    <row r="259">
      <c r="A259" s="5" t="str">
        <f>IFERROR(__xludf.DUMMYFUNCTION("""COMPUTED_VALUE"""),"NGC3109")</f>
        <v>NGC3109</v>
      </c>
      <c r="B259" s="5">
        <f>IFERROR(__xludf.DUMMYFUNCTION("""COMPUTED_VALUE"""),1.33)</f>
        <v>1.33</v>
      </c>
      <c r="C259" s="5">
        <f>IFERROR(__xludf.DUMMYFUNCTION("""COMPUTED_VALUE"""),6.45)</f>
        <v>6.45</v>
      </c>
      <c r="D259" s="5">
        <f>IFERROR(__xludf.DUMMYFUNCTION("""COMPUTED_VALUE"""),67.3)</f>
        <v>67.3</v>
      </c>
      <c r="E259" s="5">
        <f>IFERROR(__xludf.DUMMYFUNCTION("""COMPUTED_VALUE"""),3.0)</f>
        <v>3</v>
      </c>
      <c r="F259" s="5">
        <f>IFERROR(__xludf.DUMMYFUNCTION("""COMPUTED_VALUE"""),19.41)</f>
        <v>19.41</v>
      </c>
      <c r="G259" s="5">
        <f>IFERROR(__xludf.DUMMYFUNCTION("""COMPUTED_VALUE"""),12.62)</f>
        <v>12.62</v>
      </c>
      <c r="H259" s="5">
        <f>IFERROR(__xludf.DUMMYFUNCTION("""COMPUTED_VALUE"""),0.0)</f>
        <v>0</v>
      </c>
      <c r="I259" s="5">
        <f>IFERROR(__xludf.DUMMYFUNCTION("""COMPUTED_VALUE"""),0.0)</f>
        <v>0</v>
      </c>
      <c r="J259" s="5">
        <f>IFERROR(__xludf.DUMMYFUNCTION("""COMPUTED_VALUE"""),0.0)</f>
        <v>0</v>
      </c>
      <c r="K259" s="5">
        <f>IFERROR(__xludf.DUMMYFUNCTION("""COMPUTED_VALUE"""),536.0125)</f>
        <v>536.0125</v>
      </c>
      <c r="L259" s="5">
        <f>IFERROR(__xludf.DUMMYFUNCTION("""COMPUTED_VALUE"""),8.44997084956041)</f>
        <v>8.44997085</v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4" t="str">
        <f>IFERROR(__xludf.DUMMYFUNCTION("""COMPUTED_VALUE"""),"NGC3741")</f>
        <v>NGC3741</v>
      </c>
      <c r="B260" s="4">
        <f>IFERROR(__xludf.DUMMYFUNCTION("""COMPUTED_VALUE"""),3.21)</f>
        <v>3.21</v>
      </c>
      <c r="C260" s="4">
        <f>IFERROR(__xludf.DUMMYFUNCTION("""COMPUTED_VALUE"""),0.23)</f>
        <v>0.23</v>
      </c>
      <c r="D260" s="4">
        <f>IFERROR(__xludf.DUMMYFUNCTION("""COMPUTED_VALUE"""),13.1)</f>
        <v>13.1</v>
      </c>
      <c r="E260" s="4">
        <f>IFERROR(__xludf.DUMMYFUNCTION("""COMPUTED_VALUE"""),2.19)</f>
        <v>2.19</v>
      </c>
      <c r="F260" s="4">
        <f>IFERROR(__xludf.DUMMYFUNCTION("""COMPUTED_VALUE"""),2.45)</f>
        <v>2.45</v>
      </c>
      <c r="G260" s="4">
        <f>IFERROR(__xludf.DUMMYFUNCTION("""COMPUTED_VALUE"""),11.6)</f>
        <v>11.6</v>
      </c>
      <c r="H260" s="4">
        <f>IFERROR(__xludf.DUMMYFUNCTION("""COMPUTED_VALUE"""),0.0)</f>
        <v>0</v>
      </c>
      <c r="I260" s="4">
        <f>IFERROR(__xludf.DUMMYFUNCTION("""COMPUTED_VALUE"""),35.93)</f>
        <v>35.93</v>
      </c>
      <c r="J260" s="4">
        <f>IFERROR(__xludf.DUMMYFUNCTION("""COMPUTED_VALUE"""),0.0)</f>
        <v>0</v>
      </c>
      <c r="K260" s="4">
        <f>IFERROR(__xludf.DUMMYFUNCTION("""COMPUTED_VALUE"""),140.5625)</f>
        <v>140.5625</v>
      </c>
      <c r="L260" s="4">
        <f>IFERROR(__xludf.DUMMYFUNCTION("""COMPUTED_VALUE"""),1.2208803912850155)</f>
        <v>1.220880391</v>
      </c>
    </row>
    <row r="261">
      <c r="A261" s="4" t="str">
        <f>IFERROR(__xludf.DUMMYFUNCTION("""COMPUTED_VALUE"""),"NGC3741")</f>
        <v>NGC3741</v>
      </c>
      <c r="B261" s="4">
        <f>IFERROR(__xludf.DUMMYFUNCTION("""COMPUTED_VALUE"""),3.21)</f>
        <v>3.21</v>
      </c>
      <c r="C261" s="4">
        <f>IFERROR(__xludf.DUMMYFUNCTION("""COMPUTED_VALUE"""),0.47)</f>
        <v>0.47</v>
      </c>
      <c r="D261" s="4">
        <f>IFERROR(__xludf.DUMMYFUNCTION("""COMPUTED_VALUE"""),17.3)</f>
        <v>17.3</v>
      </c>
      <c r="E261" s="4">
        <f>IFERROR(__xludf.DUMMYFUNCTION("""COMPUTED_VALUE"""),2.39)</f>
        <v>2.39</v>
      </c>
      <c r="F261" s="4">
        <f>IFERROR(__xludf.DUMMYFUNCTION("""COMPUTED_VALUE"""),4.75)</f>
        <v>4.75</v>
      </c>
      <c r="G261" s="4">
        <f>IFERROR(__xludf.DUMMYFUNCTION("""COMPUTED_VALUE"""),13.88)</f>
        <v>13.88</v>
      </c>
      <c r="H261" s="4">
        <f>IFERROR(__xludf.DUMMYFUNCTION("""COMPUTED_VALUE"""),0.0)</f>
        <v>0</v>
      </c>
      <c r="I261" s="4">
        <f>IFERROR(__xludf.DUMMYFUNCTION("""COMPUTED_VALUE"""),9.96)</f>
        <v>9.96</v>
      </c>
      <c r="J261" s="4">
        <f>IFERROR(__xludf.DUMMYFUNCTION("""COMPUTED_VALUE"""),0.0)</f>
        <v>0</v>
      </c>
      <c r="K261" s="4">
        <f>IFERROR(__xludf.DUMMYFUNCTION("""COMPUTED_VALUE"""),215.2169)</f>
        <v>215.2169</v>
      </c>
      <c r="L261" s="4">
        <f>IFERROR(__xludf.DUMMYFUNCTION("""COMPUTED_VALUE"""),1.3906435786408968)</f>
        <v>1.390643579</v>
      </c>
    </row>
    <row r="262">
      <c r="A262" s="4" t="str">
        <f>IFERROR(__xludf.DUMMYFUNCTION("""COMPUTED_VALUE"""),"NGC3741")</f>
        <v>NGC3741</v>
      </c>
      <c r="B262" s="4">
        <f>IFERROR(__xludf.DUMMYFUNCTION("""COMPUTED_VALUE"""),3.21)</f>
        <v>3.21</v>
      </c>
      <c r="C262" s="4">
        <f>IFERROR(__xludf.DUMMYFUNCTION("""COMPUTED_VALUE"""),0.7)</f>
        <v>0.7</v>
      </c>
      <c r="D262" s="4">
        <f>IFERROR(__xludf.DUMMYFUNCTION("""COMPUTED_VALUE"""),23.6)</f>
        <v>23.6</v>
      </c>
      <c r="E262" s="4">
        <f>IFERROR(__xludf.DUMMYFUNCTION("""COMPUTED_VALUE"""),2.21)</f>
        <v>2.21</v>
      </c>
      <c r="F262" s="4">
        <f>IFERROR(__xludf.DUMMYFUNCTION("""COMPUTED_VALUE"""),6.71)</f>
        <v>6.71</v>
      </c>
      <c r="G262" s="4">
        <f>IFERROR(__xludf.DUMMYFUNCTION("""COMPUTED_VALUE"""),13.02)</f>
        <v>13.02</v>
      </c>
      <c r="H262" s="4">
        <f>IFERROR(__xludf.DUMMYFUNCTION("""COMPUTED_VALUE"""),0.0)</f>
        <v>0</v>
      </c>
      <c r="I262" s="4">
        <f>IFERROR(__xludf.DUMMYFUNCTION("""COMPUTED_VALUE"""),2.76)</f>
        <v>2.76</v>
      </c>
      <c r="J262" s="4">
        <f>IFERROR(__xludf.DUMMYFUNCTION("""COMPUTED_VALUE"""),0.0)</f>
        <v>0</v>
      </c>
      <c r="K262" s="4">
        <f>IFERROR(__xludf.DUMMYFUNCTION("""COMPUTED_VALUE"""),214.5445)</f>
        <v>214.5445</v>
      </c>
      <c r="L262" s="4">
        <f>IFERROR(__xludf.DUMMYFUNCTION("""COMPUTED_VALUE"""),2.5960115500513883)</f>
        <v>2.59601155</v>
      </c>
    </row>
    <row r="263">
      <c r="A263" s="4" t="str">
        <f>IFERROR(__xludf.DUMMYFUNCTION("""COMPUTED_VALUE"""),"NGC3741")</f>
        <v>NGC3741</v>
      </c>
      <c r="B263" s="4">
        <f>IFERROR(__xludf.DUMMYFUNCTION("""COMPUTED_VALUE"""),3.21)</f>
        <v>3.21</v>
      </c>
      <c r="C263" s="4">
        <f>IFERROR(__xludf.DUMMYFUNCTION("""COMPUTED_VALUE"""),0.93)</f>
        <v>0.93</v>
      </c>
      <c r="D263" s="4">
        <f>IFERROR(__xludf.DUMMYFUNCTION("""COMPUTED_VALUE"""),26.2)</f>
        <v>26.2</v>
      </c>
      <c r="E263" s="4">
        <f>IFERROR(__xludf.DUMMYFUNCTION("""COMPUTED_VALUE"""),2.21)</f>
        <v>2.21</v>
      </c>
      <c r="F263" s="4">
        <f>IFERROR(__xludf.DUMMYFUNCTION("""COMPUTED_VALUE"""),7.8)</f>
        <v>7.8</v>
      </c>
      <c r="G263" s="4">
        <f>IFERROR(__xludf.DUMMYFUNCTION("""COMPUTED_VALUE"""),11.93)</f>
        <v>11.93</v>
      </c>
      <c r="H263" s="4">
        <f>IFERROR(__xludf.DUMMYFUNCTION("""COMPUTED_VALUE"""),0.0)</f>
        <v>0</v>
      </c>
      <c r="I263" s="4">
        <f>IFERROR(__xludf.DUMMYFUNCTION("""COMPUTED_VALUE"""),1.21)</f>
        <v>1.21</v>
      </c>
      <c r="J263" s="4">
        <f>IFERROR(__xludf.DUMMYFUNCTION("""COMPUTED_VALUE"""),0.0)</f>
        <v>0</v>
      </c>
      <c r="K263" s="4">
        <f>IFERROR(__xludf.DUMMYFUNCTION("""COMPUTED_VALUE"""),203.1649)</f>
        <v>203.1649</v>
      </c>
      <c r="L263" s="4">
        <f>IFERROR(__xludf.DUMMYFUNCTION("""COMPUTED_VALUE"""),3.378733235908368)</f>
        <v>3.378733236</v>
      </c>
    </row>
    <row r="264">
      <c r="A264" s="4" t="str">
        <f>IFERROR(__xludf.DUMMYFUNCTION("""COMPUTED_VALUE"""),"NGC3741")</f>
        <v>NGC3741</v>
      </c>
      <c r="B264" s="4">
        <f>IFERROR(__xludf.DUMMYFUNCTION("""COMPUTED_VALUE"""),3.21)</f>
        <v>3.21</v>
      </c>
      <c r="C264" s="4">
        <f>IFERROR(__xludf.DUMMYFUNCTION("""COMPUTED_VALUE"""),1.17)</f>
        <v>1.17</v>
      </c>
      <c r="D264" s="4">
        <f>IFERROR(__xludf.DUMMYFUNCTION("""COMPUTED_VALUE"""),27.4)</f>
        <v>27.4</v>
      </c>
      <c r="E264" s="4">
        <f>IFERROR(__xludf.DUMMYFUNCTION("""COMPUTED_VALUE"""),2.24)</f>
        <v>2.24</v>
      </c>
      <c r="F264" s="4">
        <f>IFERROR(__xludf.DUMMYFUNCTION("""COMPUTED_VALUE"""),8.39)</f>
        <v>8.39</v>
      </c>
      <c r="G264" s="4">
        <f>IFERROR(__xludf.DUMMYFUNCTION("""COMPUTED_VALUE"""),10.78)</f>
        <v>10.78</v>
      </c>
      <c r="H264" s="4">
        <f>IFERROR(__xludf.DUMMYFUNCTION("""COMPUTED_VALUE"""),0.0)</f>
        <v>0</v>
      </c>
      <c r="I264" s="4">
        <f>IFERROR(__xludf.DUMMYFUNCTION("""COMPUTED_VALUE"""),0.32)</f>
        <v>0.32</v>
      </c>
      <c r="J264" s="4">
        <f>IFERROR(__xludf.DUMMYFUNCTION("""COMPUTED_VALUE"""),0.0)</f>
        <v>0</v>
      </c>
      <c r="K264" s="4">
        <f>IFERROR(__xludf.DUMMYFUNCTION("""COMPUTED_VALUE"""),186.6005)</f>
        <v>186.6005</v>
      </c>
      <c r="L264" s="4">
        <f>IFERROR(__xludf.DUMMYFUNCTION("""COMPUTED_VALUE"""),4.023354706980956)</f>
        <v>4.023354707</v>
      </c>
    </row>
    <row r="265">
      <c r="A265" s="4" t="str">
        <f>IFERROR(__xludf.DUMMYFUNCTION("""COMPUTED_VALUE"""),"NGC3741")</f>
        <v>NGC3741</v>
      </c>
      <c r="B265" s="4">
        <f>IFERROR(__xludf.DUMMYFUNCTION("""COMPUTED_VALUE"""),3.21)</f>
        <v>3.21</v>
      </c>
      <c r="C265" s="4">
        <f>IFERROR(__xludf.DUMMYFUNCTION("""COMPUTED_VALUE"""),1.4)</f>
        <v>1.4</v>
      </c>
      <c r="D265" s="4">
        <f>IFERROR(__xludf.DUMMYFUNCTION("""COMPUTED_VALUE"""),26.9)</f>
        <v>26.9</v>
      </c>
      <c r="E265" s="4">
        <f>IFERROR(__xludf.DUMMYFUNCTION("""COMPUTED_VALUE"""),2.23)</f>
        <v>2.23</v>
      </c>
      <c r="F265" s="4">
        <f>IFERROR(__xludf.DUMMYFUNCTION("""COMPUTED_VALUE"""),8.84)</f>
        <v>8.84</v>
      </c>
      <c r="G265" s="4">
        <f>IFERROR(__xludf.DUMMYFUNCTION("""COMPUTED_VALUE"""),9.72)</f>
        <v>9.72</v>
      </c>
      <c r="H265" s="4">
        <f>IFERROR(__xludf.DUMMYFUNCTION("""COMPUTED_VALUE"""),0.0)</f>
        <v>0</v>
      </c>
      <c r="I265" s="4">
        <f>IFERROR(__xludf.DUMMYFUNCTION("""COMPUTED_VALUE"""),0.1)</f>
        <v>0.1</v>
      </c>
      <c r="J265" s="4">
        <f>IFERROR(__xludf.DUMMYFUNCTION("""COMPUTED_VALUE"""),0.0)</f>
        <v>0</v>
      </c>
      <c r="K265" s="4">
        <f>IFERROR(__xludf.DUMMYFUNCTION("""COMPUTED_VALUE"""),172.62400000000002)</f>
        <v>172.624</v>
      </c>
      <c r="L265" s="4">
        <f>IFERROR(__xludf.DUMMYFUNCTION("""COMPUTED_VALUE"""),4.191827324126424)</f>
        <v>4.191827324</v>
      </c>
    </row>
    <row r="266">
      <c r="A266" s="4" t="str">
        <f>IFERROR(__xludf.DUMMYFUNCTION("""COMPUTED_VALUE"""),"NGC3741")</f>
        <v>NGC3741</v>
      </c>
      <c r="B266" s="4">
        <f>IFERROR(__xludf.DUMMYFUNCTION("""COMPUTED_VALUE"""),3.21)</f>
        <v>3.21</v>
      </c>
      <c r="C266" s="4">
        <f>IFERROR(__xludf.DUMMYFUNCTION("""COMPUTED_VALUE"""),1.64)</f>
        <v>1.64</v>
      </c>
      <c r="D266" s="4">
        <f>IFERROR(__xludf.DUMMYFUNCTION("""COMPUTED_VALUE"""),27.4)</f>
        <v>27.4</v>
      </c>
      <c r="E266" s="4">
        <f>IFERROR(__xludf.DUMMYFUNCTION("""COMPUTED_VALUE"""),2.21)</f>
        <v>2.21</v>
      </c>
      <c r="F266" s="4">
        <f>IFERROR(__xludf.DUMMYFUNCTION("""COMPUTED_VALUE"""),9.23)</f>
        <v>9.23</v>
      </c>
      <c r="G266" s="4">
        <f>IFERROR(__xludf.DUMMYFUNCTION("""COMPUTED_VALUE"""),8.89)</f>
        <v>8.89</v>
      </c>
      <c r="H266" s="4">
        <f>IFERROR(__xludf.DUMMYFUNCTION("""COMPUTED_VALUE"""),0.0)</f>
        <v>0</v>
      </c>
      <c r="I266" s="4">
        <f>IFERROR(__xludf.DUMMYFUNCTION("""COMPUTED_VALUE"""),0.03)</f>
        <v>0.03</v>
      </c>
      <c r="J266" s="4">
        <f>IFERROR(__xludf.DUMMYFUNCTION("""COMPUTED_VALUE"""),0.0)</f>
        <v>0</v>
      </c>
      <c r="K266" s="4">
        <f>IFERROR(__xludf.DUMMYFUNCTION("""COMPUTED_VALUE"""),164.22500000000002)</f>
        <v>164.225</v>
      </c>
      <c r="L266" s="4">
        <f>IFERROR(__xludf.DUMMYFUNCTION("""COMPUTED_VALUE"""),4.571532957832241)</f>
        <v>4.571532958</v>
      </c>
    </row>
    <row r="267">
      <c r="A267" s="4" t="str">
        <f>IFERROR(__xludf.DUMMYFUNCTION("""COMPUTED_VALUE"""),"NGC3741")</f>
        <v>NGC3741</v>
      </c>
      <c r="B267" s="4">
        <f>IFERROR(__xludf.DUMMYFUNCTION("""COMPUTED_VALUE"""),3.21)</f>
        <v>3.21</v>
      </c>
      <c r="C267" s="4">
        <f>IFERROR(__xludf.DUMMYFUNCTION("""COMPUTED_VALUE"""),1.87)</f>
        <v>1.87</v>
      </c>
      <c r="D267" s="4">
        <f>IFERROR(__xludf.DUMMYFUNCTION("""COMPUTED_VALUE"""),31.0)</f>
        <v>31</v>
      </c>
      <c r="E267" s="4">
        <f>IFERROR(__xludf.DUMMYFUNCTION("""COMPUTED_VALUE"""),2.2)</f>
        <v>2.2</v>
      </c>
      <c r="F267" s="4">
        <f>IFERROR(__xludf.DUMMYFUNCTION("""COMPUTED_VALUE"""),9.41)</f>
        <v>9.41</v>
      </c>
      <c r="G267" s="4">
        <f>IFERROR(__xludf.DUMMYFUNCTION("""COMPUTED_VALUE"""),8.25)</f>
        <v>8.25</v>
      </c>
      <c r="H267" s="4">
        <f>IFERROR(__xludf.DUMMYFUNCTION("""COMPUTED_VALUE"""),0.0)</f>
        <v>0</v>
      </c>
      <c r="I267" s="4">
        <f>IFERROR(__xludf.DUMMYFUNCTION("""COMPUTED_VALUE"""),0.01)</f>
        <v>0.01</v>
      </c>
      <c r="J267" s="4">
        <f>IFERROR(__xludf.DUMMYFUNCTION("""COMPUTED_VALUE"""),0.0)</f>
        <v>0</v>
      </c>
      <c r="K267" s="4">
        <f>IFERROR(__xludf.DUMMYFUNCTION("""COMPUTED_VALUE"""),156.6106)</f>
        <v>156.6106</v>
      </c>
      <c r="L267" s="4">
        <f>IFERROR(__xludf.DUMMYFUNCTION("""COMPUTED_VALUE"""),6.136238543240368)</f>
        <v>6.136238543</v>
      </c>
    </row>
    <row r="268">
      <c r="A268" s="4" t="str">
        <f>IFERROR(__xludf.DUMMYFUNCTION("""COMPUTED_VALUE"""),"NGC3741")</f>
        <v>NGC3741</v>
      </c>
      <c r="B268" s="4">
        <f>IFERROR(__xludf.DUMMYFUNCTION("""COMPUTED_VALUE"""),3.21)</f>
        <v>3.21</v>
      </c>
      <c r="C268" s="4">
        <f>IFERROR(__xludf.DUMMYFUNCTION("""COMPUTED_VALUE"""),2.1)</f>
        <v>2.1</v>
      </c>
      <c r="D268" s="4">
        <f>IFERROR(__xludf.DUMMYFUNCTION("""COMPUTED_VALUE"""),32.5)</f>
        <v>32.5</v>
      </c>
      <c r="E268" s="4">
        <f>IFERROR(__xludf.DUMMYFUNCTION("""COMPUTED_VALUE"""),2.19)</f>
        <v>2.19</v>
      </c>
      <c r="F268" s="4">
        <f>IFERROR(__xludf.DUMMYFUNCTION("""COMPUTED_VALUE"""),9.55)</f>
        <v>9.55</v>
      </c>
      <c r="G268" s="4">
        <f>IFERROR(__xludf.DUMMYFUNCTION("""COMPUTED_VALUE"""),7.73)</f>
        <v>7.73</v>
      </c>
      <c r="H268" s="4">
        <f>IFERROR(__xludf.DUMMYFUNCTION("""COMPUTED_VALUE"""),0.0)</f>
        <v>0</v>
      </c>
      <c r="I268" s="4">
        <f>IFERROR(__xludf.DUMMYFUNCTION("""COMPUTED_VALUE"""),0.0)</f>
        <v>0</v>
      </c>
      <c r="J268" s="4">
        <f>IFERROR(__xludf.DUMMYFUNCTION("""COMPUTED_VALUE"""),0.0)</f>
        <v>0</v>
      </c>
      <c r="K268" s="4">
        <f>IFERROR(__xludf.DUMMYFUNCTION("""COMPUTED_VALUE"""),150.95540000000003)</f>
        <v>150.9554</v>
      </c>
      <c r="L268" s="4">
        <f>IFERROR(__xludf.DUMMYFUNCTION("""COMPUTED_VALUE"""),6.997099805637956)</f>
        <v>6.997099806</v>
      </c>
    </row>
    <row r="269">
      <c r="A269" s="4" t="str">
        <f>IFERROR(__xludf.DUMMYFUNCTION("""COMPUTED_VALUE"""),"NGC3741")</f>
        <v>NGC3741</v>
      </c>
      <c r="B269" s="4">
        <f>IFERROR(__xludf.DUMMYFUNCTION("""COMPUTED_VALUE"""),3.21)</f>
        <v>3.21</v>
      </c>
      <c r="C269" s="4">
        <f>IFERROR(__xludf.DUMMYFUNCTION("""COMPUTED_VALUE"""),2.33)</f>
        <v>2.33</v>
      </c>
      <c r="D269" s="4">
        <f>IFERROR(__xludf.DUMMYFUNCTION("""COMPUTED_VALUE"""),33.0)</f>
        <v>33</v>
      </c>
      <c r="E269" s="4">
        <f>IFERROR(__xludf.DUMMYFUNCTION("""COMPUTED_VALUE"""),2.19)</f>
        <v>2.19</v>
      </c>
      <c r="F269" s="4">
        <f>IFERROR(__xludf.DUMMYFUNCTION("""COMPUTED_VALUE"""),10.05)</f>
        <v>10.05</v>
      </c>
      <c r="G269" s="4">
        <f>IFERROR(__xludf.DUMMYFUNCTION("""COMPUTED_VALUE"""),7.3)</f>
        <v>7.3</v>
      </c>
      <c r="H269" s="4">
        <f>IFERROR(__xludf.DUMMYFUNCTION("""COMPUTED_VALUE"""),0.0)</f>
        <v>0</v>
      </c>
      <c r="I269" s="4">
        <f>IFERROR(__xludf.DUMMYFUNCTION("""COMPUTED_VALUE"""),0.0)</f>
        <v>0</v>
      </c>
      <c r="J269" s="4">
        <f>IFERROR(__xludf.DUMMYFUNCTION("""COMPUTED_VALUE"""),0.0)</f>
        <v>0</v>
      </c>
      <c r="K269" s="4">
        <f>IFERROR(__xludf.DUMMYFUNCTION("""COMPUTED_VALUE"""),154.29250000000002)</f>
        <v>154.2925</v>
      </c>
      <c r="L269" s="4">
        <f>IFERROR(__xludf.DUMMYFUNCTION("""COMPUTED_VALUE"""),7.058022911029375)</f>
        <v>7.058022911</v>
      </c>
    </row>
    <row r="270">
      <c r="A270" s="4" t="str">
        <f>IFERROR(__xludf.DUMMYFUNCTION("""COMPUTED_VALUE"""),"NGC3741")</f>
        <v>NGC3741</v>
      </c>
      <c r="B270" s="4">
        <f>IFERROR(__xludf.DUMMYFUNCTION("""COMPUTED_VALUE"""),3.21)</f>
        <v>3.21</v>
      </c>
      <c r="C270" s="4">
        <f>IFERROR(__xludf.DUMMYFUNCTION("""COMPUTED_VALUE"""),2.57)</f>
        <v>2.57</v>
      </c>
      <c r="D270" s="4">
        <f>IFERROR(__xludf.DUMMYFUNCTION("""COMPUTED_VALUE"""),36.5)</f>
        <v>36.5</v>
      </c>
      <c r="E270" s="4">
        <f>IFERROR(__xludf.DUMMYFUNCTION("""COMPUTED_VALUE"""),2.2)</f>
        <v>2.2</v>
      </c>
      <c r="F270" s="4">
        <f>IFERROR(__xludf.DUMMYFUNCTION("""COMPUTED_VALUE"""),10.65)</f>
        <v>10.65</v>
      </c>
      <c r="G270" s="4">
        <f>IFERROR(__xludf.DUMMYFUNCTION("""COMPUTED_VALUE"""),6.92)</f>
        <v>6.92</v>
      </c>
      <c r="H270" s="4">
        <f>IFERROR(__xludf.DUMMYFUNCTION("""COMPUTED_VALUE"""),0.0)</f>
        <v>0</v>
      </c>
      <c r="I270" s="4">
        <f>IFERROR(__xludf.DUMMYFUNCTION("""COMPUTED_VALUE"""),0.0)</f>
        <v>0</v>
      </c>
      <c r="J270" s="4">
        <f>IFERROR(__xludf.DUMMYFUNCTION("""COMPUTED_VALUE"""),0.0)</f>
        <v>0</v>
      </c>
      <c r="K270" s="4">
        <f>IFERROR(__xludf.DUMMYFUNCTION("""COMPUTED_VALUE"""),161.30890000000002)</f>
        <v>161.3089</v>
      </c>
      <c r="L270" s="4">
        <f>IFERROR(__xludf.DUMMYFUNCTION("""COMPUTED_VALUE"""),8.258998728526446)</f>
        <v>8.258998729</v>
      </c>
    </row>
    <row r="271">
      <c r="A271" s="4" t="str">
        <f>IFERROR(__xludf.DUMMYFUNCTION("""COMPUTED_VALUE"""),"NGC3741")</f>
        <v>NGC3741</v>
      </c>
      <c r="B271" s="4">
        <f>IFERROR(__xludf.DUMMYFUNCTION("""COMPUTED_VALUE"""),3.21)</f>
        <v>3.21</v>
      </c>
      <c r="C271" s="4">
        <f>IFERROR(__xludf.DUMMYFUNCTION("""COMPUTED_VALUE"""),2.8)</f>
        <v>2.8</v>
      </c>
      <c r="D271" s="4">
        <f>IFERROR(__xludf.DUMMYFUNCTION("""COMPUTED_VALUE"""),38.9)</f>
        <v>38.9</v>
      </c>
      <c r="E271" s="4">
        <f>IFERROR(__xludf.DUMMYFUNCTION("""COMPUTED_VALUE"""),2.21)</f>
        <v>2.21</v>
      </c>
      <c r="F271" s="4">
        <f>IFERROR(__xludf.DUMMYFUNCTION("""COMPUTED_VALUE"""),11.28)</f>
        <v>11.28</v>
      </c>
      <c r="G271" s="4">
        <f>IFERROR(__xludf.DUMMYFUNCTION("""COMPUTED_VALUE"""),6.62)</f>
        <v>6.62</v>
      </c>
      <c r="H271" s="4">
        <f>IFERROR(__xludf.DUMMYFUNCTION("""COMPUTED_VALUE"""),0.0)</f>
        <v>0</v>
      </c>
      <c r="I271" s="4">
        <f>IFERROR(__xludf.DUMMYFUNCTION("""COMPUTED_VALUE"""),0.0)</f>
        <v>0</v>
      </c>
      <c r="J271" s="4">
        <f>IFERROR(__xludf.DUMMYFUNCTION("""COMPUTED_VALUE"""),0.0)</f>
        <v>0</v>
      </c>
      <c r="K271" s="4">
        <f>IFERROR(__xludf.DUMMYFUNCTION("""COMPUTED_VALUE"""),171.06279999999998)</f>
        <v>171.0628</v>
      </c>
      <c r="L271" s="4">
        <f>IFERROR(__xludf.DUMMYFUNCTION("""COMPUTED_VALUE"""),8.84593260486792)</f>
        <v>8.845932605</v>
      </c>
    </row>
    <row r="272">
      <c r="A272" s="4" t="str">
        <f>IFERROR(__xludf.DUMMYFUNCTION("""COMPUTED_VALUE"""),"NGC3741")</f>
        <v>NGC3741</v>
      </c>
      <c r="B272" s="4">
        <f>IFERROR(__xludf.DUMMYFUNCTION("""COMPUTED_VALUE"""),3.21)</f>
        <v>3.21</v>
      </c>
      <c r="C272" s="4">
        <f>IFERROR(__xludf.DUMMYFUNCTION("""COMPUTED_VALUE"""),3.26)</f>
        <v>3.26</v>
      </c>
      <c r="D272" s="4">
        <f>IFERROR(__xludf.DUMMYFUNCTION("""COMPUTED_VALUE"""),41.5)</f>
        <v>41.5</v>
      </c>
      <c r="E272" s="4">
        <f>IFERROR(__xludf.DUMMYFUNCTION("""COMPUTED_VALUE"""),2.21)</f>
        <v>2.21</v>
      </c>
      <c r="F272" s="4">
        <f>IFERROR(__xludf.DUMMYFUNCTION("""COMPUTED_VALUE"""),12.0)</f>
        <v>12</v>
      </c>
      <c r="G272" s="4">
        <f>IFERROR(__xludf.DUMMYFUNCTION("""COMPUTED_VALUE"""),6.11)</f>
        <v>6.11</v>
      </c>
      <c r="H272" s="4">
        <f>IFERROR(__xludf.DUMMYFUNCTION("""COMPUTED_VALUE"""),0.0)</f>
        <v>0</v>
      </c>
      <c r="I272" s="4">
        <f>IFERROR(__xludf.DUMMYFUNCTION("""COMPUTED_VALUE"""),0.0)</f>
        <v>0</v>
      </c>
      <c r="J272" s="4">
        <f>IFERROR(__xludf.DUMMYFUNCTION("""COMPUTED_VALUE"""),0.0)</f>
        <v>0</v>
      </c>
      <c r="K272" s="4">
        <f>IFERROR(__xludf.DUMMYFUNCTION("""COMPUTED_VALUE"""),181.3321)</f>
        <v>181.3321</v>
      </c>
      <c r="L272" s="4">
        <f>IFERROR(__xludf.DUMMYFUNCTION("""COMPUTED_VALUE"""),9.497766804663929)</f>
        <v>9.497766805</v>
      </c>
    </row>
    <row r="273">
      <c r="A273" s="4" t="str">
        <f>IFERROR(__xludf.DUMMYFUNCTION("""COMPUTED_VALUE"""),"NGC3741")</f>
        <v>NGC3741</v>
      </c>
      <c r="B273" s="4">
        <f>IFERROR(__xludf.DUMMYFUNCTION("""COMPUTED_VALUE"""),3.21)</f>
        <v>3.21</v>
      </c>
      <c r="C273" s="4">
        <f>IFERROR(__xludf.DUMMYFUNCTION("""COMPUTED_VALUE"""),3.73)</f>
        <v>3.73</v>
      </c>
      <c r="D273" s="4">
        <f>IFERROR(__xludf.DUMMYFUNCTION("""COMPUTED_VALUE"""),42.7)</f>
        <v>42.7</v>
      </c>
      <c r="E273" s="4">
        <f>IFERROR(__xludf.DUMMYFUNCTION("""COMPUTED_VALUE"""),2.2)</f>
        <v>2.2</v>
      </c>
      <c r="F273" s="4">
        <f>IFERROR(__xludf.DUMMYFUNCTION("""COMPUTED_VALUE"""),12.41)</f>
        <v>12.41</v>
      </c>
      <c r="G273" s="4">
        <f>IFERROR(__xludf.DUMMYFUNCTION("""COMPUTED_VALUE"""),5.7)</f>
        <v>5.7</v>
      </c>
      <c r="H273" s="4">
        <f>IFERROR(__xludf.DUMMYFUNCTION("""COMPUTED_VALUE"""),0.0)</f>
        <v>0</v>
      </c>
      <c r="I273" s="4">
        <f>IFERROR(__xludf.DUMMYFUNCTION("""COMPUTED_VALUE"""),0.0)</f>
        <v>0</v>
      </c>
      <c r="J273" s="4">
        <f>IFERROR(__xludf.DUMMYFUNCTION("""COMPUTED_VALUE"""),0.0)</f>
        <v>0</v>
      </c>
      <c r="K273" s="4">
        <f>IFERROR(__xludf.DUMMYFUNCTION("""COMPUTED_VALUE"""),186.49810000000002)</f>
        <v>186.4981</v>
      </c>
      <c r="L273" s="4">
        <f>IFERROR(__xludf.DUMMYFUNCTION("""COMPUTED_VALUE"""),9.776453486657505)</f>
        <v>9.776453487</v>
      </c>
    </row>
    <row r="274">
      <c r="A274" s="4" t="str">
        <f>IFERROR(__xludf.DUMMYFUNCTION("""COMPUTED_VALUE"""),"NGC3741")</f>
        <v>NGC3741</v>
      </c>
      <c r="B274" s="4">
        <f>IFERROR(__xludf.DUMMYFUNCTION("""COMPUTED_VALUE"""),3.21)</f>
        <v>3.21</v>
      </c>
      <c r="C274" s="4">
        <f>IFERROR(__xludf.DUMMYFUNCTION("""COMPUTED_VALUE"""),4.21)</f>
        <v>4.21</v>
      </c>
      <c r="D274" s="4">
        <f>IFERROR(__xludf.DUMMYFUNCTION("""COMPUTED_VALUE"""),44.7)</f>
        <v>44.7</v>
      </c>
      <c r="E274" s="4">
        <f>IFERROR(__xludf.DUMMYFUNCTION("""COMPUTED_VALUE"""),2.22)</f>
        <v>2.22</v>
      </c>
      <c r="F274" s="4">
        <f>IFERROR(__xludf.DUMMYFUNCTION("""COMPUTED_VALUE"""),13.14)</f>
        <v>13.14</v>
      </c>
      <c r="G274" s="4">
        <f>IFERROR(__xludf.DUMMYFUNCTION("""COMPUTED_VALUE"""),5.36)</f>
        <v>5.36</v>
      </c>
      <c r="H274" s="4">
        <f>IFERROR(__xludf.DUMMYFUNCTION("""COMPUTED_VALUE"""),0.0)</f>
        <v>0</v>
      </c>
      <c r="I274" s="4">
        <f>IFERROR(__xludf.DUMMYFUNCTION("""COMPUTED_VALUE"""),0.0)</f>
        <v>0</v>
      </c>
      <c r="J274" s="4">
        <f>IFERROR(__xludf.DUMMYFUNCTION("""COMPUTED_VALUE"""),0.0)</f>
        <v>0</v>
      </c>
      <c r="K274" s="4">
        <f>IFERROR(__xludf.DUMMYFUNCTION("""COMPUTED_VALUE"""),201.38920000000002)</f>
        <v>201.3892</v>
      </c>
      <c r="L274" s="4">
        <f>IFERROR(__xludf.DUMMYFUNCTION("""COMPUTED_VALUE"""),9.921535017766594)</f>
        <v>9.921535018</v>
      </c>
    </row>
    <row r="275">
      <c r="A275" s="4" t="str">
        <f>IFERROR(__xludf.DUMMYFUNCTION("""COMPUTED_VALUE"""),"NGC3741")</f>
        <v>NGC3741</v>
      </c>
      <c r="B275" s="4">
        <f>IFERROR(__xludf.DUMMYFUNCTION("""COMPUTED_VALUE"""),3.21)</f>
        <v>3.21</v>
      </c>
      <c r="C275" s="4">
        <f>IFERROR(__xludf.DUMMYFUNCTION("""COMPUTED_VALUE"""),4.67)</f>
        <v>4.67</v>
      </c>
      <c r="D275" s="4">
        <f>IFERROR(__xludf.DUMMYFUNCTION("""COMPUTED_VALUE"""),46.7)</f>
        <v>46.7</v>
      </c>
      <c r="E275" s="4">
        <f>IFERROR(__xludf.DUMMYFUNCTION("""COMPUTED_VALUE"""),2.24)</f>
        <v>2.24</v>
      </c>
      <c r="F275" s="4">
        <f>IFERROR(__xludf.DUMMYFUNCTION("""COMPUTED_VALUE"""),13.55)</f>
        <v>13.55</v>
      </c>
      <c r="G275" s="4">
        <f>IFERROR(__xludf.DUMMYFUNCTION("""COMPUTED_VALUE"""),5.09)</f>
        <v>5.09</v>
      </c>
      <c r="H275" s="4">
        <f>IFERROR(__xludf.DUMMYFUNCTION("""COMPUTED_VALUE"""),0.0)</f>
        <v>0</v>
      </c>
      <c r="I275" s="4">
        <f>IFERROR(__xludf.DUMMYFUNCTION("""COMPUTED_VALUE"""),0.0)</f>
        <v>0</v>
      </c>
      <c r="J275" s="4">
        <f>IFERROR(__xludf.DUMMYFUNCTION("""COMPUTED_VALUE"""),0.0)</f>
        <v>0</v>
      </c>
      <c r="K275" s="4">
        <f>IFERROR(__xludf.DUMMYFUNCTION("""COMPUTED_VALUE"""),209.5106)</f>
        <v>209.5106</v>
      </c>
      <c r="L275" s="4">
        <f>IFERROR(__xludf.DUMMYFUNCTION("""COMPUTED_VALUE"""),10.409449450290344)</f>
        <v>10.40944945</v>
      </c>
    </row>
    <row r="276">
      <c r="A276" s="4" t="str">
        <f>IFERROR(__xludf.DUMMYFUNCTION("""COMPUTED_VALUE"""),"NGC3741")</f>
        <v>NGC3741</v>
      </c>
      <c r="B276" s="4">
        <f>IFERROR(__xludf.DUMMYFUNCTION("""COMPUTED_VALUE"""),3.21)</f>
        <v>3.21</v>
      </c>
      <c r="C276" s="4">
        <f>IFERROR(__xludf.DUMMYFUNCTION("""COMPUTED_VALUE"""),5.14)</f>
        <v>5.14</v>
      </c>
      <c r="D276" s="4">
        <f>IFERROR(__xludf.DUMMYFUNCTION("""COMPUTED_VALUE"""),48.5)</f>
        <v>48.5</v>
      </c>
      <c r="E276" s="4">
        <f>IFERROR(__xludf.DUMMYFUNCTION("""COMPUTED_VALUE"""),2.27)</f>
        <v>2.27</v>
      </c>
      <c r="F276" s="4">
        <f>IFERROR(__xludf.DUMMYFUNCTION("""COMPUTED_VALUE"""),13.86)</f>
        <v>13.86</v>
      </c>
      <c r="G276" s="4">
        <f>IFERROR(__xludf.DUMMYFUNCTION("""COMPUTED_VALUE"""),4.84)</f>
        <v>4.84</v>
      </c>
      <c r="H276" s="4">
        <f>IFERROR(__xludf.DUMMYFUNCTION("""COMPUTED_VALUE"""),0.0)</f>
        <v>0</v>
      </c>
      <c r="I276" s="4">
        <f>IFERROR(__xludf.DUMMYFUNCTION("""COMPUTED_VALUE"""),0.0)</f>
        <v>0</v>
      </c>
      <c r="J276" s="4">
        <f>IFERROR(__xludf.DUMMYFUNCTION("""COMPUTED_VALUE"""),0.0)</f>
        <v>0</v>
      </c>
      <c r="K276" s="4">
        <f>IFERROR(__xludf.DUMMYFUNCTION("""COMPUTED_VALUE"""),215.52519999999998)</f>
        <v>215.5252</v>
      </c>
      <c r="L276" s="4">
        <f>IFERROR(__xludf.DUMMYFUNCTION("""COMPUTED_VALUE"""),10.914036966442904)</f>
        <v>10.91403697</v>
      </c>
    </row>
    <row r="277">
      <c r="A277" s="4" t="str">
        <f>IFERROR(__xludf.DUMMYFUNCTION("""COMPUTED_VALUE"""),"NGC3741")</f>
        <v>NGC3741</v>
      </c>
      <c r="B277" s="4">
        <f>IFERROR(__xludf.DUMMYFUNCTION("""COMPUTED_VALUE"""),3.21)</f>
        <v>3.21</v>
      </c>
      <c r="C277" s="4">
        <f>IFERROR(__xludf.DUMMYFUNCTION("""COMPUTED_VALUE"""),5.61)</f>
        <v>5.61</v>
      </c>
      <c r="D277" s="4">
        <f>IFERROR(__xludf.DUMMYFUNCTION("""COMPUTED_VALUE"""),50.0)</f>
        <v>50</v>
      </c>
      <c r="E277" s="4">
        <f>IFERROR(__xludf.DUMMYFUNCTION("""COMPUTED_VALUE"""),2.32)</f>
        <v>2.32</v>
      </c>
      <c r="F277" s="4">
        <f>IFERROR(__xludf.DUMMYFUNCTION("""COMPUTED_VALUE"""),13.86)</f>
        <v>13.86</v>
      </c>
      <c r="G277" s="4">
        <f>IFERROR(__xludf.DUMMYFUNCTION("""COMPUTED_VALUE"""),4.63)</f>
        <v>4.63</v>
      </c>
      <c r="H277" s="4">
        <f>IFERROR(__xludf.DUMMYFUNCTION("""COMPUTED_VALUE"""),0.0)</f>
        <v>0</v>
      </c>
      <c r="I277" s="4">
        <f>IFERROR(__xludf.DUMMYFUNCTION("""COMPUTED_VALUE"""),0.0)</f>
        <v>0</v>
      </c>
      <c r="J277" s="4">
        <f>IFERROR(__xludf.DUMMYFUNCTION("""COMPUTED_VALUE"""),0.0)</f>
        <v>0</v>
      </c>
      <c r="K277" s="4">
        <f>IFERROR(__xludf.DUMMYFUNCTION("""COMPUTED_VALUE"""),213.5365)</f>
        <v>213.5365</v>
      </c>
      <c r="L277" s="4">
        <f>IFERROR(__xludf.DUMMYFUNCTION("""COMPUTED_VALUE"""),11.707600339988714)</f>
        <v>11.70760034</v>
      </c>
    </row>
    <row r="278">
      <c r="A278" s="4" t="str">
        <f>IFERROR(__xludf.DUMMYFUNCTION("""COMPUTED_VALUE"""),"NGC3741")</f>
        <v>NGC3741</v>
      </c>
      <c r="B278" s="4">
        <f>IFERROR(__xludf.DUMMYFUNCTION("""COMPUTED_VALUE"""),3.21)</f>
        <v>3.21</v>
      </c>
      <c r="C278" s="4">
        <f>IFERROR(__xludf.DUMMYFUNCTION("""COMPUTED_VALUE"""),6.07)</f>
        <v>6.07</v>
      </c>
      <c r="D278" s="4">
        <f>IFERROR(__xludf.DUMMYFUNCTION("""COMPUTED_VALUE"""),50.2)</f>
        <v>50.2</v>
      </c>
      <c r="E278" s="4">
        <f>IFERROR(__xludf.DUMMYFUNCTION("""COMPUTED_VALUE"""),2.4)</f>
        <v>2.4</v>
      </c>
      <c r="F278" s="4">
        <f>IFERROR(__xludf.DUMMYFUNCTION("""COMPUTED_VALUE"""),13.76)</f>
        <v>13.76</v>
      </c>
      <c r="G278" s="4">
        <f>IFERROR(__xludf.DUMMYFUNCTION("""COMPUTED_VALUE"""),4.45)</f>
        <v>4.45</v>
      </c>
      <c r="H278" s="4">
        <f>IFERROR(__xludf.DUMMYFUNCTION("""COMPUTED_VALUE"""),0.0)</f>
        <v>0</v>
      </c>
      <c r="I278" s="4">
        <f>IFERROR(__xludf.DUMMYFUNCTION("""COMPUTED_VALUE"""),0.0)</f>
        <v>0</v>
      </c>
      <c r="J278" s="4">
        <f>IFERROR(__xludf.DUMMYFUNCTION("""COMPUTED_VALUE"""),0.0)</f>
        <v>0</v>
      </c>
      <c r="K278" s="4">
        <f>IFERROR(__xludf.DUMMYFUNCTION("""COMPUTED_VALUE"""),209.1401)</f>
        <v>209.1401</v>
      </c>
      <c r="L278" s="4">
        <f>IFERROR(__xludf.DUMMYFUNCTION("""COMPUTED_VALUE"""),12.049530434383461)</f>
        <v>12.04953043</v>
      </c>
    </row>
    <row r="279">
      <c r="A279" s="4" t="str">
        <f>IFERROR(__xludf.DUMMYFUNCTION("""COMPUTED_VALUE"""),"NGC3741")</f>
        <v>NGC3741</v>
      </c>
      <c r="B279" s="4">
        <f>IFERROR(__xludf.DUMMYFUNCTION("""COMPUTED_VALUE"""),3.21)</f>
        <v>3.21</v>
      </c>
      <c r="C279" s="4">
        <f>IFERROR(__xludf.DUMMYFUNCTION("""COMPUTED_VALUE"""),6.54)</f>
        <v>6.54</v>
      </c>
      <c r="D279" s="4">
        <f>IFERROR(__xludf.DUMMYFUNCTION("""COMPUTED_VALUE"""),50.1)</f>
        <v>50.1</v>
      </c>
      <c r="E279" s="4">
        <f>IFERROR(__xludf.DUMMYFUNCTION("""COMPUTED_VALUE"""),2.57)</f>
        <v>2.57</v>
      </c>
      <c r="F279" s="4">
        <f>IFERROR(__xludf.DUMMYFUNCTION("""COMPUTED_VALUE"""),13.55)</f>
        <v>13.55</v>
      </c>
      <c r="G279" s="4">
        <f>IFERROR(__xludf.DUMMYFUNCTION("""COMPUTED_VALUE"""),4.29)</f>
        <v>4.29</v>
      </c>
      <c r="H279" s="4">
        <f>IFERROR(__xludf.DUMMYFUNCTION("""COMPUTED_VALUE"""),0.0)</f>
        <v>0</v>
      </c>
      <c r="I279" s="4">
        <f>IFERROR(__xludf.DUMMYFUNCTION("""COMPUTED_VALUE"""),0.0)</f>
        <v>0</v>
      </c>
      <c r="J279" s="4">
        <f>IFERROR(__xludf.DUMMYFUNCTION("""COMPUTED_VALUE"""),0.0)</f>
        <v>0</v>
      </c>
      <c r="K279" s="4">
        <f>IFERROR(__xludf.DUMMYFUNCTION("""COMPUTED_VALUE"""),202.00660000000002)</f>
        <v>202.0066</v>
      </c>
      <c r="L279" s="4">
        <f>IFERROR(__xludf.DUMMYFUNCTION("""COMPUTED_VALUE"""),12.425386101246197)</f>
        <v>12.4253861</v>
      </c>
    </row>
    <row r="280">
      <c r="A280" s="5" t="str">
        <f>IFERROR(__xludf.DUMMYFUNCTION("""COMPUTED_VALUE"""),"NGC3741")</f>
        <v>NGC3741</v>
      </c>
      <c r="B280" s="5">
        <f>IFERROR(__xludf.DUMMYFUNCTION("""COMPUTED_VALUE"""),3.21)</f>
        <v>3.21</v>
      </c>
      <c r="C280" s="5">
        <f>IFERROR(__xludf.DUMMYFUNCTION("""COMPUTED_VALUE"""),7.0)</f>
        <v>7</v>
      </c>
      <c r="D280" s="5">
        <f>IFERROR(__xludf.DUMMYFUNCTION("""COMPUTED_VALUE"""),51.6)</f>
        <v>51.6</v>
      </c>
      <c r="E280" s="5">
        <f>IFERROR(__xludf.DUMMYFUNCTION("""COMPUTED_VALUE"""),3.24)</f>
        <v>3.24</v>
      </c>
      <c r="F280" s="5">
        <f>IFERROR(__xludf.DUMMYFUNCTION("""COMPUTED_VALUE"""),13.34)</f>
        <v>13.34</v>
      </c>
      <c r="G280" s="5">
        <f>IFERROR(__xludf.DUMMYFUNCTION("""COMPUTED_VALUE"""),4.14)</f>
        <v>4.14</v>
      </c>
      <c r="H280" s="5">
        <f>IFERROR(__xludf.DUMMYFUNCTION("""COMPUTED_VALUE"""),0.0)</f>
        <v>0</v>
      </c>
      <c r="I280" s="5">
        <f>IFERROR(__xludf.DUMMYFUNCTION("""COMPUTED_VALUE"""),0.0)</f>
        <v>0</v>
      </c>
      <c r="J280" s="5">
        <f>IFERROR(__xludf.DUMMYFUNCTION("""COMPUTED_VALUE"""),0.0)</f>
        <v>0</v>
      </c>
      <c r="K280" s="5">
        <f>IFERROR(__xludf.DUMMYFUNCTION("""COMPUTED_VALUE"""),195.0952)</f>
        <v>195.0952</v>
      </c>
      <c r="L280" s="5">
        <f>IFERROR(__xludf.DUMMYFUNCTION("""COMPUTED_VALUE"""),13.647491071025836)</f>
        <v>13.64749107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4" t="str">
        <f>IFERROR(__xludf.DUMMYFUNCTION("""COMPUTED_VALUE"""),"NGC4068")</f>
        <v>NGC4068</v>
      </c>
      <c r="B281" s="4">
        <f>IFERROR(__xludf.DUMMYFUNCTION("""COMPUTED_VALUE"""),4.37)</f>
        <v>4.37</v>
      </c>
      <c r="C281" s="4">
        <f>IFERROR(__xludf.DUMMYFUNCTION("""COMPUTED_VALUE"""),0.21)</f>
        <v>0.21</v>
      </c>
      <c r="D281" s="4">
        <f>IFERROR(__xludf.DUMMYFUNCTION("""COMPUTED_VALUE"""),4.68)</f>
        <v>4.68</v>
      </c>
      <c r="E281" s="4">
        <f>IFERROR(__xludf.DUMMYFUNCTION("""COMPUTED_VALUE"""),3.65)</f>
        <v>3.65</v>
      </c>
      <c r="F281" s="4">
        <f>IFERROR(__xludf.DUMMYFUNCTION("""COMPUTED_VALUE"""),0.92)</f>
        <v>0.92</v>
      </c>
      <c r="G281" s="4">
        <f>IFERROR(__xludf.DUMMYFUNCTION("""COMPUTED_VALUE"""),6.84)</f>
        <v>6.84</v>
      </c>
      <c r="H281" s="4">
        <f>IFERROR(__xludf.DUMMYFUNCTION("""COMPUTED_VALUE"""),0.0)</f>
        <v>0</v>
      </c>
      <c r="I281" s="4">
        <f>IFERROR(__xludf.DUMMYFUNCTION("""COMPUTED_VALUE"""),43.41)</f>
        <v>43.41</v>
      </c>
      <c r="J281" s="4">
        <f>IFERROR(__xludf.DUMMYFUNCTION("""COMPUTED_VALUE"""),0.0)</f>
        <v>0</v>
      </c>
      <c r="K281" s="4">
        <f>IFERROR(__xludf.DUMMYFUNCTION("""COMPUTED_VALUE"""),47.632)</f>
        <v>47.632</v>
      </c>
      <c r="L281" s="4">
        <f>IFERROR(__xludf.DUMMYFUNCTION("""COMPUTED_VALUE"""),0.459825327510917)</f>
        <v>0.4598253275</v>
      </c>
    </row>
    <row r="282">
      <c r="A282" s="4" t="str">
        <f>IFERROR(__xludf.DUMMYFUNCTION("""COMPUTED_VALUE"""),"NGC4068")</f>
        <v>NGC4068</v>
      </c>
      <c r="B282" s="4">
        <f>IFERROR(__xludf.DUMMYFUNCTION("""COMPUTED_VALUE"""),4.37)</f>
        <v>4.37</v>
      </c>
      <c r="C282" s="4">
        <f>IFERROR(__xludf.DUMMYFUNCTION("""COMPUTED_VALUE"""),0.64)</f>
        <v>0.64</v>
      </c>
      <c r="D282" s="4">
        <f>IFERROR(__xludf.DUMMYFUNCTION("""COMPUTED_VALUE"""),13.1)</f>
        <v>13.1</v>
      </c>
      <c r="E282" s="4">
        <f>IFERROR(__xludf.DUMMYFUNCTION("""COMPUTED_VALUE"""),3.44)</f>
        <v>3.44</v>
      </c>
      <c r="F282" s="4">
        <f>IFERROR(__xludf.DUMMYFUNCTION("""COMPUTED_VALUE"""),4.01)</f>
        <v>4.01</v>
      </c>
      <c r="G282" s="4">
        <f>IFERROR(__xludf.DUMMYFUNCTION("""COMPUTED_VALUE"""),16.7)</f>
        <v>16.7</v>
      </c>
      <c r="H282" s="4">
        <f>IFERROR(__xludf.DUMMYFUNCTION("""COMPUTED_VALUE"""),0.0)</f>
        <v>0</v>
      </c>
      <c r="I282" s="4">
        <f>IFERROR(__xludf.DUMMYFUNCTION("""COMPUTED_VALUE"""),35.39)</f>
        <v>35.39</v>
      </c>
      <c r="J282" s="4">
        <f>IFERROR(__xludf.DUMMYFUNCTION("""COMPUTED_VALUE"""),0.0)</f>
        <v>0</v>
      </c>
      <c r="K282" s="4">
        <f>IFERROR(__xludf.DUMMYFUNCTION("""COMPUTED_VALUE"""),294.9701)</f>
        <v>294.9701</v>
      </c>
      <c r="L282" s="4">
        <f>IFERROR(__xludf.DUMMYFUNCTION("""COMPUTED_VALUE"""),0.5817877812022303)</f>
        <v>0.5817877812</v>
      </c>
    </row>
    <row r="283">
      <c r="A283" s="4" t="str">
        <f>IFERROR(__xludf.DUMMYFUNCTION("""COMPUTED_VALUE"""),"NGC4068")</f>
        <v>NGC4068</v>
      </c>
      <c r="B283" s="4">
        <f>IFERROR(__xludf.DUMMYFUNCTION("""COMPUTED_VALUE"""),4.37)</f>
        <v>4.37</v>
      </c>
      <c r="C283" s="4">
        <f>IFERROR(__xludf.DUMMYFUNCTION("""COMPUTED_VALUE"""),1.06)</f>
        <v>1.06</v>
      </c>
      <c r="D283" s="4">
        <f>IFERROR(__xludf.DUMMYFUNCTION("""COMPUTED_VALUE"""),22.5)</f>
        <v>22.5</v>
      </c>
      <c r="E283" s="4">
        <f>IFERROR(__xludf.DUMMYFUNCTION("""COMPUTED_VALUE"""),2.45)</f>
        <v>2.45</v>
      </c>
      <c r="F283" s="4">
        <f>IFERROR(__xludf.DUMMYFUNCTION("""COMPUTED_VALUE"""),7.7)</f>
        <v>7.7</v>
      </c>
      <c r="G283" s="4">
        <f>IFERROR(__xludf.DUMMYFUNCTION("""COMPUTED_VALUE"""),21.47)</f>
        <v>21.47</v>
      </c>
      <c r="H283" s="4">
        <f>IFERROR(__xludf.DUMMYFUNCTION("""COMPUTED_VALUE"""),0.0)</f>
        <v>0</v>
      </c>
      <c r="I283" s="4">
        <f>IFERROR(__xludf.DUMMYFUNCTION("""COMPUTED_VALUE"""),19.75)</f>
        <v>19.75</v>
      </c>
      <c r="J283" s="4">
        <f>IFERROR(__xludf.DUMMYFUNCTION("""COMPUTED_VALUE"""),0.0)</f>
        <v>0</v>
      </c>
      <c r="K283" s="4">
        <f>IFERROR(__xludf.DUMMYFUNCTION("""COMPUTED_VALUE"""),520.2508999999999)</f>
        <v>520.2509</v>
      </c>
      <c r="L283" s="4">
        <f>IFERROR(__xludf.DUMMYFUNCTION("""COMPUTED_VALUE"""),0.9730881772621636)</f>
        <v>0.9730881773</v>
      </c>
    </row>
    <row r="284">
      <c r="A284" s="4" t="str">
        <f>IFERROR(__xludf.DUMMYFUNCTION("""COMPUTED_VALUE"""),"NGC4068")</f>
        <v>NGC4068</v>
      </c>
      <c r="B284" s="4">
        <f>IFERROR(__xludf.DUMMYFUNCTION("""COMPUTED_VALUE"""),4.37)</f>
        <v>4.37</v>
      </c>
      <c r="C284" s="4">
        <f>IFERROR(__xludf.DUMMYFUNCTION("""COMPUTED_VALUE"""),1.48)</f>
        <v>1.48</v>
      </c>
      <c r="D284" s="4">
        <f>IFERROR(__xludf.DUMMYFUNCTION("""COMPUTED_VALUE"""),30.4)</f>
        <v>30.4</v>
      </c>
      <c r="E284" s="4">
        <f>IFERROR(__xludf.DUMMYFUNCTION("""COMPUTED_VALUE"""),1.71)</f>
        <v>1.71</v>
      </c>
      <c r="F284" s="4">
        <f>IFERROR(__xludf.DUMMYFUNCTION("""COMPUTED_VALUE"""),12.5)</f>
        <v>12.5</v>
      </c>
      <c r="G284" s="4">
        <f>IFERROR(__xludf.DUMMYFUNCTION("""COMPUTED_VALUE"""),23.36)</f>
        <v>23.36</v>
      </c>
      <c r="H284" s="4">
        <f>IFERROR(__xludf.DUMMYFUNCTION("""COMPUTED_VALUE"""),0.0)</f>
        <v>0</v>
      </c>
      <c r="I284" s="4">
        <f>IFERROR(__xludf.DUMMYFUNCTION("""COMPUTED_VALUE"""),11.73)</f>
        <v>11.73</v>
      </c>
      <c r="J284" s="4">
        <f>IFERROR(__xludf.DUMMYFUNCTION("""COMPUTED_VALUE"""),0.0)</f>
        <v>0</v>
      </c>
      <c r="K284" s="4">
        <f>IFERROR(__xludf.DUMMYFUNCTION("""COMPUTED_VALUE"""),701.9395999999999)</f>
        <v>701.9396</v>
      </c>
      <c r="L284" s="4">
        <f>IFERROR(__xludf.DUMMYFUNCTION("""COMPUTED_VALUE"""),1.3165805149047012)</f>
        <v>1.316580515</v>
      </c>
    </row>
    <row r="285">
      <c r="A285" s="4" t="str">
        <f>IFERROR(__xludf.DUMMYFUNCTION("""COMPUTED_VALUE"""),"NGC4068")</f>
        <v>NGC4068</v>
      </c>
      <c r="B285" s="4">
        <f>IFERROR(__xludf.DUMMYFUNCTION("""COMPUTED_VALUE"""),4.37)</f>
        <v>4.37</v>
      </c>
      <c r="C285" s="4">
        <f>IFERROR(__xludf.DUMMYFUNCTION("""COMPUTED_VALUE"""),1.91)</f>
        <v>1.91</v>
      </c>
      <c r="D285" s="4">
        <f>IFERROR(__xludf.DUMMYFUNCTION("""COMPUTED_VALUE"""),36.0)</f>
        <v>36</v>
      </c>
      <c r="E285" s="4">
        <f>IFERROR(__xludf.DUMMYFUNCTION("""COMPUTED_VALUE"""),1.7)</f>
        <v>1.7</v>
      </c>
      <c r="F285" s="4">
        <f>IFERROR(__xludf.DUMMYFUNCTION("""COMPUTED_VALUE"""),17.24)</f>
        <v>17.24</v>
      </c>
      <c r="G285" s="4">
        <f>IFERROR(__xludf.DUMMYFUNCTION("""COMPUTED_VALUE"""),23.95)</f>
        <v>23.95</v>
      </c>
      <c r="H285" s="4">
        <f>IFERROR(__xludf.DUMMYFUNCTION("""COMPUTED_VALUE"""),0.0)</f>
        <v>0</v>
      </c>
      <c r="I285" s="4">
        <f>IFERROR(__xludf.DUMMYFUNCTION("""COMPUTED_VALUE"""),5.17)</f>
        <v>5.17</v>
      </c>
      <c r="J285" s="4">
        <f>IFERROR(__xludf.DUMMYFUNCTION("""COMPUTED_VALUE"""),0.0)</f>
        <v>0</v>
      </c>
      <c r="K285" s="4">
        <f>IFERROR(__xludf.DUMMYFUNCTION("""COMPUTED_VALUE"""),870.8200999999999)</f>
        <v>870.8201</v>
      </c>
      <c r="L285" s="4">
        <f>IFERROR(__xludf.DUMMYFUNCTION("""COMPUTED_VALUE"""),1.4882522808097793)</f>
        <v>1.488252281</v>
      </c>
    </row>
    <row r="286">
      <c r="A286" s="5" t="str">
        <f>IFERROR(__xludf.DUMMYFUNCTION("""COMPUTED_VALUE"""),"NGC4068")</f>
        <v>NGC4068</v>
      </c>
      <c r="B286" s="5">
        <f>IFERROR(__xludf.DUMMYFUNCTION("""COMPUTED_VALUE"""),4.37)</f>
        <v>4.37</v>
      </c>
      <c r="C286" s="5">
        <f>IFERROR(__xludf.DUMMYFUNCTION("""COMPUTED_VALUE"""),2.33)</f>
        <v>2.33</v>
      </c>
      <c r="D286" s="5">
        <f>IFERROR(__xludf.DUMMYFUNCTION("""COMPUTED_VALUE"""),41.9)</f>
        <v>41.9</v>
      </c>
      <c r="E286" s="5">
        <f>IFERROR(__xludf.DUMMYFUNCTION("""COMPUTED_VALUE"""),4.97)</f>
        <v>4.97</v>
      </c>
      <c r="F286" s="5">
        <f>IFERROR(__xludf.DUMMYFUNCTION("""COMPUTED_VALUE"""),19.86)</f>
        <v>19.86</v>
      </c>
      <c r="G286" s="5">
        <f>IFERROR(__xludf.DUMMYFUNCTION("""COMPUTED_VALUE"""),22.61)</f>
        <v>22.61</v>
      </c>
      <c r="H286" s="5">
        <f>IFERROR(__xludf.DUMMYFUNCTION("""COMPUTED_VALUE"""),0.0)</f>
        <v>0</v>
      </c>
      <c r="I286" s="5">
        <f>IFERROR(__xludf.DUMMYFUNCTION("""COMPUTED_VALUE"""),2.22)</f>
        <v>2.22</v>
      </c>
      <c r="J286" s="5">
        <f>IFERROR(__xludf.DUMMYFUNCTION("""COMPUTED_VALUE"""),0.0)</f>
        <v>0</v>
      </c>
      <c r="K286" s="5">
        <f>IFERROR(__xludf.DUMMYFUNCTION("""COMPUTED_VALUE"""),905.6316999999999)</f>
        <v>905.6317</v>
      </c>
      <c r="L286" s="5">
        <f>IFERROR(__xludf.DUMMYFUNCTION("""COMPUTED_VALUE"""),1.93854742496315)</f>
        <v>1.938547425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4" t="str">
        <f>IFERROR(__xludf.DUMMYFUNCTION("""COMPUTED_VALUE"""),"NGC6789")</f>
        <v>NGC6789</v>
      </c>
      <c r="B287" s="4">
        <f>IFERROR(__xludf.DUMMYFUNCTION("""COMPUTED_VALUE"""),3.52)</f>
        <v>3.52</v>
      </c>
      <c r="C287" s="4">
        <f>IFERROR(__xludf.DUMMYFUNCTION("""COMPUTED_VALUE"""),0.1)</f>
        <v>0.1</v>
      </c>
      <c r="D287" s="4">
        <f>IFERROR(__xludf.DUMMYFUNCTION("""COMPUTED_VALUE"""),13.9)</f>
        <v>13.9</v>
      </c>
      <c r="E287" s="4">
        <f>IFERROR(__xludf.DUMMYFUNCTION("""COMPUTED_VALUE"""),3.84)</f>
        <v>3.84</v>
      </c>
      <c r="F287" s="4">
        <f>IFERROR(__xludf.DUMMYFUNCTION("""COMPUTED_VALUE"""),2.8)</f>
        <v>2.8</v>
      </c>
      <c r="G287" s="4">
        <f>IFERROR(__xludf.DUMMYFUNCTION("""COMPUTED_VALUE"""),7.62)</f>
        <v>7.62</v>
      </c>
      <c r="H287" s="4">
        <f>IFERROR(__xludf.DUMMYFUNCTION("""COMPUTED_VALUE"""),0.0)</f>
        <v>0</v>
      </c>
      <c r="I287" s="4">
        <f>IFERROR(__xludf.DUMMYFUNCTION("""COMPUTED_VALUE"""),126.29)</f>
        <v>126.29</v>
      </c>
      <c r="J287" s="4">
        <f>IFERROR(__xludf.DUMMYFUNCTION("""COMPUTED_VALUE"""),0.0)</f>
        <v>0</v>
      </c>
      <c r="K287" s="4">
        <f>IFERROR(__xludf.DUMMYFUNCTION("""COMPUTED_VALUE"""),65.9044)</f>
        <v>65.9044</v>
      </c>
      <c r="L287" s="4">
        <f>IFERROR(__xludf.DUMMYFUNCTION("""COMPUTED_VALUE"""),2.9316707230473233)</f>
        <v>2.931670723</v>
      </c>
    </row>
    <row r="288">
      <c r="A288" s="4" t="str">
        <f>IFERROR(__xludf.DUMMYFUNCTION("""COMPUTED_VALUE"""),"NGC6789")</f>
        <v>NGC6789</v>
      </c>
      <c r="B288" s="4">
        <f>IFERROR(__xludf.DUMMYFUNCTION("""COMPUTED_VALUE"""),3.52)</f>
        <v>3.52</v>
      </c>
      <c r="C288" s="4">
        <f>IFERROR(__xludf.DUMMYFUNCTION("""COMPUTED_VALUE"""),0.3)</f>
        <v>0.3</v>
      </c>
      <c r="D288" s="4">
        <f>IFERROR(__xludf.DUMMYFUNCTION("""COMPUTED_VALUE"""),29.9)</f>
        <v>29.9</v>
      </c>
      <c r="E288" s="4">
        <f>IFERROR(__xludf.DUMMYFUNCTION("""COMPUTED_VALUE"""),3.92)</f>
        <v>3.92</v>
      </c>
      <c r="F288" s="4">
        <f>IFERROR(__xludf.DUMMYFUNCTION("""COMPUTED_VALUE"""),7.72)</f>
        <v>7.72</v>
      </c>
      <c r="G288" s="4">
        <f>IFERROR(__xludf.DUMMYFUNCTION("""COMPUTED_VALUE"""),17.26)</f>
        <v>17.26</v>
      </c>
      <c r="H288" s="4">
        <f>IFERROR(__xludf.DUMMYFUNCTION("""COMPUTED_VALUE"""),0.0)</f>
        <v>0</v>
      </c>
      <c r="I288" s="4">
        <f>IFERROR(__xludf.DUMMYFUNCTION("""COMPUTED_VALUE"""),62.07)</f>
        <v>62.07</v>
      </c>
      <c r="J288" s="4">
        <f>IFERROR(__xludf.DUMMYFUNCTION("""COMPUTED_VALUE"""),0.0)</f>
        <v>0</v>
      </c>
      <c r="K288" s="4">
        <f>IFERROR(__xludf.DUMMYFUNCTION("""COMPUTED_VALUE"""),357.5060000000001)</f>
        <v>357.506</v>
      </c>
      <c r="L288" s="4">
        <f>IFERROR(__xludf.DUMMYFUNCTION("""COMPUTED_VALUE"""),2.500685303183722)</f>
        <v>2.500685303</v>
      </c>
    </row>
    <row r="289">
      <c r="A289" s="4" t="str">
        <f>IFERROR(__xludf.DUMMYFUNCTION("""COMPUTED_VALUE"""),"NGC6789")</f>
        <v>NGC6789</v>
      </c>
      <c r="B289" s="4">
        <f>IFERROR(__xludf.DUMMYFUNCTION("""COMPUTED_VALUE"""),3.52)</f>
        <v>3.52</v>
      </c>
      <c r="C289" s="4">
        <f>IFERROR(__xludf.DUMMYFUNCTION("""COMPUTED_VALUE"""),0.51)</f>
        <v>0.51</v>
      </c>
      <c r="D289" s="4">
        <f>IFERROR(__xludf.DUMMYFUNCTION("""COMPUTED_VALUE"""),46.7)</f>
        <v>46.7</v>
      </c>
      <c r="E289" s="4">
        <f>IFERROR(__xludf.DUMMYFUNCTION("""COMPUTED_VALUE"""),4.1)</f>
        <v>4.1</v>
      </c>
      <c r="F289" s="4">
        <f>IFERROR(__xludf.DUMMYFUNCTION("""COMPUTED_VALUE"""),11.07)</f>
        <v>11.07</v>
      </c>
      <c r="G289" s="4">
        <f>IFERROR(__xludf.DUMMYFUNCTION("""COMPUTED_VALUE"""),20.43)</f>
        <v>20.43</v>
      </c>
      <c r="H289" s="4">
        <f>IFERROR(__xludf.DUMMYFUNCTION("""COMPUTED_VALUE"""),0.0)</f>
        <v>0</v>
      </c>
      <c r="I289" s="4">
        <f>IFERROR(__xludf.DUMMYFUNCTION("""COMPUTED_VALUE"""),30.5)</f>
        <v>30.5</v>
      </c>
      <c r="J289" s="4">
        <f>IFERROR(__xludf.DUMMYFUNCTION("""COMPUTED_VALUE"""),0.0)</f>
        <v>0</v>
      </c>
      <c r="K289" s="4">
        <f>IFERROR(__xludf.DUMMYFUNCTION("""COMPUTED_VALUE"""),539.9298)</f>
        <v>539.9298</v>
      </c>
      <c r="L289" s="4">
        <f>IFERROR(__xludf.DUMMYFUNCTION("""COMPUTED_VALUE"""),4.039210282521914)</f>
        <v>4.039210283</v>
      </c>
    </row>
    <row r="290">
      <c r="A290" s="5" t="str">
        <f>IFERROR(__xludf.DUMMYFUNCTION("""COMPUTED_VALUE"""),"NGC6789")</f>
        <v>NGC6789</v>
      </c>
      <c r="B290" s="5">
        <f>IFERROR(__xludf.DUMMYFUNCTION("""COMPUTED_VALUE"""),3.52)</f>
        <v>3.52</v>
      </c>
      <c r="C290" s="5">
        <f>IFERROR(__xludf.DUMMYFUNCTION("""COMPUTED_VALUE"""),0.71)</f>
        <v>0.71</v>
      </c>
      <c r="D290" s="5">
        <f>IFERROR(__xludf.DUMMYFUNCTION("""COMPUTED_VALUE"""),60.4)</f>
        <v>60.4</v>
      </c>
      <c r="E290" s="5">
        <f>IFERROR(__xludf.DUMMYFUNCTION("""COMPUTED_VALUE"""),9.4)</f>
        <v>9.4</v>
      </c>
      <c r="F290" s="5">
        <f>IFERROR(__xludf.DUMMYFUNCTION("""COMPUTED_VALUE"""),11.87)</f>
        <v>11.87</v>
      </c>
      <c r="G290" s="5">
        <f>IFERROR(__xludf.DUMMYFUNCTION("""COMPUTED_VALUE"""),21.37)</f>
        <v>21.37</v>
      </c>
      <c r="H290" s="5">
        <f>IFERROR(__xludf.DUMMYFUNCTION("""COMPUTED_VALUE"""),0.0)</f>
        <v>0</v>
      </c>
      <c r="I290" s="5">
        <f>IFERROR(__xludf.DUMMYFUNCTION("""COMPUTED_VALUE"""),16.58)</f>
        <v>16.58</v>
      </c>
      <c r="J290" s="5">
        <f>IFERROR(__xludf.DUMMYFUNCTION("""COMPUTED_VALUE"""),0.0)</f>
        <v>0</v>
      </c>
      <c r="K290" s="5">
        <f>IFERROR(__xludf.DUMMYFUNCTION("""COMPUTED_VALUE"""),597.5738)</f>
        <v>597.5738</v>
      </c>
      <c r="L290" s="5">
        <f>IFERROR(__xludf.DUMMYFUNCTION("""COMPUTED_VALUE"""),6.104953061864492)</f>
        <v>6.104953062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4" t="str">
        <f>IFERROR(__xludf.DUMMYFUNCTION("""COMPUTED_VALUE"""),"PGC51017")</f>
        <v>PGC51017</v>
      </c>
      <c r="B291" s="4">
        <f>IFERROR(__xludf.DUMMYFUNCTION("""COMPUTED_VALUE"""),13.6)</f>
        <v>13.6</v>
      </c>
      <c r="C291" s="4">
        <f>IFERROR(__xludf.DUMMYFUNCTION("""COMPUTED_VALUE"""),0.33)</f>
        <v>0.33</v>
      </c>
      <c r="D291" s="4">
        <f>IFERROR(__xludf.DUMMYFUNCTION("""COMPUTED_VALUE"""),20.5)</f>
        <v>20.5</v>
      </c>
      <c r="E291" s="4">
        <f>IFERROR(__xludf.DUMMYFUNCTION("""COMPUTED_VALUE"""),4.17)</f>
        <v>4.17</v>
      </c>
      <c r="F291" s="4">
        <f>IFERROR(__xludf.DUMMYFUNCTION("""COMPUTED_VALUE"""),5.04)</f>
        <v>5.04</v>
      </c>
      <c r="G291" s="4">
        <f>IFERROR(__xludf.DUMMYFUNCTION("""COMPUTED_VALUE"""),10.8)</f>
        <v>10.8</v>
      </c>
      <c r="H291" s="4">
        <f>IFERROR(__xludf.DUMMYFUNCTION("""COMPUTED_VALUE"""),0.0)</f>
        <v>0</v>
      </c>
      <c r="I291" s="4">
        <f>IFERROR(__xludf.DUMMYFUNCTION("""COMPUTED_VALUE"""),44.45)</f>
        <v>44.45</v>
      </c>
      <c r="J291" s="4">
        <f>IFERROR(__xludf.DUMMYFUNCTION("""COMPUTED_VALUE"""),0.0)</f>
        <v>0</v>
      </c>
      <c r="K291" s="4">
        <f>IFERROR(__xludf.DUMMYFUNCTION("""COMPUTED_VALUE"""),142.04160000000002)</f>
        <v>142.0416</v>
      </c>
      <c r="L291" s="4">
        <f>IFERROR(__xludf.DUMMYFUNCTION("""COMPUTED_VALUE"""),2.9586402856627916)</f>
        <v>2.958640286</v>
      </c>
    </row>
    <row r="292">
      <c r="A292" s="4" t="str">
        <f>IFERROR(__xludf.DUMMYFUNCTION("""COMPUTED_VALUE"""),"PGC51017")</f>
        <v>PGC51017</v>
      </c>
      <c r="B292" s="4">
        <f>IFERROR(__xludf.DUMMYFUNCTION("""COMPUTED_VALUE"""),13.6)</f>
        <v>13.6</v>
      </c>
      <c r="C292" s="4">
        <f>IFERROR(__xludf.DUMMYFUNCTION("""COMPUTED_VALUE"""),0.99)</f>
        <v>0.99</v>
      </c>
      <c r="D292" s="4">
        <f>IFERROR(__xludf.DUMMYFUNCTION("""COMPUTED_VALUE"""),19.9)</f>
        <v>19.9</v>
      </c>
      <c r="E292" s="4">
        <f>IFERROR(__xludf.DUMMYFUNCTION("""COMPUTED_VALUE"""),1.82)</f>
        <v>1.82</v>
      </c>
      <c r="F292" s="4">
        <f>IFERROR(__xludf.DUMMYFUNCTION("""COMPUTED_VALUE"""),10.8)</f>
        <v>10.8</v>
      </c>
      <c r="G292" s="4">
        <f>IFERROR(__xludf.DUMMYFUNCTION("""COMPUTED_VALUE"""),19.85)</f>
        <v>19.85</v>
      </c>
      <c r="H292" s="4">
        <f>IFERROR(__xludf.DUMMYFUNCTION("""COMPUTED_VALUE"""),0.0)</f>
        <v>0</v>
      </c>
      <c r="I292" s="4">
        <f>IFERROR(__xludf.DUMMYFUNCTION("""COMPUTED_VALUE"""),13.79)</f>
        <v>13.79</v>
      </c>
      <c r="J292" s="4">
        <f>IFERROR(__xludf.DUMMYFUNCTION("""COMPUTED_VALUE"""),0.0)</f>
        <v>0</v>
      </c>
      <c r="K292" s="4">
        <f>IFERROR(__xludf.DUMMYFUNCTION("""COMPUTED_VALUE"""),510.6625)</f>
        <v>510.6625</v>
      </c>
      <c r="L292" s="4">
        <f>IFERROR(__xludf.DUMMYFUNCTION("""COMPUTED_VALUE"""),0.7754828286784322)</f>
        <v>0.7754828287</v>
      </c>
    </row>
    <row r="293">
      <c r="A293" s="4" t="str">
        <f>IFERROR(__xludf.DUMMYFUNCTION("""COMPUTED_VALUE"""),"PGC51017")</f>
        <v>PGC51017</v>
      </c>
      <c r="B293" s="4">
        <f>IFERROR(__xludf.DUMMYFUNCTION("""COMPUTED_VALUE"""),13.6)</f>
        <v>13.6</v>
      </c>
      <c r="C293" s="4">
        <f>IFERROR(__xludf.DUMMYFUNCTION("""COMPUTED_VALUE"""),1.65)</f>
        <v>1.65</v>
      </c>
      <c r="D293" s="4">
        <f>IFERROR(__xludf.DUMMYFUNCTION("""COMPUTED_VALUE"""),19.3)</f>
        <v>19.3</v>
      </c>
      <c r="E293" s="4">
        <f>IFERROR(__xludf.DUMMYFUNCTION("""COMPUTED_VALUE"""),1.69)</f>
        <v>1.69</v>
      </c>
      <c r="F293" s="4">
        <f>IFERROR(__xludf.DUMMYFUNCTION("""COMPUTED_VALUE"""),12.3)</f>
        <v>12.3</v>
      </c>
      <c r="G293" s="4">
        <f>IFERROR(__xludf.DUMMYFUNCTION("""COMPUTED_VALUE"""),20.13)</f>
        <v>20.13</v>
      </c>
      <c r="H293" s="4">
        <f>IFERROR(__xludf.DUMMYFUNCTION("""COMPUTED_VALUE"""),0.0)</f>
        <v>0</v>
      </c>
      <c r="I293" s="4">
        <f>IFERROR(__xludf.DUMMYFUNCTION("""COMPUTED_VALUE"""),4.14)</f>
        <v>4.14</v>
      </c>
      <c r="J293" s="4">
        <f>IFERROR(__xludf.DUMMYFUNCTION("""COMPUTED_VALUE"""),0.0)</f>
        <v>0</v>
      </c>
      <c r="K293" s="4">
        <f>IFERROR(__xludf.DUMMYFUNCTION("""COMPUTED_VALUE"""),556.5069)</f>
        <v>556.5069</v>
      </c>
      <c r="L293" s="4">
        <f>IFERROR(__xludf.DUMMYFUNCTION("""COMPUTED_VALUE"""),0.6693358159620304)</f>
        <v>0.669335816</v>
      </c>
    </row>
    <row r="294">
      <c r="A294" s="4" t="str">
        <f>IFERROR(__xludf.DUMMYFUNCTION("""COMPUTED_VALUE"""),"PGC51017")</f>
        <v>PGC51017</v>
      </c>
      <c r="B294" s="4">
        <f>IFERROR(__xludf.DUMMYFUNCTION("""COMPUTED_VALUE"""),13.6)</f>
        <v>13.6</v>
      </c>
      <c r="C294" s="4">
        <f>IFERROR(__xludf.DUMMYFUNCTION("""COMPUTED_VALUE"""),2.31)</f>
        <v>2.31</v>
      </c>
      <c r="D294" s="4">
        <f>IFERROR(__xludf.DUMMYFUNCTION("""COMPUTED_VALUE"""),18.8)</f>
        <v>18.8</v>
      </c>
      <c r="E294" s="4">
        <f>IFERROR(__xludf.DUMMYFUNCTION("""COMPUTED_VALUE"""),1.9)</f>
        <v>1.9</v>
      </c>
      <c r="F294" s="4">
        <f>IFERROR(__xludf.DUMMYFUNCTION("""COMPUTED_VALUE"""),12.7)</f>
        <v>12.7</v>
      </c>
      <c r="G294" s="4">
        <f>IFERROR(__xludf.DUMMYFUNCTION("""COMPUTED_VALUE"""),18.24)</f>
        <v>18.24</v>
      </c>
      <c r="H294" s="4">
        <f>IFERROR(__xludf.DUMMYFUNCTION("""COMPUTED_VALUE"""),0.0)</f>
        <v>0</v>
      </c>
      <c r="I294" s="4">
        <f>IFERROR(__xludf.DUMMYFUNCTION("""COMPUTED_VALUE"""),1.17)</f>
        <v>1.17</v>
      </c>
      <c r="J294" s="4">
        <f>IFERROR(__xludf.DUMMYFUNCTION("""COMPUTED_VALUE"""),0.0)</f>
        <v>0</v>
      </c>
      <c r="K294" s="4">
        <f>IFERROR(__xludf.DUMMYFUNCTION("""COMPUTED_VALUE"""),493.98759999999993)</f>
        <v>493.9876</v>
      </c>
      <c r="L294" s="4">
        <f>IFERROR(__xludf.DUMMYFUNCTION("""COMPUTED_VALUE"""),0.7154835465505615)</f>
        <v>0.7154835466</v>
      </c>
    </row>
    <row r="295">
      <c r="A295" s="4" t="str">
        <f>IFERROR(__xludf.DUMMYFUNCTION("""COMPUTED_VALUE"""),"PGC51017")</f>
        <v>PGC51017</v>
      </c>
      <c r="B295" s="4">
        <f>IFERROR(__xludf.DUMMYFUNCTION("""COMPUTED_VALUE"""),13.6)</f>
        <v>13.6</v>
      </c>
      <c r="C295" s="4">
        <f>IFERROR(__xludf.DUMMYFUNCTION("""COMPUTED_VALUE"""),2.97)</f>
        <v>2.97</v>
      </c>
      <c r="D295" s="4">
        <f>IFERROR(__xludf.DUMMYFUNCTION("""COMPUTED_VALUE"""),18.2)</f>
        <v>18.2</v>
      </c>
      <c r="E295" s="4">
        <f>IFERROR(__xludf.DUMMYFUNCTION("""COMPUTED_VALUE"""),1.74)</f>
        <v>1.74</v>
      </c>
      <c r="F295" s="4">
        <f>IFERROR(__xludf.DUMMYFUNCTION("""COMPUTED_VALUE"""),13.3)</f>
        <v>13.3</v>
      </c>
      <c r="G295" s="4">
        <f>IFERROR(__xludf.DUMMYFUNCTION("""COMPUTED_VALUE"""),16.21)</f>
        <v>16.21</v>
      </c>
      <c r="H295" s="4">
        <f>IFERROR(__xludf.DUMMYFUNCTION("""COMPUTED_VALUE"""),0.0)</f>
        <v>0</v>
      </c>
      <c r="I295" s="4">
        <f>IFERROR(__xludf.DUMMYFUNCTION("""COMPUTED_VALUE"""),0.34)</f>
        <v>0.34</v>
      </c>
      <c r="J295" s="4">
        <f>IFERROR(__xludf.DUMMYFUNCTION("""COMPUTED_VALUE"""),0.0)</f>
        <v>0</v>
      </c>
      <c r="K295" s="4">
        <f>IFERROR(__xludf.DUMMYFUNCTION("""COMPUTED_VALUE"""),439.6541000000001)</f>
        <v>439.6541</v>
      </c>
      <c r="L295" s="4">
        <f>IFERROR(__xludf.DUMMYFUNCTION("""COMPUTED_VALUE"""),0.753410465181605)</f>
        <v>0.7534104652</v>
      </c>
    </row>
    <row r="296">
      <c r="A296" s="5" t="str">
        <f>IFERROR(__xludf.DUMMYFUNCTION("""COMPUTED_VALUE"""),"PGC51017")</f>
        <v>PGC51017</v>
      </c>
      <c r="B296" s="5">
        <f>IFERROR(__xludf.DUMMYFUNCTION("""COMPUTED_VALUE"""),13.6)</f>
        <v>13.6</v>
      </c>
      <c r="C296" s="5">
        <f>IFERROR(__xludf.DUMMYFUNCTION("""COMPUTED_VALUE"""),3.63)</f>
        <v>3.63</v>
      </c>
      <c r="D296" s="5">
        <f>IFERROR(__xludf.DUMMYFUNCTION("""COMPUTED_VALUE"""),18.3)</f>
        <v>18.3</v>
      </c>
      <c r="E296" s="5">
        <f>IFERROR(__xludf.DUMMYFUNCTION("""COMPUTED_VALUE"""),2.22)</f>
        <v>2.22</v>
      </c>
      <c r="F296" s="5">
        <f>IFERROR(__xludf.DUMMYFUNCTION("""COMPUTED_VALUE"""),14.2)</f>
        <v>14.2</v>
      </c>
      <c r="G296" s="5">
        <f>IFERROR(__xludf.DUMMYFUNCTION("""COMPUTED_VALUE"""),14.5)</f>
        <v>14.5</v>
      </c>
      <c r="H296" s="5">
        <f>IFERROR(__xludf.DUMMYFUNCTION("""COMPUTED_VALUE"""),0.0)</f>
        <v>0</v>
      </c>
      <c r="I296" s="5">
        <f>IFERROR(__xludf.DUMMYFUNCTION("""COMPUTED_VALUE"""),0.0)</f>
        <v>0</v>
      </c>
      <c r="J296" s="5">
        <f>IFERROR(__xludf.DUMMYFUNCTION("""COMPUTED_VALUE"""),0.0)</f>
        <v>0</v>
      </c>
      <c r="K296" s="5">
        <f>IFERROR(__xludf.DUMMYFUNCTION("""COMPUTED_VALUE"""),411.89)</f>
        <v>411.89</v>
      </c>
      <c r="L296" s="5">
        <f>IFERROR(__xludf.DUMMYFUNCTION("""COMPUTED_VALUE"""),0.8130568841195466)</f>
        <v>0.8130568841</v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4" t="str">
        <f>IFERROR(__xludf.DUMMYFUNCTION("""COMPUTED_VALUE"""),"UGC00731")</f>
        <v>UGC00731</v>
      </c>
      <c r="B297" s="4">
        <f>IFERROR(__xludf.DUMMYFUNCTION("""COMPUTED_VALUE"""),12.5)</f>
        <v>12.5</v>
      </c>
      <c r="C297" s="4">
        <f>IFERROR(__xludf.DUMMYFUNCTION("""COMPUTED_VALUE"""),0.91)</f>
        <v>0.91</v>
      </c>
      <c r="D297" s="4">
        <f>IFERROR(__xludf.DUMMYFUNCTION("""COMPUTED_VALUE"""),29.6)</f>
        <v>29.6</v>
      </c>
      <c r="E297" s="4">
        <f>IFERROR(__xludf.DUMMYFUNCTION("""COMPUTED_VALUE"""),2.38)</f>
        <v>2.38</v>
      </c>
      <c r="F297" s="4">
        <f>IFERROR(__xludf.DUMMYFUNCTION("""COMPUTED_VALUE"""),0.8)</f>
        <v>0.8</v>
      </c>
      <c r="G297" s="4">
        <f>IFERROR(__xludf.DUMMYFUNCTION("""COMPUTED_VALUE"""),7.82)</f>
        <v>7.82</v>
      </c>
      <c r="H297" s="4">
        <f>IFERROR(__xludf.DUMMYFUNCTION("""COMPUTED_VALUE"""),0.0)</f>
        <v>0</v>
      </c>
      <c r="I297" s="4">
        <f>IFERROR(__xludf.DUMMYFUNCTION("""COMPUTED_VALUE"""),8.65)</f>
        <v>8.65</v>
      </c>
      <c r="J297" s="4">
        <f>IFERROR(__xludf.DUMMYFUNCTION("""COMPUTED_VALUE"""),0.0)</f>
        <v>0</v>
      </c>
      <c r="K297" s="4">
        <f>IFERROR(__xludf.DUMMYFUNCTION("""COMPUTED_VALUE"""),61.79240000000001)</f>
        <v>61.7924</v>
      </c>
      <c r="L297" s="4">
        <f>IFERROR(__xludf.DUMMYFUNCTION("""COMPUTED_VALUE"""),14.17908998517617)</f>
        <v>14.17908999</v>
      </c>
    </row>
    <row r="298">
      <c r="A298" s="4" t="str">
        <f>IFERROR(__xludf.DUMMYFUNCTION("""COMPUTED_VALUE"""),"UGC00731")</f>
        <v>UGC00731</v>
      </c>
      <c r="B298" s="4">
        <f>IFERROR(__xludf.DUMMYFUNCTION("""COMPUTED_VALUE"""),12.5)</f>
        <v>12.5</v>
      </c>
      <c r="C298" s="4">
        <f>IFERROR(__xludf.DUMMYFUNCTION("""COMPUTED_VALUE"""),1.81)</f>
        <v>1.81</v>
      </c>
      <c r="D298" s="4">
        <f>IFERROR(__xludf.DUMMYFUNCTION("""COMPUTED_VALUE"""),44.6)</f>
        <v>44.6</v>
      </c>
      <c r="E298" s="4">
        <f>IFERROR(__xludf.DUMMYFUNCTION("""COMPUTED_VALUE"""),2.4)</f>
        <v>2.4</v>
      </c>
      <c r="F298" s="4">
        <f>IFERROR(__xludf.DUMMYFUNCTION("""COMPUTED_VALUE"""),5.58)</f>
        <v>5.58</v>
      </c>
      <c r="G298" s="4">
        <f>IFERROR(__xludf.DUMMYFUNCTION("""COMPUTED_VALUE"""),11.42)</f>
        <v>11.42</v>
      </c>
      <c r="H298" s="4">
        <f>IFERROR(__xludf.DUMMYFUNCTION("""COMPUTED_VALUE"""),0.0)</f>
        <v>0</v>
      </c>
      <c r="I298" s="4">
        <f>IFERROR(__xludf.DUMMYFUNCTION("""COMPUTED_VALUE"""),3.94)</f>
        <v>3.94</v>
      </c>
      <c r="J298" s="4">
        <f>IFERROR(__xludf.DUMMYFUNCTION("""COMPUTED_VALUE"""),0.0)</f>
        <v>0</v>
      </c>
      <c r="K298" s="4">
        <f>IFERROR(__xludf.DUMMYFUNCTION("""COMPUTED_VALUE"""),161.55280000000002)</f>
        <v>161.5528</v>
      </c>
      <c r="L298" s="4">
        <f>IFERROR(__xludf.DUMMYFUNCTION("""COMPUTED_VALUE"""),12.312754715486205)</f>
        <v>12.31275472</v>
      </c>
    </row>
    <row r="299">
      <c r="A299" s="4" t="str">
        <f>IFERROR(__xludf.DUMMYFUNCTION("""COMPUTED_VALUE"""),"UGC00731")</f>
        <v>UGC00731</v>
      </c>
      <c r="B299" s="4">
        <f>IFERROR(__xludf.DUMMYFUNCTION("""COMPUTED_VALUE"""),12.5)</f>
        <v>12.5</v>
      </c>
      <c r="C299" s="4">
        <f>IFERROR(__xludf.DUMMYFUNCTION("""COMPUTED_VALUE"""),2.73)</f>
        <v>2.73</v>
      </c>
      <c r="D299" s="4">
        <f>IFERROR(__xludf.DUMMYFUNCTION("""COMPUTED_VALUE"""),50.4)</f>
        <v>50.4</v>
      </c>
      <c r="E299" s="4">
        <f>IFERROR(__xludf.DUMMYFUNCTION("""COMPUTED_VALUE"""),2.86)</f>
        <v>2.86</v>
      </c>
      <c r="F299" s="4">
        <f>IFERROR(__xludf.DUMMYFUNCTION("""COMPUTED_VALUE"""),7.79)</f>
        <v>7.79</v>
      </c>
      <c r="G299" s="4">
        <f>IFERROR(__xludf.DUMMYFUNCTION("""COMPUTED_VALUE"""),12.3)</f>
        <v>12.3</v>
      </c>
      <c r="H299" s="4">
        <f>IFERROR(__xludf.DUMMYFUNCTION("""COMPUTED_VALUE"""),0.0)</f>
        <v>0</v>
      </c>
      <c r="I299" s="4">
        <f>IFERROR(__xludf.DUMMYFUNCTION("""COMPUTED_VALUE"""),2.74)</f>
        <v>2.74</v>
      </c>
      <c r="J299" s="4">
        <f>IFERROR(__xludf.DUMMYFUNCTION("""COMPUTED_VALUE"""),0.0)</f>
        <v>0</v>
      </c>
      <c r="K299" s="4">
        <f>IFERROR(__xludf.DUMMYFUNCTION("""COMPUTED_VALUE"""),211.97410000000002)</f>
        <v>211.9741</v>
      </c>
      <c r="L299" s="4">
        <f>IFERROR(__xludf.DUMMYFUNCTION("""COMPUTED_VALUE"""),11.983350796158586)</f>
        <v>11.9833508</v>
      </c>
    </row>
    <row r="300">
      <c r="A300" s="4" t="str">
        <f>IFERROR(__xludf.DUMMYFUNCTION("""COMPUTED_VALUE"""),"UGC00731")</f>
        <v>UGC00731</v>
      </c>
      <c r="B300" s="4">
        <f>IFERROR(__xludf.DUMMYFUNCTION("""COMPUTED_VALUE"""),12.5)</f>
        <v>12.5</v>
      </c>
      <c r="C300" s="4">
        <f>IFERROR(__xludf.DUMMYFUNCTION("""COMPUTED_VALUE"""),3.64)</f>
        <v>3.64</v>
      </c>
      <c r="D300" s="4">
        <f>IFERROR(__xludf.DUMMYFUNCTION("""COMPUTED_VALUE"""),56.8)</f>
        <v>56.8</v>
      </c>
      <c r="E300" s="4">
        <f>IFERROR(__xludf.DUMMYFUNCTION("""COMPUTED_VALUE"""),3.43)</f>
        <v>3.43</v>
      </c>
      <c r="F300" s="4">
        <f>IFERROR(__xludf.DUMMYFUNCTION("""COMPUTED_VALUE"""),14.0)</f>
        <v>14</v>
      </c>
      <c r="G300" s="4">
        <f>IFERROR(__xludf.DUMMYFUNCTION("""COMPUTED_VALUE"""),13.66)</f>
        <v>13.66</v>
      </c>
      <c r="H300" s="4">
        <f>IFERROR(__xludf.DUMMYFUNCTION("""COMPUTED_VALUE"""),0.0)</f>
        <v>0</v>
      </c>
      <c r="I300" s="4">
        <f>IFERROR(__xludf.DUMMYFUNCTION("""COMPUTED_VALUE"""),2.16)</f>
        <v>2.16</v>
      </c>
      <c r="J300" s="4">
        <f>IFERROR(__xludf.DUMMYFUNCTION("""COMPUTED_VALUE"""),0.0)</f>
        <v>0</v>
      </c>
      <c r="K300" s="4">
        <f>IFERROR(__xludf.DUMMYFUNCTION("""COMPUTED_VALUE"""),382.5956)</f>
        <v>382.5956</v>
      </c>
      <c r="L300" s="4">
        <f>IFERROR(__xludf.DUMMYFUNCTION("""COMPUTED_VALUE"""),8.432506803528321)</f>
        <v>8.432506804</v>
      </c>
    </row>
    <row r="301">
      <c r="A301" s="4" t="str">
        <f>IFERROR(__xludf.DUMMYFUNCTION("""COMPUTED_VALUE"""),"UGC00731")</f>
        <v>UGC00731</v>
      </c>
      <c r="B301" s="4">
        <f>IFERROR(__xludf.DUMMYFUNCTION("""COMPUTED_VALUE"""),12.5)</f>
        <v>12.5</v>
      </c>
      <c r="C301" s="4">
        <f>IFERROR(__xludf.DUMMYFUNCTION("""COMPUTED_VALUE"""),4.55)</f>
        <v>4.55</v>
      </c>
      <c r="D301" s="4">
        <f>IFERROR(__xludf.DUMMYFUNCTION("""COMPUTED_VALUE"""),60.7)</f>
        <v>60.7</v>
      </c>
      <c r="E301" s="4">
        <f>IFERROR(__xludf.DUMMYFUNCTION("""COMPUTED_VALUE"""),2.98)</f>
        <v>2.98</v>
      </c>
      <c r="F301" s="4">
        <f>IFERROR(__xludf.DUMMYFUNCTION("""COMPUTED_VALUE"""),16.12)</f>
        <v>16.12</v>
      </c>
      <c r="G301" s="4">
        <f>IFERROR(__xludf.DUMMYFUNCTION("""COMPUTED_VALUE"""),14.46)</f>
        <v>14.46</v>
      </c>
      <c r="H301" s="4">
        <f>IFERROR(__xludf.DUMMYFUNCTION("""COMPUTED_VALUE"""),0.0)</f>
        <v>0</v>
      </c>
      <c r="I301" s="4">
        <f>IFERROR(__xludf.DUMMYFUNCTION("""COMPUTED_VALUE"""),1.44)</f>
        <v>1.44</v>
      </c>
      <c r="J301" s="4">
        <f>IFERROR(__xludf.DUMMYFUNCTION("""COMPUTED_VALUE"""),0.0)</f>
        <v>0</v>
      </c>
      <c r="K301" s="4">
        <f>IFERROR(__xludf.DUMMYFUNCTION("""COMPUTED_VALUE"""),468.9460000000001)</f>
        <v>468.946</v>
      </c>
      <c r="L301" s="4">
        <f>IFERROR(__xludf.DUMMYFUNCTION("""COMPUTED_VALUE"""),7.856960076426709)</f>
        <v>7.856960076</v>
      </c>
    </row>
    <row r="302">
      <c r="A302" s="4" t="str">
        <f>IFERROR(__xludf.DUMMYFUNCTION("""COMPUTED_VALUE"""),"UGC00731")</f>
        <v>UGC00731</v>
      </c>
      <c r="B302" s="4">
        <f>IFERROR(__xludf.DUMMYFUNCTION("""COMPUTED_VALUE"""),12.5)</f>
        <v>12.5</v>
      </c>
      <c r="C302" s="4">
        <f>IFERROR(__xludf.DUMMYFUNCTION("""COMPUTED_VALUE"""),5.45)</f>
        <v>5.45</v>
      </c>
      <c r="D302" s="4">
        <f>IFERROR(__xludf.DUMMYFUNCTION("""COMPUTED_VALUE"""),64.7)</f>
        <v>64.7</v>
      </c>
      <c r="E302" s="4">
        <f>IFERROR(__xludf.DUMMYFUNCTION("""COMPUTED_VALUE"""),2.46)</f>
        <v>2.46</v>
      </c>
      <c r="F302" s="4">
        <f>IFERROR(__xludf.DUMMYFUNCTION("""COMPUTED_VALUE"""),18.25)</f>
        <v>18.25</v>
      </c>
      <c r="G302" s="4">
        <f>IFERROR(__xludf.DUMMYFUNCTION("""COMPUTED_VALUE"""),14.91)</f>
        <v>14.91</v>
      </c>
      <c r="H302" s="4">
        <f>IFERROR(__xludf.DUMMYFUNCTION("""COMPUTED_VALUE"""),0.0)</f>
        <v>0</v>
      </c>
      <c r="I302" s="4">
        <f>IFERROR(__xludf.DUMMYFUNCTION("""COMPUTED_VALUE"""),0.97)</f>
        <v>0.97</v>
      </c>
      <c r="J302" s="4">
        <f>IFERROR(__xludf.DUMMYFUNCTION("""COMPUTED_VALUE"""),0.0)</f>
        <v>0</v>
      </c>
      <c r="K302" s="4">
        <f>IFERROR(__xludf.DUMMYFUNCTION("""COMPUTED_VALUE"""),555.3706)</f>
        <v>555.3706</v>
      </c>
      <c r="L302" s="4">
        <f>IFERROR(__xludf.DUMMYFUNCTION("""COMPUTED_VALUE"""),7.537471374970155)</f>
        <v>7.537471375</v>
      </c>
    </row>
    <row r="303">
      <c r="A303" s="4" t="str">
        <f>IFERROR(__xludf.DUMMYFUNCTION("""COMPUTED_VALUE"""),"UGC00731")</f>
        <v>UGC00731</v>
      </c>
      <c r="B303" s="4">
        <f>IFERROR(__xludf.DUMMYFUNCTION("""COMPUTED_VALUE"""),12.5)</f>
        <v>12.5</v>
      </c>
      <c r="C303" s="4">
        <f>IFERROR(__xludf.DUMMYFUNCTION("""COMPUTED_VALUE"""),6.36)</f>
        <v>6.36</v>
      </c>
      <c r="D303" s="4">
        <f>IFERROR(__xludf.DUMMYFUNCTION("""COMPUTED_VALUE"""),68.0)</f>
        <v>68</v>
      </c>
      <c r="E303" s="4">
        <f>IFERROR(__xludf.DUMMYFUNCTION("""COMPUTED_VALUE"""),2.38)</f>
        <v>2.38</v>
      </c>
      <c r="F303" s="4">
        <f>IFERROR(__xludf.DUMMYFUNCTION("""COMPUTED_VALUE"""),23.38)</f>
        <v>23.38</v>
      </c>
      <c r="G303" s="4">
        <f>IFERROR(__xludf.DUMMYFUNCTION("""COMPUTED_VALUE"""),14.47)</f>
        <v>14.47</v>
      </c>
      <c r="H303" s="4">
        <f>IFERROR(__xludf.DUMMYFUNCTION("""COMPUTED_VALUE"""),0.0)</f>
        <v>0</v>
      </c>
      <c r="I303" s="4">
        <f>IFERROR(__xludf.DUMMYFUNCTION("""COMPUTED_VALUE"""),0.68)</f>
        <v>0.68</v>
      </c>
      <c r="J303" s="4">
        <f>IFERROR(__xludf.DUMMYFUNCTION("""COMPUTED_VALUE"""),0.0)</f>
        <v>0</v>
      </c>
      <c r="K303" s="4">
        <f>IFERROR(__xludf.DUMMYFUNCTION("""COMPUTED_VALUE"""),756.0052999999999)</f>
        <v>756.0053</v>
      </c>
      <c r="L303" s="4">
        <f>IFERROR(__xludf.DUMMYFUNCTION("""COMPUTED_VALUE"""),6.116359237164079)</f>
        <v>6.116359237</v>
      </c>
    </row>
    <row r="304">
      <c r="A304" s="4" t="str">
        <f>IFERROR(__xludf.DUMMYFUNCTION("""COMPUTED_VALUE"""),"UGC00731")</f>
        <v>UGC00731</v>
      </c>
      <c r="B304" s="4">
        <f>IFERROR(__xludf.DUMMYFUNCTION("""COMPUTED_VALUE"""),12.5)</f>
        <v>12.5</v>
      </c>
      <c r="C304" s="4">
        <f>IFERROR(__xludf.DUMMYFUNCTION("""COMPUTED_VALUE"""),7.28)</f>
        <v>7.28</v>
      </c>
      <c r="D304" s="4">
        <f>IFERROR(__xludf.DUMMYFUNCTION("""COMPUTED_VALUE"""),71.5)</f>
        <v>71.5</v>
      </c>
      <c r="E304" s="4">
        <f>IFERROR(__xludf.DUMMYFUNCTION("""COMPUTED_VALUE"""),2.52)</f>
        <v>2.52</v>
      </c>
      <c r="F304" s="4">
        <f>IFERROR(__xludf.DUMMYFUNCTION("""COMPUTED_VALUE"""),30.0)</f>
        <v>30</v>
      </c>
      <c r="G304" s="4">
        <f>IFERROR(__xludf.DUMMYFUNCTION("""COMPUTED_VALUE"""),14.77)</f>
        <v>14.77</v>
      </c>
      <c r="H304" s="4">
        <f>IFERROR(__xludf.DUMMYFUNCTION("""COMPUTED_VALUE"""),0.0)</f>
        <v>0</v>
      </c>
      <c r="I304" s="4">
        <f>IFERROR(__xludf.DUMMYFUNCTION("""COMPUTED_VALUE"""),0.58)</f>
        <v>0.58</v>
      </c>
      <c r="J304" s="4">
        <f>IFERROR(__xludf.DUMMYFUNCTION("""COMPUTED_VALUE"""),0.0)</f>
        <v>0</v>
      </c>
      <c r="K304" s="4">
        <f>IFERROR(__xludf.DUMMYFUNCTION("""COMPUTED_VALUE"""),1118.1529)</f>
        <v>1118.1529</v>
      </c>
      <c r="L304" s="4">
        <f>IFERROR(__xludf.DUMMYFUNCTION("""COMPUTED_VALUE"""),4.572049135677241)</f>
        <v>4.572049136</v>
      </c>
    </row>
    <row r="305">
      <c r="A305" s="4" t="str">
        <f>IFERROR(__xludf.DUMMYFUNCTION("""COMPUTED_VALUE"""),"UGC00731")</f>
        <v>UGC00731</v>
      </c>
      <c r="B305" s="4">
        <f>IFERROR(__xludf.DUMMYFUNCTION("""COMPUTED_VALUE"""),12.5)</f>
        <v>12.5</v>
      </c>
      <c r="C305" s="4">
        <f>IFERROR(__xludf.DUMMYFUNCTION("""COMPUTED_VALUE"""),8.19)</f>
        <v>8.19</v>
      </c>
      <c r="D305" s="4">
        <f>IFERROR(__xludf.DUMMYFUNCTION("""COMPUTED_VALUE"""),73.4)</f>
        <v>73.4</v>
      </c>
      <c r="E305" s="4">
        <f>IFERROR(__xludf.DUMMYFUNCTION("""COMPUTED_VALUE"""),2.68)</f>
        <v>2.68</v>
      </c>
      <c r="F305" s="4">
        <f>IFERROR(__xludf.DUMMYFUNCTION("""COMPUTED_VALUE"""),33.62)</f>
        <v>33.62</v>
      </c>
      <c r="G305" s="4">
        <f>IFERROR(__xludf.DUMMYFUNCTION("""COMPUTED_VALUE"""),14.75)</f>
        <v>14.75</v>
      </c>
      <c r="H305" s="4">
        <f>IFERROR(__xludf.DUMMYFUNCTION("""COMPUTED_VALUE"""),0.0)</f>
        <v>0</v>
      </c>
      <c r="I305" s="4">
        <f>IFERROR(__xludf.DUMMYFUNCTION("""COMPUTED_VALUE"""),0.24)</f>
        <v>0.24</v>
      </c>
      <c r="J305" s="4">
        <f>IFERROR(__xludf.DUMMYFUNCTION("""COMPUTED_VALUE"""),0.0)</f>
        <v>0</v>
      </c>
      <c r="K305" s="4">
        <f>IFERROR(__xludf.DUMMYFUNCTION("""COMPUTED_VALUE"""),1347.8668999999998)</f>
        <v>1347.8669</v>
      </c>
      <c r="L305" s="4">
        <f>IFERROR(__xludf.DUMMYFUNCTION("""COMPUTED_VALUE"""),3.997100900689824)</f>
        <v>3.997100901</v>
      </c>
    </row>
    <row r="306">
      <c r="A306" s="4" t="str">
        <f>IFERROR(__xludf.DUMMYFUNCTION("""COMPUTED_VALUE"""),"UGC00731")</f>
        <v>UGC00731</v>
      </c>
      <c r="B306" s="4">
        <f>IFERROR(__xludf.DUMMYFUNCTION("""COMPUTED_VALUE"""),12.5)</f>
        <v>12.5</v>
      </c>
      <c r="C306" s="4">
        <f>IFERROR(__xludf.DUMMYFUNCTION("""COMPUTED_VALUE"""),9.09)</f>
        <v>9.09</v>
      </c>
      <c r="D306" s="4">
        <f>IFERROR(__xludf.DUMMYFUNCTION("""COMPUTED_VALUE"""),74.0)</f>
        <v>74</v>
      </c>
      <c r="E306" s="4">
        <f>IFERROR(__xludf.DUMMYFUNCTION("""COMPUTED_VALUE"""),2.83)</f>
        <v>2.83</v>
      </c>
      <c r="F306" s="4">
        <f>IFERROR(__xludf.DUMMYFUNCTION("""COMPUTED_VALUE"""),34.88)</f>
        <v>34.88</v>
      </c>
      <c r="G306" s="4">
        <f>IFERROR(__xludf.DUMMYFUNCTION("""COMPUTED_VALUE"""),13.66)</f>
        <v>13.66</v>
      </c>
      <c r="H306" s="4">
        <f>IFERROR(__xludf.DUMMYFUNCTION("""COMPUTED_VALUE"""),0.0)</f>
        <v>0</v>
      </c>
      <c r="I306" s="4">
        <f>IFERROR(__xludf.DUMMYFUNCTION("""COMPUTED_VALUE"""),0.15)</f>
        <v>0.15</v>
      </c>
      <c r="J306" s="4">
        <f>IFERROR(__xludf.DUMMYFUNCTION("""COMPUTED_VALUE"""),0.0)</f>
        <v>0</v>
      </c>
      <c r="K306" s="4">
        <f>IFERROR(__xludf.DUMMYFUNCTION("""COMPUTED_VALUE"""),1403.21)</f>
        <v>1403.21</v>
      </c>
      <c r="L306" s="4">
        <f>IFERROR(__xludf.DUMMYFUNCTION("""COMPUTED_VALUE"""),3.9024807405876527)</f>
        <v>3.902480741</v>
      </c>
    </row>
    <row r="307">
      <c r="A307" s="4" t="str">
        <f>IFERROR(__xludf.DUMMYFUNCTION("""COMPUTED_VALUE"""),"UGC00731")</f>
        <v>UGC00731</v>
      </c>
      <c r="B307" s="4">
        <f>IFERROR(__xludf.DUMMYFUNCTION("""COMPUTED_VALUE"""),12.5)</f>
        <v>12.5</v>
      </c>
      <c r="C307" s="4">
        <f>IFERROR(__xludf.DUMMYFUNCTION("""COMPUTED_VALUE"""),10.0)</f>
        <v>10</v>
      </c>
      <c r="D307" s="4">
        <f>IFERROR(__xludf.DUMMYFUNCTION("""COMPUTED_VALUE"""),73.8)</f>
        <v>73.8</v>
      </c>
      <c r="E307" s="4">
        <f>IFERROR(__xludf.DUMMYFUNCTION("""COMPUTED_VALUE"""),3.22)</f>
        <v>3.22</v>
      </c>
      <c r="F307" s="4">
        <f>IFERROR(__xludf.DUMMYFUNCTION("""COMPUTED_VALUE"""),36.0)</f>
        <v>36</v>
      </c>
      <c r="G307" s="4">
        <f>IFERROR(__xludf.DUMMYFUNCTION("""COMPUTED_VALUE"""),13.17)</f>
        <v>13.17</v>
      </c>
      <c r="H307" s="4">
        <f>IFERROR(__xludf.DUMMYFUNCTION("""COMPUTED_VALUE"""),0.0)</f>
        <v>0</v>
      </c>
      <c r="I307" s="4">
        <f>IFERROR(__xludf.DUMMYFUNCTION("""COMPUTED_VALUE"""),0.13)</f>
        <v>0.13</v>
      </c>
      <c r="J307" s="4">
        <f>IFERROR(__xludf.DUMMYFUNCTION("""COMPUTED_VALUE"""),0.0)</f>
        <v>0</v>
      </c>
      <c r="K307" s="4">
        <f>IFERROR(__xludf.DUMMYFUNCTION("""COMPUTED_VALUE"""),1469.4489)</f>
        <v>1469.4489</v>
      </c>
      <c r="L307" s="4">
        <f>IFERROR(__xludf.DUMMYFUNCTION("""COMPUTED_VALUE"""),3.706450765317528)</f>
        <v>3.706450765</v>
      </c>
    </row>
    <row r="308">
      <c r="A308" s="5" t="str">
        <f>IFERROR(__xludf.DUMMYFUNCTION("""COMPUTED_VALUE"""),"UGC00731")</f>
        <v>UGC00731</v>
      </c>
      <c r="B308" s="5">
        <f>IFERROR(__xludf.DUMMYFUNCTION("""COMPUTED_VALUE"""),12.5)</f>
        <v>12.5</v>
      </c>
      <c r="C308" s="5">
        <f>IFERROR(__xludf.DUMMYFUNCTION("""COMPUTED_VALUE"""),10.91)</f>
        <v>10.91</v>
      </c>
      <c r="D308" s="5">
        <f>IFERROR(__xludf.DUMMYFUNCTION("""COMPUTED_VALUE"""),73.9)</f>
        <v>73.9</v>
      </c>
      <c r="E308" s="5">
        <f>IFERROR(__xludf.DUMMYFUNCTION("""COMPUTED_VALUE"""),3.42)</f>
        <v>3.42</v>
      </c>
      <c r="F308" s="5">
        <f>IFERROR(__xludf.DUMMYFUNCTION("""COMPUTED_VALUE"""),35.75)</f>
        <v>35.75</v>
      </c>
      <c r="G308" s="5">
        <f>IFERROR(__xludf.DUMMYFUNCTION("""COMPUTED_VALUE"""),12.83)</f>
        <v>12.83</v>
      </c>
      <c r="H308" s="5">
        <f>IFERROR(__xludf.DUMMYFUNCTION("""COMPUTED_VALUE"""),0.0)</f>
        <v>0</v>
      </c>
      <c r="I308" s="5">
        <f>IFERROR(__xludf.DUMMYFUNCTION("""COMPUTED_VALUE"""),0.0)</f>
        <v>0</v>
      </c>
      <c r="J308" s="5">
        <f>IFERROR(__xludf.DUMMYFUNCTION("""COMPUTED_VALUE"""),0.0)</f>
        <v>0</v>
      </c>
      <c r="K308" s="5">
        <f>IFERROR(__xludf.DUMMYFUNCTION("""COMPUTED_VALUE"""),1442.6714)</f>
        <v>1442.6714</v>
      </c>
      <c r="L308" s="5">
        <f>IFERROR(__xludf.DUMMYFUNCTION("""COMPUTED_VALUE"""),3.785484345222343)</f>
        <v>3.785484345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4" t="str">
        <f>IFERROR(__xludf.DUMMYFUNCTION("""COMPUTED_VALUE"""),"UGC00891")</f>
        <v>UGC00891</v>
      </c>
      <c r="B309" s="4">
        <f>IFERROR(__xludf.DUMMYFUNCTION("""COMPUTED_VALUE"""),10.2)</f>
        <v>10.2</v>
      </c>
      <c r="C309" s="4">
        <f>IFERROR(__xludf.DUMMYFUNCTION("""COMPUTED_VALUE"""),1.48)</f>
        <v>1.48</v>
      </c>
      <c r="D309" s="4">
        <f>IFERROR(__xludf.DUMMYFUNCTION("""COMPUTED_VALUE"""),24.35)</f>
        <v>24.35</v>
      </c>
      <c r="E309" s="4">
        <f>IFERROR(__xludf.DUMMYFUNCTION("""COMPUTED_VALUE"""),2.92)</f>
        <v>2.92</v>
      </c>
      <c r="F309" s="4">
        <f>IFERROR(__xludf.DUMMYFUNCTION("""COMPUTED_VALUE"""),9.7)</f>
        <v>9.7</v>
      </c>
      <c r="G309" s="4">
        <f>IFERROR(__xludf.DUMMYFUNCTION("""COMPUTED_VALUE"""),18.56)</f>
        <v>18.56</v>
      </c>
      <c r="H309" s="4">
        <f>IFERROR(__xludf.DUMMYFUNCTION("""COMPUTED_VALUE"""),0.0)</f>
        <v>0</v>
      </c>
      <c r="I309" s="4">
        <f>IFERROR(__xludf.DUMMYFUNCTION("""COMPUTED_VALUE"""),11.7)</f>
        <v>11.7</v>
      </c>
      <c r="J309" s="4">
        <f>IFERROR(__xludf.DUMMYFUNCTION("""COMPUTED_VALUE"""),0.0)</f>
        <v>0</v>
      </c>
      <c r="K309" s="4">
        <f>IFERROR(__xludf.DUMMYFUNCTION("""COMPUTED_VALUE"""),438.56359999999995)</f>
        <v>438.5636</v>
      </c>
      <c r="L309" s="4">
        <f>IFERROR(__xludf.DUMMYFUNCTION("""COMPUTED_VALUE"""),1.3519646865357728)</f>
        <v>1.351964687</v>
      </c>
    </row>
    <row r="310">
      <c r="A310" s="4" t="str">
        <f>IFERROR(__xludf.DUMMYFUNCTION("""COMPUTED_VALUE"""),"UGC00891")</f>
        <v>UGC00891</v>
      </c>
      <c r="B310" s="4">
        <f>IFERROR(__xludf.DUMMYFUNCTION("""COMPUTED_VALUE"""),10.2)</f>
        <v>10.2</v>
      </c>
      <c r="C310" s="4">
        <f>IFERROR(__xludf.DUMMYFUNCTION("""COMPUTED_VALUE"""),2.97)</f>
        <v>2.97</v>
      </c>
      <c r="D310" s="4">
        <f>IFERROR(__xludf.DUMMYFUNCTION("""COMPUTED_VALUE"""),43.55)</f>
        <v>43.55</v>
      </c>
      <c r="E310" s="4">
        <f>IFERROR(__xludf.DUMMYFUNCTION("""COMPUTED_VALUE"""),1.4)</f>
        <v>1.4</v>
      </c>
      <c r="F310" s="4">
        <f>IFERROR(__xludf.DUMMYFUNCTION("""COMPUTED_VALUE"""),18.44)</f>
        <v>18.44</v>
      </c>
      <c r="G310" s="4">
        <f>IFERROR(__xludf.DUMMYFUNCTION("""COMPUTED_VALUE"""),19.59)</f>
        <v>19.59</v>
      </c>
      <c r="H310" s="4">
        <f>IFERROR(__xludf.DUMMYFUNCTION("""COMPUTED_VALUE"""),0.0)</f>
        <v>0</v>
      </c>
      <c r="I310" s="4">
        <f>IFERROR(__xludf.DUMMYFUNCTION("""COMPUTED_VALUE"""),3.03)</f>
        <v>3.03</v>
      </c>
      <c r="J310" s="4">
        <f>IFERROR(__xludf.DUMMYFUNCTION("""COMPUTED_VALUE"""),0.0)</f>
        <v>0</v>
      </c>
      <c r="K310" s="4">
        <f>IFERROR(__xludf.DUMMYFUNCTION("""COMPUTED_VALUE"""),723.8017)</f>
        <v>723.8017</v>
      </c>
      <c r="L310" s="4">
        <f>IFERROR(__xludf.DUMMYFUNCTION("""COMPUTED_VALUE"""),2.6203344092725946)</f>
        <v>2.620334409</v>
      </c>
    </row>
    <row r="311">
      <c r="A311" s="4" t="str">
        <f>IFERROR(__xludf.DUMMYFUNCTION("""COMPUTED_VALUE"""),"UGC00891")</f>
        <v>UGC00891</v>
      </c>
      <c r="B311" s="4">
        <f>IFERROR(__xludf.DUMMYFUNCTION("""COMPUTED_VALUE"""),10.2)</f>
        <v>10.2</v>
      </c>
      <c r="C311" s="4">
        <f>IFERROR(__xludf.DUMMYFUNCTION("""COMPUTED_VALUE"""),4.45)</f>
        <v>4.45</v>
      </c>
      <c r="D311" s="4">
        <f>IFERROR(__xludf.DUMMYFUNCTION("""COMPUTED_VALUE"""),54.15)</f>
        <v>54.15</v>
      </c>
      <c r="E311" s="4">
        <f>IFERROR(__xludf.DUMMYFUNCTION("""COMPUTED_VALUE"""),0.67)</f>
        <v>0.67</v>
      </c>
      <c r="F311" s="4">
        <f>IFERROR(__xludf.DUMMYFUNCTION("""COMPUTED_VALUE"""),22.96)</f>
        <v>22.96</v>
      </c>
      <c r="G311" s="4">
        <f>IFERROR(__xludf.DUMMYFUNCTION("""COMPUTED_VALUE"""),18.92)</f>
        <v>18.92</v>
      </c>
      <c r="H311" s="4">
        <f>IFERROR(__xludf.DUMMYFUNCTION("""COMPUTED_VALUE"""),0.0)</f>
        <v>0</v>
      </c>
      <c r="I311" s="4">
        <f>IFERROR(__xludf.DUMMYFUNCTION("""COMPUTED_VALUE"""),1.26)</f>
        <v>1.26</v>
      </c>
      <c r="J311" s="4">
        <f>IFERROR(__xludf.DUMMYFUNCTION("""COMPUTED_VALUE"""),0.0)</f>
        <v>0</v>
      </c>
      <c r="K311" s="4">
        <f>IFERROR(__xludf.DUMMYFUNCTION("""COMPUTED_VALUE"""),885.1280000000002)</f>
        <v>885.128</v>
      </c>
      <c r="L311" s="4">
        <f>IFERROR(__xludf.DUMMYFUNCTION("""COMPUTED_VALUE"""),3.312766628103505)</f>
        <v>3.312766628</v>
      </c>
    </row>
    <row r="312">
      <c r="A312" s="4" t="str">
        <f>IFERROR(__xludf.DUMMYFUNCTION("""COMPUTED_VALUE"""),"UGC00891")</f>
        <v>UGC00891</v>
      </c>
      <c r="B312" s="4">
        <f>IFERROR(__xludf.DUMMYFUNCTION("""COMPUTED_VALUE"""),10.2)</f>
        <v>10.2</v>
      </c>
      <c r="C312" s="4">
        <f>IFERROR(__xludf.DUMMYFUNCTION("""COMPUTED_VALUE"""),5.94)</f>
        <v>5.94</v>
      </c>
      <c r="D312" s="4">
        <f>IFERROR(__xludf.DUMMYFUNCTION("""COMPUTED_VALUE"""),60.15)</f>
        <v>60.15</v>
      </c>
      <c r="E312" s="4">
        <f>IFERROR(__xludf.DUMMYFUNCTION("""COMPUTED_VALUE"""),0.48)</f>
        <v>0.48</v>
      </c>
      <c r="F312" s="4">
        <f>IFERROR(__xludf.DUMMYFUNCTION("""COMPUTED_VALUE"""),21.83)</f>
        <v>21.83</v>
      </c>
      <c r="G312" s="4">
        <f>IFERROR(__xludf.DUMMYFUNCTION("""COMPUTED_VALUE"""),18.18)</f>
        <v>18.18</v>
      </c>
      <c r="H312" s="4">
        <f>IFERROR(__xludf.DUMMYFUNCTION("""COMPUTED_VALUE"""),0.0)</f>
        <v>0</v>
      </c>
      <c r="I312" s="4">
        <f>IFERROR(__xludf.DUMMYFUNCTION("""COMPUTED_VALUE"""),0.53)</f>
        <v>0.53</v>
      </c>
      <c r="J312" s="4">
        <f>IFERROR(__xludf.DUMMYFUNCTION("""COMPUTED_VALUE"""),0.0)</f>
        <v>0</v>
      </c>
      <c r="K312" s="4">
        <f>IFERROR(__xludf.DUMMYFUNCTION("""COMPUTED_VALUE"""),807.0613)</f>
        <v>807.0613</v>
      </c>
      <c r="L312" s="4">
        <f>IFERROR(__xludf.DUMMYFUNCTION("""COMPUTED_VALUE"""),4.482958729405065)</f>
        <v>4.482958729</v>
      </c>
    </row>
    <row r="313">
      <c r="A313" s="5" t="str">
        <f>IFERROR(__xludf.DUMMYFUNCTION("""COMPUTED_VALUE"""),"UGC00891")</f>
        <v>UGC00891</v>
      </c>
      <c r="B313" s="5">
        <f>IFERROR(__xludf.DUMMYFUNCTION("""COMPUTED_VALUE"""),10.2)</f>
        <v>10.2</v>
      </c>
      <c r="C313" s="5">
        <f>IFERROR(__xludf.DUMMYFUNCTION("""COMPUTED_VALUE"""),7.39)</f>
        <v>7.39</v>
      </c>
      <c r="D313" s="5">
        <f>IFERROR(__xludf.DUMMYFUNCTION("""COMPUTED_VALUE"""),63.75)</f>
        <v>63.75</v>
      </c>
      <c r="E313" s="5">
        <f>IFERROR(__xludf.DUMMYFUNCTION("""COMPUTED_VALUE"""),0.95)</f>
        <v>0.95</v>
      </c>
      <c r="F313" s="5">
        <f>IFERROR(__xludf.DUMMYFUNCTION("""COMPUTED_VALUE"""),21.02)</f>
        <v>21.02</v>
      </c>
      <c r="G313" s="5">
        <f>IFERROR(__xludf.DUMMYFUNCTION("""COMPUTED_VALUE"""),16.53)</f>
        <v>16.53</v>
      </c>
      <c r="H313" s="5">
        <f>IFERROR(__xludf.DUMMYFUNCTION("""COMPUTED_VALUE"""),0.0)</f>
        <v>0</v>
      </c>
      <c r="I313" s="5">
        <f>IFERROR(__xludf.DUMMYFUNCTION("""COMPUTED_VALUE"""),0.0)</f>
        <v>0</v>
      </c>
      <c r="J313" s="5">
        <f>IFERROR(__xludf.DUMMYFUNCTION("""COMPUTED_VALUE"""),0.0)</f>
        <v>0</v>
      </c>
      <c r="K313" s="5">
        <f>IFERROR(__xludf.DUMMYFUNCTION("""COMPUTED_VALUE"""),715.0813)</f>
        <v>715.0813</v>
      </c>
      <c r="L313" s="5">
        <f>IFERROR(__xludf.DUMMYFUNCTION("""COMPUTED_VALUE"""),5.68335726301331)</f>
        <v>5.683357263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4" t="str">
        <f>IFERROR(__xludf.DUMMYFUNCTION("""COMPUTED_VALUE"""),"UGC01281")</f>
        <v>UGC01281</v>
      </c>
      <c r="B314" s="4">
        <f>IFERROR(__xludf.DUMMYFUNCTION("""COMPUTED_VALUE"""),5.27)</f>
        <v>5.27</v>
      </c>
      <c r="C314" s="4">
        <f>IFERROR(__xludf.DUMMYFUNCTION("""COMPUTED_VALUE"""),0.08)</f>
        <v>0.08</v>
      </c>
      <c r="D314" s="4">
        <f>IFERROR(__xludf.DUMMYFUNCTION("""COMPUTED_VALUE"""),1.41)</f>
        <v>1.41</v>
      </c>
      <c r="E314" s="4">
        <f>IFERROR(__xludf.DUMMYFUNCTION("""COMPUTED_VALUE"""),4.0)</f>
        <v>4</v>
      </c>
      <c r="F314" s="4">
        <f>IFERROR(__xludf.DUMMYFUNCTION("""COMPUTED_VALUE"""),-5.85)</f>
        <v>-5.85</v>
      </c>
      <c r="G314" s="4">
        <f>IFERROR(__xludf.DUMMYFUNCTION("""COMPUTED_VALUE"""),1.5)</f>
        <v>1.5</v>
      </c>
      <c r="H314" s="4">
        <f>IFERROR(__xludf.DUMMYFUNCTION("""COMPUTED_VALUE"""),0.0)</f>
        <v>0</v>
      </c>
      <c r="I314" s="4">
        <f>IFERROR(__xludf.DUMMYFUNCTION("""COMPUTED_VALUE"""),25.4)</f>
        <v>25.4</v>
      </c>
      <c r="J314" s="4">
        <f>IFERROR(__xludf.DUMMYFUNCTION("""COMPUTED_VALUE"""),0.0)</f>
        <v>0</v>
      </c>
      <c r="K314" s="4">
        <f>IFERROR(__xludf.DUMMYFUNCTION("""COMPUTED_VALUE"""),36.4725)</f>
        <v>36.4725</v>
      </c>
      <c r="L314" s="4">
        <f>IFERROR(__xludf.DUMMYFUNCTION("""COMPUTED_VALUE"""),0.05450956199876619)</f>
        <v>0.054509562</v>
      </c>
    </row>
    <row r="315">
      <c r="A315" s="4" t="str">
        <f>IFERROR(__xludf.DUMMYFUNCTION("""COMPUTED_VALUE"""),"UGC01281")</f>
        <v>UGC01281</v>
      </c>
      <c r="B315" s="4">
        <f>IFERROR(__xludf.DUMMYFUNCTION("""COMPUTED_VALUE"""),5.27)</f>
        <v>5.27</v>
      </c>
      <c r="C315" s="4">
        <f>IFERROR(__xludf.DUMMYFUNCTION("""COMPUTED_VALUE"""),0.23)</f>
        <v>0.23</v>
      </c>
      <c r="D315" s="4">
        <f>IFERROR(__xludf.DUMMYFUNCTION("""COMPUTED_VALUE"""),4.46)</f>
        <v>4.46</v>
      </c>
      <c r="E315" s="4">
        <f>IFERROR(__xludf.DUMMYFUNCTION("""COMPUTED_VALUE"""),4.0)</f>
        <v>4</v>
      </c>
      <c r="F315" s="4">
        <f>IFERROR(__xludf.DUMMYFUNCTION("""COMPUTED_VALUE"""),-5.85)</f>
        <v>-5.85</v>
      </c>
      <c r="G315" s="4">
        <f>IFERROR(__xludf.DUMMYFUNCTION("""COMPUTED_VALUE"""),3.55)</f>
        <v>3.55</v>
      </c>
      <c r="H315" s="4">
        <f>IFERROR(__xludf.DUMMYFUNCTION("""COMPUTED_VALUE"""),0.0)</f>
        <v>0</v>
      </c>
      <c r="I315" s="4">
        <f>IFERROR(__xludf.DUMMYFUNCTION("""COMPUTED_VALUE"""),21.88)</f>
        <v>21.88</v>
      </c>
      <c r="J315" s="4">
        <f>IFERROR(__xludf.DUMMYFUNCTION("""COMPUTED_VALUE"""),0.0)</f>
        <v>0</v>
      </c>
      <c r="K315" s="4">
        <f>IFERROR(__xludf.DUMMYFUNCTION("""COMPUTED_VALUE"""),46.824999999999996)</f>
        <v>46.825</v>
      </c>
      <c r="L315" s="4">
        <f>IFERROR(__xludf.DUMMYFUNCTION("""COMPUTED_VALUE"""),0.42480726107848377)</f>
        <v>0.4248072611</v>
      </c>
    </row>
    <row r="316">
      <c r="A316" s="4" t="str">
        <f>IFERROR(__xludf.DUMMYFUNCTION("""COMPUTED_VALUE"""),"UGC01281")</f>
        <v>UGC01281</v>
      </c>
      <c r="B316" s="4">
        <f>IFERROR(__xludf.DUMMYFUNCTION("""COMPUTED_VALUE"""),5.27)</f>
        <v>5.27</v>
      </c>
      <c r="C316" s="4">
        <f>IFERROR(__xludf.DUMMYFUNCTION("""COMPUTED_VALUE"""),0.38)</f>
        <v>0.38</v>
      </c>
      <c r="D316" s="4">
        <f>IFERROR(__xludf.DUMMYFUNCTION("""COMPUTED_VALUE"""),7.71)</f>
        <v>7.71</v>
      </c>
      <c r="E316" s="4">
        <f>IFERROR(__xludf.DUMMYFUNCTION("""COMPUTED_VALUE"""),4.0)</f>
        <v>4</v>
      </c>
      <c r="F316" s="4">
        <f>IFERROR(__xludf.DUMMYFUNCTION("""COMPUTED_VALUE"""),-0.98)</f>
        <v>-0.98</v>
      </c>
      <c r="G316" s="4">
        <f>IFERROR(__xludf.DUMMYFUNCTION("""COMPUTED_VALUE"""),5.31)</f>
        <v>5.31</v>
      </c>
      <c r="H316" s="4">
        <f>IFERROR(__xludf.DUMMYFUNCTION("""COMPUTED_VALUE"""),0.0)</f>
        <v>0</v>
      </c>
      <c r="I316" s="4">
        <f>IFERROR(__xludf.DUMMYFUNCTION("""COMPUTED_VALUE"""),22.81)</f>
        <v>22.81</v>
      </c>
      <c r="J316" s="4">
        <f>IFERROR(__xludf.DUMMYFUNCTION("""COMPUTED_VALUE"""),0.0)</f>
        <v>0</v>
      </c>
      <c r="K316" s="4">
        <f>IFERROR(__xludf.DUMMYFUNCTION("""COMPUTED_VALUE"""),29.156499999999994)</f>
        <v>29.1565</v>
      </c>
      <c r="L316" s="4">
        <f>IFERROR(__xludf.DUMMYFUNCTION("""COMPUTED_VALUE"""),2.038794093941317)</f>
        <v>2.038794094</v>
      </c>
    </row>
    <row r="317">
      <c r="A317" s="4" t="str">
        <f>IFERROR(__xludf.DUMMYFUNCTION("""COMPUTED_VALUE"""),"UGC01281")</f>
        <v>UGC01281</v>
      </c>
      <c r="B317" s="4">
        <f>IFERROR(__xludf.DUMMYFUNCTION("""COMPUTED_VALUE"""),5.27)</f>
        <v>5.27</v>
      </c>
      <c r="C317" s="4">
        <f>IFERROR(__xludf.DUMMYFUNCTION("""COMPUTED_VALUE"""),0.54)</f>
        <v>0.54</v>
      </c>
      <c r="D317" s="4">
        <f>IFERROR(__xludf.DUMMYFUNCTION("""COMPUTED_VALUE"""),11.0)</f>
        <v>11</v>
      </c>
      <c r="E317" s="4">
        <f>IFERROR(__xludf.DUMMYFUNCTION("""COMPUTED_VALUE"""),4.0)</f>
        <v>4</v>
      </c>
      <c r="F317" s="4">
        <f>IFERROR(__xludf.DUMMYFUNCTION("""COMPUTED_VALUE"""),-2.22)</f>
        <v>-2.22</v>
      </c>
      <c r="G317" s="4">
        <f>IFERROR(__xludf.DUMMYFUNCTION("""COMPUTED_VALUE"""),8.22)</f>
        <v>8.22</v>
      </c>
      <c r="H317" s="4">
        <f>IFERROR(__xludf.DUMMYFUNCTION("""COMPUTED_VALUE"""),0.0)</f>
        <v>0</v>
      </c>
      <c r="I317" s="4">
        <f>IFERROR(__xludf.DUMMYFUNCTION("""COMPUTED_VALUE"""),20.9)</f>
        <v>20.9</v>
      </c>
      <c r="J317" s="4">
        <f>IFERROR(__xludf.DUMMYFUNCTION("""COMPUTED_VALUE"""),0.0)</f>
        <v>0</v>
      </c>
      <c r="K317" s="4">
        <f>IFERROR(__xludf.DUMMYFUNCTION("""COMPUTED_VALUE"""),72.49680000000001)</f>
        <v>72.4968</v>
      </c>
      <c r="L317" s="4">
        <f>IFERROR(__xludf.DUMMYFUNCTION("""COMPUTED_VALUE"""),1.6690391851778283)</f>
        <v>1.669039185</v>
      </c>
    </row>
    <row r="318">
      <c r="A318" s="4" t="str">
        <f>IFERROR(__xludf.DUMMYFUNCTION("""COMPUTED_VALUE"""),"UGC01281")</f>
        <v>UGC01281</v>
      </c>
      <c r="B318" s="4">
        <f>IFERROR(__xludf.DUMMYFUNCTION("""COMPUTED_VALUE"""),5.27)</f>
        <v>5.27</v>
      </c>
      <c r="C318" s="4">
        <f>IFERROR(__xludf.DUMMYFUNCTION("""COMPUTED_VALUE"""),0.69)</f>
        <v>0.69</v>
      </c>
      <c r="D318" s="4">
        <f>IFERROR(__xludf.DUMMYFUNCTION("""COMPUTED_VALUE"""),14.2)</f>
        <v>14.2</v>
      </c>
      <c r="E318" s="4">
        <f>IFERROR(__xludf.DUMMYFUNCTION("""COMPUTED_VALUE"""),4.0)</f>
        <v>4</v>
      </c>
      <c r="F318" s="4">
        <f>IFERROR(__xludf.DUMMYFUNCTION("""COMPUTED_VALUE"""),-3.47)</f>
        <v>-3.47</v>
      </c>
      <c r="G318" s="4">
        <f>IFERROR(__xludf.DUMMYFUNCTION("""COMPUTED_VALUE"""),10.22)</f>
        <v>10.22</v>
      </c>
      <c r="H318" s="4">
        <f>IFERROR(__xludf.DUMMYFUNCTION("""COMPUTED_VALUE"""),0.0)</f>
        <v>0</v>
      </c>
      <c r="I318" s="4">
        <f>IFERROR(__xludf.DUMMYFUNCTION("""COMPUTED_VALUE"""),20.6)</f>
        <v>20.6</v>
      </c>
      <c r="J318" s="4">
        <f>IFERROR(__xludf.DUMMYFUNCTION("""COMPUTED_VALUE"""),0.0)</f>
        <v>0</v>
      </c>
      <c r="K318" s="4">
        <f>IFERROR(__xludf.DUMMYFUNCTION("""COMPUTED_VALUE"""),116.48930000000001)</f>
        <v>116.4893</v>
      </c>
      <c r="L318" s="4">
        <f>IFERROR(__xludf.DUMMYFUNCTION("""COMPUTED_VALUE"""),1.7309744328449048)</f>
        <v>1.730974433</v>
      </c>
    </row>
    <row r="319">
      <c r="A319" s="4" t="str">
        <f>IFERROR(__xludf.DUMMYFUNCTION("""COMPUTED_VALUE"""),"UGC01281")</f>
        <v>UGC01281</v>
      </c>
      <c r="B319" s="4">
        <f>IFERROR(__xludf.DUMMYFUNCTION("""COMPUTED_VALUE"""),5.27)</f>
        <v>5.27</v>
      </c>
      <c r="C319" s="4">
        <f>IFERROR(__xludf.DUMMYFUNCTION("""COMPUTED_VALUE"""),0.84)</f>
        <v>0.84</v>
      </c>
      <c r="D319" s="4">
        <f>IFERROR(__xludf.DUMMYFUNCTION("""COMPUTED_VALUE"""),17.2)</f>
        <v>17.2</v>
      </c>
      <c r="E319" s="4">
        <f>IFERROR(__xludf.DUMMYFUNCTION("""COMPUTED_VALUE"""),5.78)</f>
        <v>5.78</v>
      </c>
      <c r="F319" s="4">
        <f>IFERROR(__xludf.DUMMYFUNCTION("""COMPUTED_VALUE"""),-4.43)</f>
        <v>-4.43</v>
      </c>
      <c r="G319" s="4">
        <f>IFERROR(__xludf.DUMMYFUNCTION("""COMPUTED_VALUE"""),12.07)</f>
        <v>12.07</v>
      </c>
      <c r="H319" s="4">
        <f>IFERROR(__xludf.DUMMYFUNCTION("""COMPUTED_VALUE"""),0.0)</f>
        <v>0</v>
      </c>
      <c r="I319" s="4">
        <f>IFERROR(__xludf.DUMMYFUNCTION("""COMPUTED_VALUE"""),18.77)</f>
        <v>18.77</v>
      </c>
      <c r="J319" s="4">
        <f>IFERROR(__xludf.DUMMYFUNCTION("""COMPUTED_VALUE"""),0.0)</f>
        <v>0</v>
      </c>
      <c r="K319" s="4">
        <f>IFERROR(__xludf.DUMMYFUNCTION("""COMPUTED_VALUE"""),165.3098)</f>
        <v>165.3098</v>
      </c>
      <c r="L319" s="4">
        <f>IFERROR(__xludf.DUMMYFUNCTION("""COMPUTED_VALUE"""),1.7896095694266159)</f>
        <v>1.789609569</v>
      </c>
    </row>
    <row r="320">
      <c r="A320" s="4" t="str">
        <f>IFERROR(__xludf.DUMMYFUNCTION("""COMPUTED_VALUE"""),"UGC01281")</f>
        <v>UGC01281</v>
      </c>
      <c r="B320" s="4">
        <f>IFERROR(__xludf.DUMMYFUNCTION("""COMPUTED_VALUE"""),5.27)</f>
        <v>5.27</v>
      </c>
      <c r="C320" s="4">
        <f>IFERROR(__xludf.DUMMYFUNCTION("""COMPUTED_VALUE"""),1.0)</f>
        <v>1</v>
      </c>
      <c r="D320" s="4">
        <f>IFERROR(__xludf.DUMMYFUNCTION("""COMPUTED_VALUE"""),20.2)</f>
        <v>20.2</v>
      </c>
      <c r="E320" s="4">
        <f>IFERROR(__xludf.DUMMYFUNCTION("""COMPUTED_VALUE"""),4.74)</f>
        <v>4.74</v>
      </c>
      <c r="F320" s="4">
        <f>IFERROR(__xludf.DUMMYFUNCTION("""COMPUTED_VALUE"""),-5.15)</f>
        <v>-5.15</v>
      </c>
      <c r="G320" s="4">
        <f>IFERROR(__xludf.DUMMYFUNCTION("""COMPUTED_VALUE"""),13.91)</f>
        <v>13.91</v>
      </c>
      <c r="H320" s="4">
        <f>IFERROR(__xludf.DUMMYFUNCTION("""COMPUTED_VALUE"""),0.0)</f>
        <v>0</v>
      </c>
      <c r="I320" s="4">
        <f>IFERROR(__xludf.DUMMYFUNCTION("""COMPUTED_VALUE"""),17.42)</f>
        <v>17.42</v>
      </c>
      <c r="J320" s="4">
        <f>IFERROR(__xludf.DUMMYFUNCTION("""COMPUTED_VALUE"""),0.0)</f>
        <v>0</v>
      </c>
      <c r="K320" s="4">
        <f>IFERROR(__xludf.DUMMYFUNCTION("""COMPUTED_VALUE"""),220.0106)</f>
        <v>220.0106</v>
      </c>
      <c r="L320" s="4">
        <f>IFERROR(__xludf.DUMMYFUNCTION("""COMPUTED_VALUE"""),1.85463791290056)</f>
        <v>1.854637913</v>
      </c>
    </row>
    <row r="321">
      <c r="A321" s="4" t="str">
        <f>IFERROR(__xludf.DUMMYFUNCTION("""COMPUTED_VALUE"""),"UGC01281")</f>
        <v>UGC01281</v>
      </c>
      <c r="B321" s="4">
        <f>IFERROR(__xludf.DUMMYFUNCTION("""COMPUTED_VALUE"""),5.27)</f>
        <v>5.27</v>
      </c>
      <c r="C321" s="4">
        <f>IFERROR(__xludf.DUMMYFUNCTION("""COMPUTED_VALUE"""),1.15)</f>
        <v>1.15</v>
      </c>
      <c r="D321" s="4">
        <f>IFERROR(__xludf.DUMMYFUNCTION("""COMPUTED_VALUE"""),23.2)</f>
        <v>23.2</v>
      </c>
      <c r="E321" s="4">
        <f>IFERROR(__xludf.DUMMYFUNCTION("""COMPUTED_VALUE"""),4.0)</f>
        <v>4</v>
      </c>
      <c r="F321" s="4">
        <f>IFERROR(__xludf.DUMMYFUNCTION("""COMPUTED_VALUE"""),-5.85)</f>
        <v>-5.85</v>
      </c>
      <c r="G321" s="4">
        <f>IFERROR(__xludf.DUMMYFUNCTION("""COMPUTED_VALUE"""),15.41)</f>
        <v>15.41</v>
      </c>
      <c r="H321" s="4">
        <f>IFERROR(__xludf.DUMMYFUNCTION("""COMPUTED_VALUE"""),0.0)</f>
        <v>0</v>
      </c>
      <c r="I321" s="4">
        <f>IFERROR(__xludf.DUMMYFUNCTION("""COMPUTED_VALUE"""),15.5)</f>
        <v>15.5</v>
      </c>
      <c r="J321" s="4">
        <f>IFERROR(__xludf.DUMMYFUNCTION("""COMPUTED_VALUE"""),0.0)</f>
        <v>0</v>
      </c>
      <c r="K321" s="4">
        <f>IFERROR(__xludf.DUMMYFUNCTION("""COMPUTED_VALUE"""),271.6906)</f>
        <v>271.6906</v>
      </c>
      <c r="L321" s="4">
        <f>IFERROR(__xludf.DUMMYFUNCTION("""COMPUTED_VALUE"""),1.9810770045043884)</f>
        <v>1.981077005</v>
      </c>
    </row>
    <row r="322">
      <c r="A322" s="4" t="str">
        <f>IFERROR(__xludf.DUMMYFUNCTION("""COMPUTED_VALUE"""),"UGC01281")</f>
        <v>UGC01281</v>
      </c>
      <c r="B322" s="4">
        <f>IFERROR(__xludf.DUMMYFUNCTION("""COMPUTED_VALUE"""),5.27)</f>
        <v>5.27</v>
      </c>
      <c r="C322" s="4">
        <f>IFERROR(__xludf.DUMMYFUNCTION("""COMPUTED_VALUE"""),1.3)</f>
        <v>1.3</v>
      </c>
      <c r="D322" s="4">
        <f>IFERROR(__xludf.DUMMYFUNCTION("""COMPUTED_VALUE"""),26.4)</f>
        <v>26.4</v>
      </c>
      <c r="E322" s="4">
        <f>IFERROR(__xludf.DUMMYFUNCTION("""COMPUTED_VALUE"""),7.13)</f>
        <v>7.13</v>
      </c>
      <c r="F322" s="4">
        <f>IFERROR(__xludf.DUMMYFUNCTION("""COMPUTED_VALUE"""),-1.76)</f>
        <v>-1.76</v>
      </c>
      <c r="G322" s="4">
        <f>IFERROR(__xludf.DUMMYFUNCTION("""COMPUTED_VALUE"""),16.74)</f>
        <v>16.74</v>
      </c>
      <c r="H322" s="4">
        <f>IFERROR(__xludf.DUMMYFUNCTION("""COMPUTED_VALUE"""),0.0)</f>
        <v>0</v>
      </c>
      <c r="I322" s="4">
        <f>IFERROR(__xludf.DUMMYFUNCTION("""COMPUTED_VALUE"""),13.82)</f>
        <v>13.82</v>
      </c>
      <c r="J322" s="4">
        <f>IFERROR(__xludf.DUMMYFUNCTION("""COMPUTED_VALUE"""),0.0)</f>
        <v>0</v>
      </c>
      <c r="K322" s="4">
        <f>IFERROR(__xludf.DUMMYFUNCTION("""COMPUTED_VALUE"""),283.32519999999994)</f>
        <v>283.3252</v>
      </c>
      <c r="L322" s="4">
        <f>IFERROR(__xludf.DUMMYFUNCTION("""COMPUTED_VALUE"""),2.459929437974455)</f>
        <v>2.459929438</v>
      </c>
    </row>
    <row r="323">
      <c r="A323" s="4" t="str">
        <f>IFERROR(__xludf.DUMMYFUNCTION("""COMPUTED_VALUE"""),"UGC01281")</f>
        <v>UGC01281</v>
      </c>
      <c r="B323" s="4">
        <f>IFERROR(__xludf.DUMMYFUNCTION("""COMPUTED_VALUE"""),5.27)</f>
        <v>5.27</v>
      </c>
      <c r="C323" s="4">
        <f>IFERROR(__xludf.DUMMYFUNCTION("""COMPUTED_VALUE"""),1.46)</f>
        <v>1.46</v>
      </c>
      <c r="D323" s="4">
        <f>IFERROR(__xludf.DUMMYFUNCTION("""COMPUTED_VALUE"""),29.3)</f>
        <v>29.3</v>
      </c>
      <c r="E323" s="4">
        <f>IFERROR(__xludf.DUMMYFUNCTION("""COMPUTED_VALUE"""),4.38)</f>
        <v>4.38</v>
      </c>
      <c r="F323" s="4">
        <f>IFERROR(__xludf.DUMMYFUNCTION("""COMPUTED_VALUE"""),2.33)</f>
        <v>2.33</v>
      </c>
      <c r="G323" s="4">
        <f>IFERROR(__xludf.DUMMYFUNCTION("""COMPUTED_VALUE"""),17.86)</f>
        <v>17.86</v>
      </c>
      <c r="H323" s="4">
        <f>IFERROR(__xludf.DUMMYFUNCTION("""COMPUTED_VALUE"""),0.0)</f>
        <v>0</v>
      </c>
      <c r="I323" s="4">
        <f>IFERROR(__xludf.DUMMYFUNCTION("""COMPUTED_VALUE"""),11.93)</f>
        <v>11.93</v>
      </c>
      <c r="J323" s="4">
        <f>IFERROR(__xludf.DUMMYFUNCTION("""COMPUTED_VALUE"""),0.0)</f>
        <v>0</v>
      </c>
      <c r="K323" s="4">
        <f>IFERROR(__xludf.DUMMYFUNCTION("""COMPUTED_VALUE"""),324.4085)</f>
        <v>324.4085</v>
      </c>
      <c r="L323" s="4">
        <f>IFERROR(__xludf.DUMMYFUNCTION("""COMPUTED_VALUE"""),2.6463240019913163)</f>
        <v>2.646324002</v>
      </c>
    </row>
    <row r="324">
      <c r="A324" s="4" t="str">
        <f>IFERROR(__xludf.DUMMYFUNCTION("""COMPUTED_VALUE"""),"UGC01281")</f>
        <v>UGC01281</v>
      </c>
      <c r="B324" s="4">
        <f>IFERROR(__xludf.DUMMYFUNCTION("""COMPUTED_VALUE"""),5.27)</f>
        <v>5.27</v>
      </c>
      <c r="C324" s="4">
        <f>IFERROR(__xludf.DUMMYFUNCTION("""COMPUTED_VALUE"""),1.61)</f>
        <v>1.61</v>
      </c>
      <c r="D324" s="4">
        <f>IFERROR(__xludf.DUMMYFUNCTION("""COMPUTED_VALUE"""),31.6)</f>
        <v>31.6</v>
      </c>
      <c r="E324" s="4">
        <f>IFERROR(__xludf.DUMMYFUNCTION("""COMPUTED_VALUE"""),4.94)</f>
        <v>4.94</v>
      </c>
      <c r="F324" s="4">
        <f>IFERROR(__xludf.DUMMYFUNCTION("""COMPUTED_VALUE"""),5.46)</f>
        <v>5.46</v>
      </c>
      <c r="G324" s="4">
        <f>IFERROR(__xludf.DUMMYFUNCTION("""COMPUTED_VALUE"""),18.77)</f>
        <v>18.77</v>
      </c>
      <c r="H324" s="4">
        <f>IFERROR(__xludf.DUMMYFUNCTION("""COMPUTED_VALUE"""),0.0)</f>
        <v>0</v>
      </c>
      <c r="I324" s="4">
        <f>IFERROR(__xludf.DUMMYFUNCTION("""COMPUTED_VALUE"""),9.92)</f>
        <v>9.92</v>
      </c>
      <c r="J324" s="4">
        <f>IFERROR(__xludf.DUMMYFUNCTION("""COMPUTED_VALUE"""),0.0)</f>
        <v>0</v>
      </c>
      <c r="K324" s="4">
        <f>IFERROR(__xludf.DUMMYFUNCTION("""COMPUTED_VALUE"""),382.12449999999995)</f>
        <v>382.1245</v>
      </c>
      <c r="L324" s="4">
        <f>IFERROR(__xludf.DUMMYFUNCTION("""COMPUTED_VALUE"""),2.6131797359237634)</f>
        <v>2.613179736</v>
      </c>
    </row>
    <row r="325">
      <c r="A325" s="4" t="str">
        <f>IFERROR(__xludf.DUMMYFUNCTION("""COMPUTED_VALUE"""),"UGC01281")</f>
        <v>UGC01281</v>
      </c>
      <c r="B325" s="4">
        <f>IFERROR(__xludf.DUMMYFUNCTION("""COMPUTED_VALUE"""),5.27)</f>
        <v>5.27</v>
      </c>
      <c r="C325" s="4">
        <f>IFERROR(__xludf.DUMMYFUNCTION("""COMPUTED_VALUE"""),1.76)</f>
        <v>1.76</v>
      </c>
      <c r="D325" s="4">
        <f>IFERROR(__xludf.DUMMYFUNCTION("""COMPUTED_VALUE"""),34.6)</f>
        <v>34.6</v>
      </c>
      <c r="E325" s="4">
        <f>IFERROR(__xludf.DUMMYFUNCTION("""COMPUTED_VALUE"""),4.0)</f>
        <v>4</v>
      </c>
      <c r="F325" s="4">
        <f>IFERROR(__xludf.DUMMYFUNCTION("""COMPUTED_VALUE"""),7.63)</f>
        <v>7.63</v>
      </c>
      <c r="G325" s="4">
        <f>IFERROR(__xludf.DUMMYFUNCTION("""COMPUTED_VALUE"""),19.16)</f>
        <v>19.16</v>
      </c>
      <c r="H325" s="4">
        <f>IFERROR(__xludf.DUMMYFUNCTION("""COMPUTED_VALUE"""),0.0)</f>
        <v>0</v>
      </c>
      <c r="I325" s="4">
        <f>IFERROR(__xludf.DUMMYFUNCTION("""COMPUTED_VALUE"""),8.28)</f>
        <v>8.28</v>
      </c>
      <c r="J325" s="4">
        <f>IFERROR(__xludf.DUMMYFUNCTION("""COMPUTED_VALUE"""),0.0)</f>
        <v>0</v>
      </c>
      <c r="K325" s="4">
        <f>IFERROR(__xludf.DUMMYFUNCTION("""COMPUTED_VALUE"""),425.3225)</f>
        <v>425.3225</v>
      </c>
      <c r="L325" s="4">
        <f>IFERROR(__xludf.DUMMYFUNCTION("""COMPUTED_VALUE"""),2.814711189744253)</f>
        <v>2.81471119</v>
      </c>
    </row>
    <row r="326">
      <c r="A326" s="4" t="str">
        <f>IFERROR(__xludf.DUMMYFUNCTION("""COMPUTED_VALUE"""),"UGC01281")</f>
        <v>UGC01281</v>
      </c>
      <c r="B326" s="4">
        <f>IFERROR(__xludf.DUMMYFUNCTION("""COMPUTED_VALUE"""),5.27)</f>
        <v>5.27</v>
      </c>
      <c r="C326" s="4">
        <f>IFERROR(__xludf.DUMMYFUNCTION("""COMPUTED_VALUE"""),1.92)</f>
        <v>1.92</v>
      </c>
      <c r="D326" s="4">
        <f>IFERROR(__xludf.DUMMYFUNCTION("""COMPUTED_VALUE"""),37.4)</f>
        <v>37.4</v>
      </c>
      <c r="E326" s="4">
        <f>IFERROR(__xludf.DUMMYFUNCTION("""COMPUTED_VALUE"""),7.09)</f>
        <v>7.09</v>
      </c>
      <c r="F326" s="4">
        <f>IFERROR(__xludf.DUMMYFUNCTION("""COMPUTED_VALUE"""),9.79)</f>
        <v>9.79</v>
      </c>
      <c r="G326" s="4">
        <f>IFERROR(__xludf.DUMMYFUNCTION("""COMPUTED_VALUE"""),19.52)</f>
        <v>19.52</v>
      </c>
      <c r="H326" s="4">
        <f>IFERROR(__xludf.DUMMYFUNCTION("""COMPUTED_VALUE"""),0.0)</f>
        <v>0</v>
      </c>
      <c r="I326" s="4">
        <f>IFERROR(__xludf.DUMMYFUNCTION("""COMPUTED_VALUE"""),7.06)</f>
        <v>7.06</v>
      </c>
      <c r="J326" s="4">
        <f>IFERROR(__xludf.DUMMYFUNCTION("""COMPUTED_VALUE"""),0.0)</f>
        <v>0</v>
      </c>
      <c r="K326" s="4">
        <f>IFERROR(__xludf.DUMMYFUNCTION("""COMPUTED_VALUE"""),476.87449999999995)</f>
        <v>476.8745</v>
      </c>
      <c r="L326" s="4">
        <f>IFERROR(__xludf.DUMMYFUNCTION("""COMPUTED_VALUE"""),2.933182629811408)</f>
        <v>2.93318263</v>
      </c>
    </row>
    <row r="327">
      <c r="A327" s="4" t="str">
        <f>IFERROR(__xludf.DUMMYFUNCTION("""COMPUTED_VALUE"""),"UGC01281")</f>
        <v>UGC01281</v>
      </c>
      <c r="B327" s="4">
        <f>IFERROR(__xludf.DUMMYFUNCTION("""COMPUTED_VALUE"""),5.27)</f>
        <v>5.27</v>
      </c>
      <c r="C327" s="4">
        <f>IFERROR(__xludf.DUMMYFUNCTION("""COMPUTED_VALUE"""),2.07)</f>
        <v>2.07</v>
      </c>
      <c r="D327" s="4">
        <f>IFERROR(__xludf.DUMMYFUNCTION("""COMPUTED_VALUE"""),39.9)</f>
        <v>39.9</v>
      </c>
      <c r="E327" s="4">
        <f>IFERROR(__xludf.DUMMYFUNCTION("""COMPUTED_VALUE"""),4.0)</f>
        <v>4</v>
      </c>
      <c r="F327" s="4">
        <f>IFERROR(__xludf.DUMMYFUNCTION("""COMPUTED_VALUE"""),11.26)</f>
        <v>11.26</v>
      </c>
      <c r="G327" s="4">
        <f>IFERROR(__xludf.DUMMYFUNCTION("""COMPUTED_VALUE"""),19.66)</f>
        <v>19.66</v>
      </c>
      <c r="H327" s="4">
        <f>IFERROR(__xludf.DUMMYFUNCTION("""COMPUTED_VALUE"""),0.0)</f>
        <v>0</v>
      </c>
      <c r="I327" s="4">
        <f>IFERROR(__xludf.DUMMYFUNCTION("""COMPUTED_VALUE"""),6.14)</f>
        <v>6.14</v>
      </c>
      <c r="J327" s="4">
        <f>IFERROR(__xludf.DUMMYFUNCTION("""COMPUTED_VALUE"""),0.0)</f>
        <v>0</v>
      </c>
      <c r="K327" s="4">
        <f>IFERROR(__xludf.DUMMYFUNCTION("""COMPUTED_VALUE"""),513.3032000000001)</f>
        <v>513.3032</v>
      </c>
      <c r="L327" s="4">
        <f>IFERROR(__xludf.DUMMYFUNCTION("""COMPUTED_VALUE"""),3.1015002439104213)</f>
        <v>3.101500244</v>
      </c>
    </row>
    <row r="328">
      <c r="A328" s="4" t="str">
        <f>IFERROR(__xludf.DUMMYFUNCTION("""COMPUTED_VALUE"""),"UGC01281")</f>
        <v>UGC01281</v>
      </c>
      <c r="B328" s="4">
        <f>IFERROR(__xludf.DUMMYFUNCTION("""COMPUTED_VALUE"""),5.27)</f>
        <v>5.27</v>
      </c>
      <c r="C328" s="4">
        <f>IFERROR(__xludf.DUMMYFUNCTION("""COMPUTED_VALUE"""),2.22)</f>
        <v>2.22</v>
      </c>
      <c r="D328" s="4">
        <f>IFERROR(__xludf.DUMMYFUNCTION("""COMPUTED_VALUE"""),42.2)</f>
        <v>42.2</v>
      </c>
      <c r="E328" s="4">
        <f>IFERROR(__xludf.DUMMYFUNCTION("""COMPUTED_VALUE"""),4.37)</f>
        <v>4.37</v>
      </c>
      <c r="F328" s="4">
        <f>IFERROR(__xludf.DUMMYFUNCTION("""COMPUTED_VALUE"""),12.73)</f>
        <v>12.73</v>
      </c>
      <c r="G328" s="4">
        <f>IFERROR(__xludf.DUMMYFUNCTION("""COMPUTED_VALUE"""),19.81)</f>
        <v>19.81</v>
      </c>
      <c r="H328" s="4">
        <f>IFERROR(__xludf.DUMMYFUNCTION("""COMPUTED_VALUE"""),0.0)</f>
        <v>0</v>
      </c>
      <c r="I328" s="4">
        <f>IFERROR(__xludf.DUMMYFUNCTION("""COMPUTED_VALUE"""),5.37)</f>
        <v>5.37</v>
      </c>
      <c r="J328" s="4">
        <f>IFERROR(__xludf.DUMMYFUNCTION("""COMPUTED_VALUE"""),0.0)</f>
        <v>0</v>
      </c>
      <c r="K328" s="4">
        <f>IFERROR(__xludf.DUMMYFUNCTION("""COMPUTED_VALUE"""),554.489)</f>
        <v>554.489</v>
      </c>
      <c r="L328" s="4">
        <f>IFERROR(__xludf.DUMMYFUNCTION("""COMPUTED_VALUE"""),3.2116777790001243)</f>
        <v>3.211677779</v>
      </c>
    </row>
    <row r="329">
      <c r="A329" s="4" t="str">
        <f>IFERROR(__xludf.DUMMYFUNCTION("""COMPUTED_VALUE"""),"UGC01281")</f>
        <v>UGC01281</v>
      </c>
      <c r="B329" s="4">
        <f>IFERROR(__xludf.DUMMYFUNCTION("""COMPUTED_VALUE"""),5.27)</f>
        <v>5.27</v>
      </c>
      <c r="C329" s="4">
        <f>IFERROR(__xludf.DUMMYFUNCTION("""COMPUTED_VALUE"""),2.38)</f>
        <v>2.38</v>
      </c>
      <c r="D329" s="4">
        <f>IFERROR(__xludf.DUMMYFUNCTION("""COMPUTED_VALUE"""),44.4)</f>
        <v>44.4</v>
      </c>
      <c r="E329" s="4">
        <f>IFERROR(__xludf.DUMMYFUNCTION("""COMPUTED_VALUE"""),4.58)</f>
        <v>4.58</v>
      </c>
      <c r="F329" s="4">
        <f>IFERROR(__xludf.DUMMYFUNCTION("""COMPUTED_VALUE"""),13.9)</f>
        <v>13.9</v>
      </c>
      <c r="G329" s="4">
        <f>IFERROR(__xludf.DUMMYFUNCTION("""COMPUTED_VALUE"""),19.88)</f>
        <v>19.88</v>
      </c>
      <c r="H329" s="4">
        <f>IFERROR(__xludf.DUMMYFUNCTION("""COMPUTED_VALUE"""),0.0)</f>
        <v>0</v>
      </c>
      <c r="I329" s="4">
        <f>IFERROR(__xludf.DUMMYFUNCTION("""COMPUTED_VALUE"""),4.87)</f>
        <v>4.87</v>
      </c>
      <c r="J329" s="4">
        <f>IFERROR(__xludf.DUMMYFUNCTION("""COMPUTED_VALUE"""),0.0)</f>
        <v>0</v>
      </c>
      <c r="K329" s="4">
        <f>IFERROR(__xludf.DUMMYFUNCTION("""COMPUTED_VALUE"""),588.4244)</f>
        <v>588.4244</v>
      </c>
      <c r="L329" s="4">
        <f>IFERROR(__xludf.DUMMYFUNCTION("""COMPUTED_VALUE"""),3.3502349664629816)</f>
        <v>3.350234966</v>
      </c>
    </row>
    <row r="330">
      <c r="A330" s="4" t="str">
        <f>IFERROR(__xludf.DUMMYFUNCTION("""COMPUTED_VALUE"""),"UGC01281")</f>
        <v>UGC01281</v>
      </c>
      <c r="B330" s="4">
        <f>IFERROR(__xludf.DUMMYFUNCTION("""COMPUTED_VALUE"""),5.27)</f>
        <v>5.27</v>
      </c>
      <c r="C330" s="4">
        <f>IFERROR(__xludf.DUMMYFUNCTION("""COMPUTED_VALUE"""),2.53)</f>
        <v>2.53</v>
      </c>
      <c r="D330" s="4">
        <f>IFERROR(__xludf.DUMMYFUNCTION("""COMPUTED_VALUE"""),46.7)</f>
        <v>46.7</v>
      </c>
      <c r="E330" s="4">
        <f>IFERROR(__xludf.DUMMYFUNCTION("""COMPUTED_VALUE"""),5.91)</f>
        <v>5.91</v>
      </c>
      <c r="F330" s="4">
        <f>IFERROR(__xludf.DUMMYFUNCTION("""COMPUTED_VALUE"""),14.68)</f>
        <v>14.68</v>
      </c>
      <c r="G330" s="4">
        <f>IFERROR(__xludf.DUMMYFUNCTION("""COMPUTED_VALUE"""),20.02)</f>
        <v>20.02</v>
      </c>
      <c r="H330" s="4">
        <f>IFERROR(__xludf.DUMMYFUNCTION("""COMPUTED_VALUE"""),0.0)</f>
        <v>0</v>
      </c>
      <c r="I330" s="4">
        <f>IFERROR(__xludf.DUMMYFUNCTION("""COMPUTED_VALUE"""),4.22)</f>
        <v>4.22</v>
      </c>
      <c r="J330" s="4">
        <f>IFERROR(__xludf.DUMMYFUNCTION("""COMPUTED_VALUE"""),0.0)</f>
        <v>0</v>
      </c>
      <c r="K330" s="4">
        <f>IFERROR(__xludf.DUMMYFUNCTION("""COMPUTED_VALUE"""),616.3027999999999)</f>
        <v>616.3028</v>
      </c>
      <c r="L330" s="4">
        <f>IFERROR(__xludf.DUMMYFUNCTION("""COMPUTED_VALUE"""),3.538666382823509)</f>
        <v>3.538666383</v>
      </c>
    </row>
    <row r="331">
      <c r="A331" s="4" t="str">
        <f>IFERROR(__xludf.DUMMYFUNCTION("""COMPUTED_VALUE"""),"UGC01281")</f>
        <v>UGC01281</v>
      </c>
      <c r="B331" s="4">
        <f>IFERROR(__xludf.DUMMYFUNCTION("""COMPUTED_VALUE"""),5.27)</f>
        <v>5.27</v>
      </c>
      <c r="C331" s="4">
        <f>IFERROR(__xludf.DUMMYFUNCTION("""COMPUTED_VALUE"""),2.68)</f>
        <v>2.68</v>
      </c>
      <c r="D331" s="4">
        <f>IFERROR(__xludf.DUMMYFUNCTION("""COMPUTED_VALUE"""),48.5)</f>
        <v>48.5</v>
      </c>
      <c r="E331" s="4">
        <f>IFERROR(__xludf.DUMMYFUNCTION("""COMPUTED_VALUE"""),7.72)</f>
        <v>7.72</v>
      </c>
      <c r="F331" s="4">
        <f>IFERROR(__xludf.DUMMYFUNCTION("""COMPUTED_VALUE"""),15.47)</f>
        <v>15.47</v>
      </c>
      <c r="G331" s="4">
        <f>IFERROR(__xludf.DUMMYFUNCTION("""COMPUTED_VALUE"""),19.97)</f>
        <v>19.97</v>
      </c>
      <c r="H331" s="4">
        <f>IFERROR(__xludf.DUMMYFUNCTION("""COMPUTED_VALUE"""),0.0)</f>
        <v>0</v>
      </c>
      <c r="I331" s="4">
        <f>IFERROR(__xludf.DUMMYFUNCTION("""COMPUTED_VALUE"""),3.59)</f>
        <v>3.59</v>
      </c>
      <c r="J331" s="4">
        <f>IFERROR(__xludf.DUMMYFUNCTION("""COMPUTED_VALUE"""),0.0)</f>
        <v>0</v>
      </c>
      <c r="K331" s="4">
        <f>IFERROR(__xludf.DUMMYFUNCTION("""COMPUTED_VALUE"""),638.1218)</f>
        <v>638.1218</v>
      </c>
      <c r="L331" s="4">
        <f>IFERROR(__xludf.DUMMYFUNCTION("""COMPUTED_VALUE"""),3.686208494992649)</f>
        <v>3.686208495</v>
      </c>
    </row>
    <row r="332">
      <c r="A332" s="4" t="str">
        <f>IFERROR(__xludf.DUMMYFUNCTION("""COMPUTED_VALUE"""),"UGC01281")</f>
        <v>UGC01281</v>
      </c>
      <c r="B332" s="4">
        <f>IFERROR(__xludf.DUMMYFUNCTION("""COMPUTED_VALUE"""),5.27)</f>
        <v>5.27</v>
      </c>
      <c r="C332" s="4">
        <f>IFERROR(__xludf.DUMMYFUNCTION("""COMPUTED_VALUE"""),2.76)</f>
        <v>2.76</v>
      </c>
      <c r="D332" s="4">
        <f>IFERROR(__xludf.DUMMYFUNCTION("""COMPUTED_VALUE"""),49.3)</f>
        <v>49.3</v>
      </c>
      <c r="E332" s="4">
        <f>IFERROR(__xludf.DUMMYFUNCTION("""COMPUTED_VALUE"""),9.73)</f>
        <v>9.73</v>
      </c>
      <c r="F332" s="4">
        <f>IFERROR(__xludf.DUMMYFUNCTION("""COMPUTED_VALUE"""),15.76)</f>
        <v>15.76</v>
      </c>
      <c r="G332" s="4">
        <f>IFERROR(__xludf.DUMMYFUNCTION("""COMPUTED_VALUE"""),19.92)</f>
        <v>19.92</v>
      </c>
      <c r="H332" s="4">
        <f>IFERROR(__xludf.DUMMYFUNCTION("""COMPUTED_VALUE"""),0.0)</f>
        <v>0</v>
      </c>
      <c r="I332" s="4">
        <f>IFERROR(__xludf.DUMMYFUNCTION("""COMPUTED_VALUE"""),3.33)</f>
        <v>3.33</v>
      </c>
      <c r="J332" s="4">
        <f>IFERROR(__xludf.DUMMYFUNCTION("""COMPUTED_VALUE"""),0.0)</f>
        <v>0</v>
      </c>
      <c r="K332" s="4">
        <f>IFERROR(__xludf.DUMMYFUNCTION("""COMPUTED_VALUE"""),645.1840000000001)</f>
        <v>645.184</v>
      </c>
      <c r="L332" s="4">
        <f>IFERROR(__xludf.DUMMYFUNCTION("""COMPUTED_VALUE"""),3.76712689713322)</f>
        <v>3.767126897</v>
      </c>
    </row>
    <row r="333">
      <c r="A333" s="4" t="str">
        <f>IFERROR(__xludf.DUMMYFUNCTION("""COMPUTED_VALUE"""),"UGC01281")</f>
        <v>UGC01281</v>
      </c>
      <c r="B333" s="4">
        <f>IFERROR(__xludf.DUMMYFUNCTION("""COMPUTED_VALUE"""),5.27)</f>
        <v>5.27</v>
      </c>
      <c r="C333" s="4">
        <f>IFERROR(__xludf.DUMMYFUNCTION("""COMPUTED_VALUE"""),3.07)</f>
        <v>3.07</v>
      </c>
      <c r="D333" s="4">
        <f>IFERROR(__xludf.DUMMYFUNCTION("""COMPUTED_VALUE"""),53.0)</f>
        <v>53</v>
      </c>
      <c r="E333" s="4">
        <f>IFERROR(__xludf.DUMMYFUNCTION("""COMPUTED_VALUE"""),4.0)</f>
        <v>4</v>
      </c>
      <c r="F333" s="4">
        <f>IFERROR(__xludf.DUMMYFUNCTION("""COMPUTED_VALUE"""),16.84)</f>
        <v>16.84</v>
      </c>
      <c r="G333" s="4">
        <f>IFERROR(__xludf.DUMMYFUNCTION("""COMPUTED_VALUE"""),19.61)</f>
        <v>19.61</v>
      </c>
      <c r="H333" s="4">
        <f>IFERROR(__xludf.DUMMYFUNCTION("""COMPUTED_VALUE"""),0.0)</f>
        <v>0</v>
      </c>
      <c r="I333" s="4">
        <f>IFERROR(__xludf.DUMMYFUNCTION("""COMPUTED_VALUE"""),2.64)</f>
        <v>2.64</v>
      </c>
      <c r="J333" s="4">
        <f>IFERROR(__xludf.DUMMYFUNCTION("""COMPUTED_VALUE"""),0.0)</f>
        <v>0</v>
      </c>
      <c r="K333" s="4">
        <f>IFERROR(__xludf.DUMMYFUNCTION("""COMPUTED_VALUE"""),668.1377)</f>
        <v>668.1377</v>
      </c>
      <c r="L333" s="4">
        <f>IFERROR(__xludf.DUMMYFUNCTION("""COMPUTED_VALUE"""),4.204223171361233)</f>
        <v>4.204223171</v>
      </c>
    </row>
    <row r="334">
      <c r="A334" s="4" t="str">
        <f>IFERROR(__xludf.DUMMYFUNCTION("""COMPUTED_VALUE"""),"UGC01281")</f>
        <v>UGC01281</v>
      </c>
      <c r="B334" s="4">
        <f>IFERROR(__xludf.DUMMYFUNCTION("""COMPUTED_VALUE"""),5.27)</f>
        <v>5.27</v>
      </c>
      <c r="C334" s="4">
        <f>IFERROR(__xludf.DUMMYFUNCTION("""COMPUTED_VALUE"""),3.46)</f>
        <v>3.46</v>
      </c>
      <c r="D334" s="4">
        <f>IFERROR(__xludf.DUMMYFUNCTION("""COMPUTED_VALUE"""),54.1)</f>
        <v>54.1</v>
      </c>
      <c r="E334" s="4">
        <f>IFERROR(__xludf.DUMMYFUNCTION("""COMPUTED_VALUE"""),4.0)</f>
        <v>4</v>
      </c>
      <c r="F334" s="4">
        <f>IFERROR(__xludf.DUMMYFUNCTION("""COMPUTED_VALUE"""),18.3)</f>
        <v>18.3</v>
      </c>
      <c r="G334" s="4">
        <f>IFERROR(__xludf.DUMMYFUNCTION("""COMPUTED_VALUE"""),19.28)</f>
        <v>19.28</v>
      </c>
      <c r="H334" s="4">
        <f>IFERROR(__xludf.DUMMYFUNCTION("""COMPUTED_VALUE"""),0.0)</f>
        <v>0</v>
      </c>
      <c r="I334" s="4">
        <f>IFERROR(__xludf.DUMMYFUNCTION("""COMPUTED_VALUE"""),2.1)</f>
        <v>2.1</v>
      </c>
      <c r="J334" s="4">
        <f>IFERROR(__xludf.DUMMYFUNCTION("""COMPUTED_VALUE"""),0.0)</f>
        <v>0</v>
      </c>
      <c r="K334" s="4">
        <f>IFERROR(__xludf.DUMMYFUNCTION("""COMPUTED_VALUE"""),706.6084000000001)</f>
        <v>706.6084</v>
      </c>
      <c r="L334" s="4">
        <f>IFERROR(__xludf.DUMMYFUNCTION("""COMPUTED_VALUE"""),4.142053788208575)</f>
        <v>4.142053788</v>
      </c>
    </row>
    <row r="335">
      <c r="A335" s="4" t="str">
        <f>IFERROR(__xludf.DUMMYFUNCTION("""COMPUTED_VALUE"""),"UGC01281")</f>
        <v>UGC01281</v>
      </c>
      <c r="B335" s="4">
        <f>IFERROR(__xludf.DUMMYFUNCTION("""COMPUTED_VALUE"""),5.27)</f>
        <v>5.27</v>
      </c>
      <c r="C335" s="4">
        <f>IFERROR(__xludf.DUMMYFUNCTION("""COMPUTED_VALUE"""),3.83)</f>
        <v>3.83</v>
      </c>
      <c r="D335" s="4">
        <f>IFERROR(__xludf.DUMMYFUNCTION("""COMPUTED_VALUE"""),55.0)</f>
        <v>55</v>
      </c>
      <c r="E335" s="4">
        <f>IFERROR(__xludf.DUMMYFUNCTION("""COMPUTED_VALUE"""),4.0)</f>
        <v>4</v>
      </c>
      <c r="F335" s="4">
        <f>IFERROR(__xludf.DUMMYFUNCTION("""COMPUTED_VALUE"""),18.5)</f>
        <v>18.5</v>
      </c>
      <c r="G335" s="4">
        <f>IFERROR(__xludf.DUMMYFUNCTION("""COMPUTED_VALUE"""),18.95)</f>
        <v>18.95</v>
      </c>
      <c r="H335" s="4">
        <f>IFERROR(__xludf.DUMMYFUNCTION("""COMPUTED_VALUE"""),0.0)</f>
        <v>0</v>
      </c>
      <c r="I335" s="4">
        <f>IFERROR(__xludf.DUMMYFUNCTION("""COMPUTED_VALUE"""),1.62)</f>
        <v>1.62</v>
      </c>
      <c r="J335" s="4">
        <f>IFERROR(__xludf.DUMMYFUNCTION("""COMPUTED_VALUE"""),0.0)</f>
        <v>0</v>
      </c>
      <c r="K335" s="4">
        <f>IFERROR(__xludf.DUMMYFUNCTION("""COMPUTED_VALUE"""),701.3525)</f>
        <v>701.3525</v>
      </c>
      <c r="L335" s="4">
        <f>IFERROR(__xludf.DUMMYFUNCTION("""COMPUTED_VALUE"""),4.313095055624668)</f>
        <v>4.313095056</v>
      </c>
    </row>
    <row r="336">
      <c r="A336" s="4" t="str">
        <f>IFERROR(__xludf.DUMMYFUNCTION("""COMPUTED_VALUE"""),"UGC01281")</f>
        <v>UGC01281</v>
      </c>
      <c r="B336" s="4">
        <f>IFERROR(__xludf.DUMMYFUNCTION("""COMPUTED_VALUE"""),5.27)</f>
        <v>5.27</v>
      </c>
      <c r="C336" s="4">
        <f>IFERROR(__xludf.DUMMYFUNCTION("""COMPUTED_VALUE"""),4.23)</f>
        <v>4.23</v>
      </c>
      <c r="D336" s="4">
        <f>IFERROR(__xludf.DUMMYFUNCTION("""COMPUTED_VALUE"""),55.7)</f>
        <v>55.7</v>
      </c>
      <c r="E336" s="4">
        <f>IFERROR(__xludf.DUMMYFUNCTION("""COMPUTED_VALUE"""),4.0)</f>
        <v>4</v>
      </c>
      <c r="F336" s="4">
        <f>IFERROR(__xludf.DUMMYFUNCTION("""COMPUTED_VALUE"""),18.21)</f>
        <v>18.21</v>
      </c>
      <c r="G336" s="4">
        <f>IFERROR(__xludf.DUMMYFUNCTION("""COMPUTED_VALUE"""),18.54)</f>
        <v>18.54</v>
      </c>
      <c r="H336" s="4">
        <f>IFERROR(__xludf.DUMMYFUNCTION("""COMPUTED_VALUE"""),0.0)</f>
        <v>0</v>
      </c>
      <c r="I336" s="4">
        <f>IFERROR(__xludf.DUMMYFUNCTION("""COMPUTED_VALUE"""),1.37)</f>
        <v>1.37</v>
      </c>
      <c r="J336" s="4">
        <f>IFERROR(__xludf.DUMMYFUNCTION("""COMPUTED_VALUE"""),0.0)</f>
        <v>0</v>
      </c>
      <c r="K336" s="4">
        <f>IFERROR(__xludf.DUMMYFUNCTION("""COMPUTED_VALUE"""),675.3357)</f>
        <v>675.3357</v>
      </c>
      <c r="L336" s="4">
        <f>IFERROR(__xludf.DUMMYFUNCTION("""COMPUTED_VALUE"""),4.593996733772553)</f>
        <v>4.593996734</v>
      </c>
    </row>
    <row r="337">
      <c r="A337" s="4" t="str">
        <f>IFERROR(__xludf.DUMMYFUNCTION("""COMPUTED_VALUE"""),"UGC01281")</f>
        <v>UGC01281</v>
      </c>
      <c r="B337" s="4">
        <f>IFERROR(__xludf.DUMMYFUNCTION("""COMPUTED_VALUE"""),5.27)</f>
        <v>5.27</v>
      </c>
      <c r="C337" s="4">
        <f>IFERROR(__xludf.DUMMYFUNCTION("""COMPUTED_VALUE"""),4.62)</f>
        <v>4.62</v>
      </c>
      <c r="D337" s="4">
        <f>IFERROR(__xludf.DUMMYFUNCTION("""COMPUTED_VALUE"""),56.4)</f>
        <v>56.4</v>
      </c>
      <c r="E337" s="4">
        <f>IFERROR(__xludf.DUMMYFUNCTION("""COMPUTED_VALUE"""),4.0)</f>
        <v>4</v>
      </c>
      <c r="F337" s="4">
        <f>IFERROR(__xludf.DUMMYFUNCTION("""COMPUTED_VALUE"""),19.58)</f>
        <v>19.58</v>
      </c>
      <c r="G337" s="4">
        <f>IFERROR(__xludf.DUMMYFUNCTION("""COMPUTED_VALUE"""),18.33)</f>
        <v>18.33</v>
      </c>
      <c r="H337" s="4">
        <f>IFERROR(__xludf.DUMMYFUNCTION("""COMPUTED_VALUE"""),0.0)</f>
        <v>0</v>
      </c>
      <c r="I337" s="4">
        <f>IFERROR(__xludf.DUMMYFUNCTION("""COMPUTED_VALUE"""),1.19)</f>
        <v>1.19</v>
      </c>
      <c r="J337" s="4">
        <f>IFERROR(__xludf.DUMMYFUNCTION("""COMPUTED_VALUE"""),0.0)</f>
        <v>0</v>
      </c>
      <c r="K337" s="4">
        <f>IFERROR(__xludf.DUMMYFUNCTION("""COMPUTED_VALUE"""),719.3652999999999)</f>
        <v>719.3653</v>
      </c>
      <c r="L337" s="4">
        <f>IFERROR(__xludf.DUMMYFUNCTION("""COMPUTED_VALUE"""),4.421898025940368)</f>
        <v>4.421898026</v>
      </c>
    </row>
    <row r="338">
      <c r="A338" s="5" t="str">
        <f>IFERROR(__xludf.DUMMYFUNCTION("""COMPUTED_VALUE"""),"UGC01281")</f>
        <v>UGC01281</v>
      </c>
      <c r="B338" s="5">
        <f>IFERROR(__xludf.DUMMYFUNCTION("""COMPUTED_VALUE"""),5.27)</f>
        <v>5.27</v>
      </c>
      <c r="C338" s="5">
        <f>IFERROR(__xludf.DUMMYFUNCTION("""COMPUTED_VALUE"""),4.99)</f>
        <v>4.99</v>
      </c>
      <c r="D338" s="5">
        <f>IFERROR(__xludf.DUMMYFUNCTION("""COMPUTED_VALUE"""),56.9)</f>
        <v>56.9</v>
      </c>
      <c r="E338" s="5">
        <f>IFERROR(__xludf.DUMMYFUNCTION("""COMPUTED_VALUE"""),4.0)</f>
        <v>4</v>
      </c>
      <c r="F338" s="5">
        <f>IFERROR(__xludf.DUMMYFUNCTION("""COMPUTED_VALUE"""),20.46)</f>
        <v>20.46</v>
      </c>
      <c r="G338" s="5">
        <f>IFERROR(__xludf.DUMMYFUNCTION("""COMPUTED_VALUE"""),18.23)</f>
        <v>18.23</v>
      </c>
      <c r="H338" s="5">
        <f>IFERROR(__xludf.DUMMYFUNCTION("""COMPUTED_VALUE"""),0.0)</f>
        <v>0</v>
      </c>
      <c r="I338" s="5">
        <f>IFERROR(__xludf.DUMMYFUNCTION("""COMPUTED_VALUE"""),0.96)</f>
        <v>0.96</v>
      </c>
      <c r="J338" s="5">
        <f>IFERROR(__xludf.DUMMYFUNCTION("""COMPUTED_VALUE"""),0.0)</f>
        <v>0</v>
      </c>
      <c r="K338" s="5">
        <f>IFERROR(__xludf.DUMMYFUNCTION("""COMPUTED_VALUE"""),750.9445000000001)</f>
        <v>750.9445</v>
      </c>
      <c r="L338" s="5">
        <f>IFERROR(__xludf.DUMMYFUNCTION("""COMPUTED_VALUE"""),4.311383863920701)</f>
        <v>4.311383864</v>
      </c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4" t="str">
        <f>IFERROR(__xludf.DUMMYFUNCTION("""COMPUTED_VALUE"""),"UGC04305")</f>
        <v>UGC04305</v>
      </c>
      <c r="B339" s="4">
        <f>IFERROR(__xludf.DUMMYFUNCTION("""COMPUTED_VALUE"""),3.45)</f>
        <v>3.45</v>
      </c>
      <c r="C339" s="4">
        <f>IFERROR(__xludf.DUMMYFUNCTION("""COMPUTED_VALUE"""),0.25)</f>
        <v>0.25</v>
      </c>
      <c r="D339" s="4">
        <f>IFERROR(__xludf.DUMMYFUNCTION("""COMPUTED_VALUE"""),3.17)</f>
        <v>3.17</v>
      </c>
      <c r="E339" s="4">
        <f>IFERROR(__xludf.DUMMYFUNCTION("""COMPUTED_VALUE"""),3.22)</f>
        <v>3.22</v>
      </c>
      <c r="F339" s="4">
        <f>IFERROR(__xludf.DUMMYFUNCTION("""COMPUTED_VALUE"""),-1.04)</f>
        <v>-1.04</v>
      </c>
      <c r="G339" s="4">
        <f>IFERROR(__xludf.DUMMYFUNCTION("""COMPUTED_VALUE"""),6.45)</f>
        <v>6.45</v>
      </c>
      <c r="H339" s="4">
        <f>IFERROR(__xludf.DUMMYFUNCTION("""COMPUTED_VALUE"""),0.0)</f>
        <v>0</v>
      </c>
      <c r="I339" s="4">
        <f>IFERROR(__xludf.DUMMYFUNCTION("""COMPUTED_VALUE"""),73.77)</f>
        <v>73.77</v>
      </c>
      <c r="J339" s="4">
        <f>IFERROR(__xludf.DUMMYFUNCTION("""COMPUTED_VALUE"""),0.0)</f>
        <v>0</v>
      </c>
      <c r="K339" s="4">
        <f>IFERROR(__xludf.DUMMYFUNCTION("""COMPUTED_VALUE"""),42.6841)</f>
        <v>42.6841</v>
      </c>
      <c r="L339" s="4">
        <f>IFERROR(__xludf.DUMMYFUNCTION("""COMPUTED_VALUE"""),0.2354249006070176)</f>
        <v>0.2354249006</v>
      </c>
    </row>
    <row r="340">
      <c r="A340" s="4" t="str">
        <f>IFERROR(__xludf.DUMMYFUNCTION("""COMPUTED_VALUE"""),"UGC04305")</f>
        <v>UGC04305</v>
      </c>
      <c r="B340" s="4">
        <f>IFERROR(__xludf.DUMMYFUNCTION("""COMPUTED_VALUE"""),3.45)</f>
        <v>3.45</v>
      </c>
      <c r="C340" s="4">
        <f>IFERROR(__xludf.DUMMYFUNCTION("""COMPUTED_VALUE"""),0.5)</f>
        <v>0.5</v>
      </c>
      <c r="D340" s="4">
        <f>IFERROR(__xludf.DUMMYFUNCTION("""COMPUTED_VALUE"""),10.5)</f>
        <v>10.5</v>
      </c>
      <c r="E340" s="4">
        <f>IFERROR(__xludf.DUMMYFUNCTION("""COMPUTED_VALUE"""),3.32)</f>
        <v>3.32</v>
      </c>
      <c r="F340" s="4">
        <f>IFERROR(__xludf.DUMMYFUNCTION("""COMPUTED_VALUE"""),-3.35)</f>
        <v>-3.35</v>
      </c>
      <c r="G340" s="4">
        <f>IFERROR(__xludf.DUMMYFUNCTION("""COMPUTED_VALUE"""),13.17)</f>
        <v>13.17</v>
      </c>
      <c r="H340" s="4">
        <f>IFERROR(__xludf.DUMMYFUNCTION("""COMPUTED_VALUE"""),0.0)</f>
        <v>0</v>
      </c>
      <c r="I340" s="4">
        <f>IFERROR(__xludf.DUMMYFUNCTION("""COMPUTED_VALUE"""),58.74)</f>
        <v>58.74</v>
      </c>
      <c r="J340" s="4">
        <f>IFERROR(__xludf.DUMMYFUNCTION("""COMPUTED_VALUE"""),0.0)</f>
        <v>0</v>
      </c>
      <c r="K340" s="4">
        <f>IFERROR(__xludf.DUMMYFUNCTION("""COMPUTED_VALUE"""),184.6714)</f>
        <v>184.6714</v>
      </c>
      <c r="L340" s="4">
        <f>IFERROR(__xludf.DUMMYFUNCTION("""COMPUTED_VALUE"""),0.5970063583207795)</f>
        <v>0.5970063583</v>
      </c>
    </row>
    <row r="341">
      <c r="A341" s="4" t="str">
        <f>IFERROR(__xludf.DUMMYFUNCTION("""COMPUTED_VALUE"""),"UGC04305")</f>
        <v>UGC04305</v>
      </c>
      <c r="B341" s="4">
        <f>IFERROR(__xludf.DUMMYFUNCTION("""COMPUTED_VALUE"""),3.45)</f>
        <v>3.45</v>
      </c>
      <c r="C341" s="4">
        <f>IFERROR(__xludf.DUMMYFUNCTION("""COMPUTED_VALUE"""),0.75)</f>
        <v>0.75</v>
      </c>
      <c r="D341" s="4">
        <f>IFERROR(__xludf.DUMMYFUNCTION("""COMPUTED_VALUE"""),17.5)</f>
        <v>17.5</v>
      </c>
      <c r="E341" s="4">
        <f>IFERROR(__xludf.DUMMYFUNCTION("""COMPUTED_VALUE"""),4.47)</f>
        <v>4.47</v>
      </c>
      <c r="F341" s="4">
        <f>IFERROR(__xludf.DUMMYFUNCTION("""COMPUTED_VALUE"""),4.05)</f>
        <v>4.05</v>
      </c>
      <c r="G341" s="4">
        <f>IFERROR(__xludf.DUMMYFUNCTION("""COMPUTED_VALUE"""),18.27)</f>
        <v>18.27</v>
      </c>
      <c r="H341" s="4">
        <f>IFERROR(__xludf.DUMMYFUNCTION("""COMPUTED_VALUE"""),0.0)</f>
        <v>0</v>
      </c>
      <c r="I341" s="4">
        <f>IFERROR(__xludf.DUMMYFUNCTION("""COMPUTED_VALUE"""),53.03)</f>
        <v>53.03</v>
      </c>
      <c r="J341" s="4">
        <f>IFERROR(__xludf.DUMMYFUNCTION("""COMPUTED_VALUE"""),0.0)</f>
        <v>0</v>
      </c>
      <c r="K341" s="4">
        <f>IFERROR(__xludf.DUMMYFUNCTION("""COMPUTED_VALUE"""),350.19539999999995)</f>
        <v>350.1954</v>
      </c>
      <c r="L341" s="4">
        <f>IFERROR(__xludf.DUMMYFUNCTION("""COMPUTED_VALUE"""),0.8745117725703994)</f>
        <v>0.8745117726</v>
      </c>
    </row>
    <row r="342">
      <c r="A342" s="4" t="str">
        <f>IFERROR(__xludf.DUMMYFUNCTION("""COMPUTED_VALUE"""),"UGC04305")</f>
        <v>UGC04305</v>
      </c>
      <c r="B342" s="4">
        <f>IFERROR(__xludf.DUMMYFUNCTION("""COMPUTED_VALUE"""),3.45)</f>
        <v>3.45</v>
      </c>
      <c r="C342" s="4">
        <f>IFERROR(__xludf.DUMMYFUNCTION("""COMPUTED_VALUE"""),1.0)</f>
        <v>1</v>
      </c>
      <c r="D342" s="4">
        <f>IFERROR(__xludf.DUMMYFUNCTION("""COMPUTED_VALUE"""),22.7)</f>
        <v>22.7</v>
      </c>
      <c r="E342" s="4">
        <f>IFERROR(__xludf.DUMMYFUNCTION("""COMPUTED_VALUE"""),4.96)</f>
        <v>4.96</v>
      </c>
      <c r="F342" s="4">
        <f>IFERROR(__xludf.DUMMYFUNCTION("""COMPUTED_VALUE"""),4.85)</f>
        <v>4.85</v>
      </c>
      <c r="G342" s="4">
        <f>IFERROR(__xludf.DUMMYFUNCTION("""COMPUTED_VALUE"""),24.79)</f>
        <v>24.79</v>
      </c>
      <c r="H342" s="4">
        <f>IFERROR(__xludf.DUMMYFUNCTION("""COMPUTED_VALUE"""),0.0)</f>
        <v>0</v>
      </c>
      <c r="I342" s="4">
        <f>IFERROR(__xludf.DUMMYFUNCTION("""COMPUTED_VALUE"""),53.05)</f>
        <v>53.05</v>
      </c>
      <c r="J342" s="4">
        <f>IFERROR(__xludf.DUMMYFUNCTION("""COMPUTED_VALUE"""),0.0)</f>
        <v>0</v>
      </c>
      <c r="K342" s="4">
        <f>IFERROR(__xludf.DUMMYFUNCTION("""COMPUTED_VALUE"""),638.0666)</f>
        <v>638.0666</v>
      </c>
      <c r="L342" s="4">
        <f>IFERROR(__xludf.DUMMYFUNCTION("""COMPUTED_VALUE"""),0.8075802745356049)</f>
        <v>0.8075802745</v>
      </c>
    </row>
    <row r="343">
      <c r="A343" s="4" t="str">
        <f>IFERROR(__xludf.DUMMYFUNCTION("""COMPUTED_VALUE"""),"UGC04305")</f>
        <v>UGC04305</v>
      </c>
      <c r="B343" s="4">
        <f>IFERROR(__xludf.DUMMYFUNCTION("""COMPUTED_VALUE"""),3.45)</f>
        <v>3.45</v>
      </c>
      <c r="C343" s="4">
        <f>IFERROR(__xludf.DUMMYFUNCTION("""COMPUTED_VALUE"""),1.26)</f>
        <v>1.26</v>
      </c>
      <c r="D343" s="4">
        <f>IFERROR(__xludf.DUMMYFUNCTION("""COMPUTED_VALUE"""),29.7)</f>
        <v>29.7</v>
      </c>
      <c r="E343" s="4">
        <f>IFERROR(__xludf.DUMMYFUNCTION("""COMPUTED_VALUE"""),5.29)</f>
        <v>5.29</v>
      </c>
      <c r="F343" s="4">
        <f>IFERROR(__xludf.DUMMYFUNCTION("""COMPUTED_VALUE"""),6.16)</f>
        <v>6.16</v>
      </c>
      <c r="G343" s="4">
        <f>IFERROR(__xludf.DUMMYFUNCTION("""COMPUTED_VALUE"""),29.98)</f>
        <v>29.98</v>
      </c>
      <c r="H343" s="4">
        <f>IFERROR(__xludf.DUMMYFUNCTION("""COMPUTED_VALUE"""),0.0)</f>
        <v>0</v>
      </c>
      <c r="I343" s="4">
        <f>IFERROR(__xludf.DUMMYFUNCTION("""COMPUTED_VALUE"""),33.12)</f>
        <v>33.12</v>
      </c>
      <c r="J343" s="4">
        <f>IFERROR(__xludf.DUMMYFUNCTION("""COMPUTED_VALUE"""),0.0)</f>
        <v>0</v>
      </c>
      <c r="K343" s="4">
        <f>IFERROR(__xludf.DUMMYFUNCTION("""COMPUTED_VALUE"""),936.7460000000001)</f>
        <v>936.746</v>
      </c>
      <c r="L343" s="4">
        <f>IFERROR(__xludf.DUMMYFUNCTION("""COMPUTED_VALUE"""),0.9416533403932335)</f>
        <v>0.9416533404</v>
      </c>
    </row>
    <row r="344">
      <c r="A344" s="4" t="str">
        <f>IFERROR(__xludf.DUMMYFUNCTION("""COMPUTED_VALUE"""),"UGC04305")</f>
        <v>UGC04305</v>
      </c>
      <c r="B344" s="4">
        <f>IFERROR(__xludf.DUMMYFUNCTION("""COMPUTED_VALUE"""),3.45)</f>
        <v>3.45</v>
      </c>
      <c r="C344" s="4">
        <f>IFERROR(__xludf.DUMMYFUNCTION("""COMPUTED_VALUE"""),1.5)</f>
        <v>1.5</v>
      </c>
      <c r="D344" s="4">
        <f>IFERROR(__xludf.DUMMYFUNCTION("""COMPUTED_VALUE"""),34.5)</f>
        <v>34.5</v>
      </c>
      <c r="E344" s="4">
        <f>IFERROR(__xludf.DUMMYFUNCTION("""COMPUTED_VALUE"""),4.7)</f>
        <v>4.7</v>
      </c>
      <c r="F344" s="4">
        <f>IFERROR(__xludf.DUMMYFUNCTION("""COMPUTED_VALUE"""),7.83)</f>
        <v>7.83</v>
      </c>
      <c r="G344" s="4">
        <f>IFERROR(__xludf.DUMMYFUNCTION("""COMPUTED_VALUE"""),30.56)</f>
        <v>30.56</v>
      </c>
      <c r="H344" s="4">
        <f>IFERROR(__xludf.DUMMYFUNCTION("""COMPUTED_VALUE"""),0.0)</f>
        <v>0</v>
      </c>
      <c r="I344" s="4">
        <f>IFERROR(__xludf.DUMMYFUNCTION("""COMPUTED_VALUE"""),23.92)</f>
        <v>23.92</v>
      </c>
      <c r="J344" s="4">
        <f>IFERROR(__xludf.DUMMYFUNCTION("""COMPUTED_VALUE"""),0.0)</f>
        <v>0</v>
      </c>
      <c r="K344" s="4">
        <f>IFERROR(__xludf.DUMMYFUNCTION("""COMPUTED_VALUE"""),995.2225)</f>
        <v>995.2225</v>
      </c>
      <c r="L344" s="4">
        <f>IFERROR(__xludf.DUMMYFUNCTION("""COMPUTED_VALUE"""),1.1959637166563257)</f>
        <v>1.195963717</v>
      </c>
    </row>
    <row r="345">
      <c r="A345" s="4" t="str">
        <f>IFERROR(__xludf.DUMMYFUNCTION("""COMPUTED_VALUE"""),"UGC04305")</f>
        <v>UGC04305</v>
      </c>
      <c r="B345" s="4">
        <f>IFERROR(__xludf.DUMMYFUNCTION("""COMPUTED_VALUE"""),3.45)</f>
        <v>3.45</v>
      </c>
      <c r="C345" s="4">
        <f>IFERROR(__xludf.DUMMYFUNCTION("""COMPUTED_VALUE"""),1.76)</f>
        <v>1.76</v>
      </c>
      <c r="D345" s="4">
        <f>IFERROR(__xludf.DUMMYFUNCTION("""COMPUTED_VALUE"""),36.0)</f>
        <v>36</v>
      </c>
      <c r="E345" s="4">
        <f>IFERROR(__xludf.DUMMYFUNCTION("""COMPUTED_VALUE"""),3.51)</f>
        <v>3.51</v>
      </c>
      <c r="F345" s="4">
        <f>IFERROR(__xludf.DUMMYFUNCTION("""COMPUTED_VALUE"""),8.37)</f>
        <v>8.37</v>
      </c>
      <c r="G345" s="4">
        <f>IFERROR(__xludf.DUMMYFUNCTION("""COMPUTED_VALUE"""),30.97)</f>
        <v>30.97</v>
      </c>
      <c r="H345" s="4">
        <f>IFERROR(__xludf.DUMMYFUNCTION("""COMPUTED_VALUE"""),0.0)</f>
        <v>0</v>
      </c>
      <c r="I345" s="4">
        <f>IFERROR(__xludf.DUMMYFUNCTION("""COMPUTED_VALUE"""),17.24)</f>
        <v>17.24</v>
      </c>
      <c r="J345" s="4">
        <f>IFERROR(__xludf.DUMMYFUNCTION("""COMPUTED_VALUE"""),0.0)</f>
        <v>0</v>
      </c>
      <c r="K345" s="4">
        <f>IFERROR(__xludf.DUMMYFUNCTION("""COMPUTED_VALUE"""),1029.1978)</f>
        <v>1029.1978</v>
      </c>
      <c r="L345" s="4">
        <f>IFERROR(__xludf.DUMMYFUNCTION("""COMPUTED_VALUE"""),1.2592331619830515)</f>
        <v>1.259233162</v>
      </c>
    </row>
    <row r="346">
      <c r="A346" s="4" t="str">
        <f>IFERROR(__xludf.DUMMYFUNCTION("""COMPUTED_VALUE"""),"UGC04305")</f>
        <v>UGC04305</v>
      </c>
      <c r="B346" s="4">
        <f>IFERROR(__xludf.DUMMYFUNCTION("""COMPUTED_VALUE"""),3.45)</f>
        <v>3.45</v>
      </c>
      <c r="C346" s="4">
        <f>IFERROR(__xludf.DUMMYFUNCTION("""COMPUTED_VALUE"""),2.01)</f>
        <v>2.01</v>
      </c>
      <c r="D346" s="4">
        <f>IFERROR(__xludf.DUMMYFUNCTION("""COMPUTED_VALUE"""),37.3)</f>
        <v>37.3</v>
      </c>
      <c r="E346" s="4">
        <f>IFERROR(__xludf.DUMMYFUNCTION("""COMPUTED_VALUE"""),3.45)</f>
        <v>3.45</v>
      </c>
      <c r="F346" s="4">
        <f>IFERROR(__xludf.DUMMYFUNCTION("""COMPUTED_VALUE"""),8.4)</f>
        <v>8.4</v>
      </c>
      <c r="G346" s="4">
        <f>IFERROR(__xludf.DUMMYFUNCTION("""COMPUTED_VALUE"""),29.96)</f>
        <v>29.96</v>
      </c>
      <c r="H346" s="4">
        <f>IFERROR(__xludf.DUMMYFUNCTION("""COMPUTED_VALUE"""),0.0)</f>
        <v>0</v>
      </c>
      <c r="I346" s="4">
        <f>IFERROR(__xludf.DUMMYFUNCTION("""COMPUTED_VALUE"""),13.58)</f>
        <v>13.58</v>
      </c>
      <c r="J346" s="4">
        <f>IFERROR(__xludf.DUMMYFUNCTION("""COMPUTED_VALUE"""),0.0)</f>
        <v>0</v>
      </c>
      <c r="K346" s="4">
        <f>IFERROR(__xludf.DUMMYFUNCTION("""COMPUTED_VALUE"""),968.1616000000001)</f>
        <v>968.1616</v>
      </c>
      <c r="L346" s="4">
        <f>IFERROR(__xludf.DUMMYFUNCTION("""COMPUTED_VALUE"""),1.4370431547791191)</f>
        <v>1.437043155</v>
      </c>
    </row>
    <row r="347">
      <c r="A347" s="4" t="str">
        <f>IFERROR(__xludf.DUMMYFUNCTION("""COMPUTED_VALUE"""),"UGC04305")</f>
        <v>UGC04305</v>
      </c>
      <c r="B347" s="4">
        <f>IFERROR(__xludf.DUMMYFUNCTION("""COMPUTED_VALUE"""),3.45)</f>
        <v>3.45</v>
      </c>
      <c r="C347" s="4">
        <f>IFERROR(__xludf.DUMMYFUNCTION("""COMPUTED_VALUE"""),2.26)</f>
        <v>2.26</v>
      </c>
      <c r="D347" s="4">
        <f>IFERROR(__xludf.DUMMYFUNCTION("""COMPUTED_VALUE"""),35.6)</f>
        <v>35.6</v>
      </c>
      <c r="E347" s="4">
        <f>IFERROR(__xludf.DUMMYFUNCTION("""COMPUTED_VALUE"""),3.57)</f>
        <v>3.57</v>
      </c>
      <c r="F347" s="4">
        <f>IFERROR(__xludf.DUMMYFUNCTION("""COMPUTED_VALUE"""),10.27)</f>
        <v>10.27</v>
      </c>
      <c r="G347" s="4">
        <f>IFERROR(__xludf.DUMMYFUNCTION("""COMPUTED_VALUE"""),30.04)</f>
        <v>30.04</v>
      </c>
      <c r="H347" s="4">
        <f>IFERROR(__xludf.DUMMYFUNCTION("""COMPUTED_VALUE"""),0.0)</f>
        <v>0</v>
      </c>
      <c r="I347" s="4">
        <f>IFERROR(__xludf.DUMMYFUNCTION("""COMPUTED_VALUE"""),14.97)</f>
        <v>14.97</v>
      </c>
      <c r="J347" s="4">
        <f>IFERROR(__xludf.DUMMYFUNCTION("""COMPUTED_VALUE"""),0.0)</f>
        <v>0</v>
      </c>
      <c r="K347" s="4">
        <f>IFERROR(__xludf.DUMMYFUNCTION("""COMPUTED_VALUE"""),1007.8744999999999)</f>
        <v>1007.8745</v>
      </c>
      <c r="L347" s="4">
        <f>IFERROR(__xludf.DUMMYFUNCTION("""COMPUTED_VALUE"""),1.2574581458306568)</f>
        <v>1.257458146</v>
      </c>
    </row>
    <row r="348">
      <c r="A348" s="4" t="str">
        <f>IFERROR(__xludf.DUMMYFUNCTION("""COMPUTED_VALUE"""),"UGC04305")</f>
        <v>UGC04305</v>
      </c>
      <c r="B348" s="4">
        <f>IFERROR(__xludf.DUMMYFUNCTION("""COMPUTED_VALUE"""),3.45)</f>
        <v>3.45</v>
      </c>
      <c r="C348" s="4">
        <f>IFERROR(__xludf.DUMMYFUNCTION("""COMPUTED_VALUE"""),2.51)</f>
        <v>2.51</v>
      </c>
      <c r="D348" s="4">
        <f>IFERROR(__xludf.DUMMYFUNCTION("""COMPUTED_VALUE"""),34.9)</f>
        <v>34.9</v>
      </c>
      <c r="E348" s="4">
        <f>IFERROR(__xludf.DUMMYFUNCTION("""COMPUTED_VALUE"""),3.88)</f>
        <v>3.88</v>
      </c>
      <c r="F348" s="4">
        <f>IFERROR(__xludf.DUMMYFUNCTION("""COMPUTED_VALUE"""),11.89)</f>
        <v>11.89</v>
      </c>
      <c r="G348" s="4">
        <f>IFERROR(__xludf.DUMMYFUNCTION("""COMPUTED_VALUE"""),31.48)</f>
        <v>31.48</v>
      </c>
      <c r="H348" s="4">
        <f>IFERROR(__xludf.DUMMYFUNCTION("""COMPUTED_VALUE"""),0.0)</f>
        <v>0</v>
      </c>
      <c r="I348" s="4">
        <f>IFERROR(__xludf.DUMMYFUNCTION("""COMPUTED_VALUE"""),13.82)</f>
        <v>13.82</v>
      </c>
      <c r="J348" s="4">
        <f>IFERROR(__xludf.DUMMYFUNCTION("""COMPUTED_VALUE"""),0.0)</f>
        <v>0</v>
      </c>
      <c r="K348" s="4">
        <f>IFERROR(__xludf.DUMMYFUNCTION("""COMPUTED_VALUE"""),1132.3625)</f>
        <v>1132.3625</v>
      </c>
      <c r="L348" s="4">
        <f>IFERROR(__xludf.DUMMYFUNCTION("""COMPUTED_VALUE"""),1.0756361147600701)</f>
        <v>1.075636115</v>
      </c>
    </row>
    <row r="349">
      <c r="A349" s="4" t="str">
        <f>IFERROR(__xludf.DUMMYFUNCTION("""COMPUTED_VALUE"""),"UGC04305")</f>
        <v>UGC04305</v>
      </c>
      <c r="B349" s="4">
        <f>IFERROR(__xludf.DUMMYFUNCTION("""COMPUTED_VALUE"""),3.45)</f>
        <v>3.45</v>
      </c>
      <c r="C349" s="4">
        <f>IFERROR(__xludf.DUMMYFUNCTION("""COMPUTED_VALUE"""),2.76)</f>
        <v>2.76</v>
      </c>
      <c r="D349" s="4">
        <f>IFERROR(__xludf.DUMMYFUNCTION("""COMPUTED_VALUE"""),32.7)</f>
        <v>32.7</v>
      </c>
      <c r="E349" s="4">
        <f>IFERROR(__xludf.DUMMYFUNCTION("""COMPUTED_VALUE"""),3.27)</f>
        <v>3.27</v>
      </c>
      <c r="F349" s="4">
        <f>IFERROR(__xludf.DUMMYFUNCTION("""COMPUTED_VALUE"""),15.11)</f>
        <v>15.11</v>
      </c>
      <c r="G349" s="4">
        <f>IFERROR(__xludf.DUMMYFUNCTION("""COMPUTED_VALUE"""),33.07)</f>
        <v>33.07</v>
      </c>
      <c r="H349" s="4">
        <f>IFERROR(__xludf.DUMMYFUNCTION("""COMPUTED_VALUE"""),0.0)</f>
        <v>0</v>
      </c>
      <c r="I349" s="4">
        <f>IFERROR(__xludf.DUMMYFUNCTION("""COMPUTED_VALUE"""),11.76)</f>
        <v>11.76</v>
      </c>
      <c r="J349" s="4">
        <f>IFERROR(__xludf.DUMMYFUNCTION("""COMPUTED_VALUE"""),0.0)</f>
        <v>0</v>
      </c>
      <c r="K349" s="4">
        <f>IFERROR(__xludf.DUMMYFUNCTION("""COMPUTED_VALUE"""),1321.937)</f>
        <v>1321.937</v>
      </c>
      <c r="L349" s="4">
        <f>IFERROR(__xludf.DUMMYFUNCTION("""COMPUTED_VALUE"""),0.8088812099215018)</f>
        <v>0.8088812099</v>
      </c>
    </row>
    <row r="350">
      <c r="A350" s="4" t="str">
        <f>IFERROR(__xludf.DUMMYFUNCTION("""COMPUTED_VALUE"""),"UGC04305")</f>
        <v>UGC04305</v>
      </c>
      <c r="B350" s="4">
        <f>IFERROR(__xludf.DUMMYFUNCTION("""COMPUTED_VALUE"""),3.45)</f>
        <v>3.45</v>
      </c>
      <c r="C350" s="4">
        <f>IFERROR(__xludf.DUMMYFUNCTION("""COMPUTED_VALUE"""),3.01)</f>
        <v>3.01</v>
      </c>
      <c r="D350" s="4">
        <f>IFERROR(__xludf.DUMMYFUNCTION("""COMPUTED_VALUE"""),32.8)</f>
        <v>32.8</v>
      </c>
      <c r="E350" s="4">
        <f>IFERROR(__xludf.DUMMYFUNCTION("""COMPUTED_VALUE"""),3.21)</f>
        <v>3.21</v>
      </c>
      <c r="F350" s="4">
        <f>IFERROR(__xludf.DUMMYFUNCTION("""COMPUTED_VALUE"""),17.63)</f>
        <v>17.63</v>
      </c>
      <c r="G350" s="4">
        <f>IFERROR(__xludf.DUMMYFUNCTION("""COMPUTED_VALUE"""),34.11)</f>
        <v>34.11</v>
      </c>
      <c r="H350" s="4">
        <f>IFERROR(__xludf.DUMMYFUNCTION("""COMPUTED_VALUE"""),0.0)</f>
        <v>0</v>
      </c>
      <c r="I350" s="4">
        <f>IFERROR(__xludf.DUMMYFUNCTION("""COMPUTED_VALUE"""),8.8)</f>
        <v>8.8</v>
      </c>
      <c r="J350" s="4">
        <f>IFERROR(__xludf.DUMMYFUNCTION("""COMPUTED_VALUE"""),0.0)</f>
        <v>0</v>
      </c>
      <c r="K350" s="4">
        <f>IFERROR(__xludf.DUMMYFUNCTION("""COMPUTED_VALUE"""),1474.309)</f>
        <v>1474.309</v>
      </c>
      <c r="L350" s="4">
        <f>IFERROR(__xludf.DUMMYFUNCTION("""COMPUTED_VALUE"""),0.7297249084147217)</f>
        <v>0.7297249084</v>
      </c>
    </row>
    <row r="351">
      <c r="A351" s="4" t="str">
        <f>IFERROR(__xludf.DUMMYFUNCTION("""COMPUTED_VALUE"""),"UGC04305")</f>
        <v>UGC04305</v>
      </c>
      <c r="B351" s="4">
        <f>IFERROR(__xludf.DUMMYFUNCTION("""COMPUTED_VALUE"""),3.45)</f>
        <v>3.45</v>
      </c>
      <c r="C351" s="4">
        <f>IFERROR(__xludf.DUMMYFUNCTION("""COMPUTED_VALUE"""),3.27)</f>
        <v>3.27</v>
      </c>
      <c r="D351" s="4">
        <f>IFERROR(__xludf.DUMMYFUNCTION("""COMPUTED_VALUE"""),33.2)</f>
        <v>33.2</v>
      </c>
      <c r="E351" s="4">
        <f>IFERROR(__xludf.DUMMYFUNCTION("""COMPUTED_VALUE"""),3.21)</f>
        <v>3.21</v>
      </c>
      <c r="F351" s="4">
        <f>IFERROR(__xludf.DUMMYFUNCTION("""COMPUTED_VALUE"""),19.74)</f>
        <v>19.74</v>
      </c>
      <c r="G351" s="4">
        <f>IFERROR(__xludf.DUMMYFUNCTION("""COMPUTED_VALUE"""),33.92)</f>
        <v>33.92</v>
      </c>
      <c r="H351" s="4">
        <f>IFERROR(__xludf.DUMMYFUNCTION("""COMPUTED_VALUE"""),0.0)</f>
        <v>0</v>
      </c>
      <c r="I351" s="4">
        <f>IFERROR(__xludf.DUMMYFUNCTION("""COMPUTED_VALUE"""),5.53)</f>
        <v>5.53</v>
      </c>
      <c r="J351" s="4">
        <f>IFERROR(__xludf.DUMMYFUNCTION("""COMPUTED_VALUE"""),0.0)</f>
        <v>0</v>
      </c>
      <c r="K351" s="4">
        <f>IFERROR(__xludf.DUMMYFUNCTION("""COMPUTED_VALUE"""),1540.2340000000002)</f>
        <v>1540.234</v>
      </c>
      <c r="L351" s="4">
        <f>IFERROR(__xludf.DUMMYFUNCTION("""COMPUTED_VALUE"""),0.7156315209247427)</f>
        <v>0.7156315209</v>
      </c>
    </row>
    <row r="352">
      <c r="A352" s="4" t="str">
        <f>IFERROR(__xludf.DUMMYFUNCTION("""COMPUTED_VALUE"""),"UGC04305")</f>
        <v>UGC04305</v>
      </c>
      <c r="B352" s="4">
        <f>IFERROR(__xludf.DUMMYFUNCTION("""COMPUTED_VALUE"""),3.45)</f>
        <v>3.45</v>
      </c>
      <c r="C352" s="4">
        <f>IFERROR(__xludf.DUMMYFUNCTION("""COMPUTED_VALUE"""),3.51)</f>
        <v>3.51</v>
      </c>
      <c r="D352" s="4">
        <f>IFERROR(__xludf.DUMMYFUNCTION("""COMPUTED_VALUE"""),32.1)</f>
        <v>32.1</v>
      </c>
      <c r="E352" s="4">
        <f>IFERROR(__xludf.DUMMYFUNCTION("""COMPUTED_VALUE"""),3.23)</f>
        <v>3.23</v>
      </c>
      <c r="F352" s="4">
        <f>IFERROR(__xludf.DUMMYFUNCTION("""COMPUTED_VALUE"""),22.06)</f>
        <v>22.06</v>
      </c>
      <c r="G352" s="4">
        <f>IFERROR(__xludf.DUMMYFUNCTION("""COMPUTED_VALUE"""),33.27)</f>
        <v>33.27</v>
      </c>
      <c r="H352" s="4">
        <f>IFERROR(__xludf.DUMMYFUNCTION("""COMPUTED_VALUE"""),0.0)</f>
        <v>0</v>
      </c>
      <c r="I352" s="4">
        <f>IFERROR(__xludf.DUMMYFUNCTION("""COMPUTED_VALUE"""),4.03)</f>
        <v>4.03</v>
      </c>
      <c r="J352" s="4">
        <f>IFERROR(__xludf.DUMMYFUNCTION("""COMPUTED_VALUE"""),0.0)</f>
        <v>0</v>
      </c>
      <c r="K352" s="4">
        <f>IFERROR(__xludf.DUMMYFUNCTION("""COMPUTED_VALUE"""),1593.5365000000002)</f>
        <v>1593.5365</v>
      </c>
      <c r="L352" s="4">
        <f>IFERROR(__xludf.DUMMYFUNCTION("""COMPUTED_VALUE"""),0.646618386212051)</f>
        <v>0.6466183862</v>
      </c>
    </row>
    <row r="353">
      <c r="A353" s="4" t="str">
        <f>IFERROR(__xludf.DUMMYFUNCTION("""COMPUTED_VALUE"""),"UGC04305")</f>
        <v>UGC04305</v>
      </c>
      <c r="B353" s="4">
        <f>IFERROR(__xludf.DUMMYFUNCTION("""COMPUTED_VALUE"""),3.45)</f>
        <v>3.45</v>
      </c>
      <c r="C353" s="4">
        <f>IFERROR(__xludf.DUMMYFUNCTION("""COMPUTED_VALUE"""),3.76)</f>
        <v>3.76</v>
      </c>
      <c r="D353" s="4">
        <f>IFERROR(__xludf.DUMMYFUNCTION("""COMPUTED_VALUE"""),30.1)</f>
        <v>30.1</v>
      </c>
      <c r="E353" s="4">
        <f>IFERROR(__xludf.DUMMYFUNCTION("""COMPUTED_VALUE"""),3.16)</f>
        <v>3.16</v>
      </c>
      <c r="F353" s="4">
        <f>IFERROR(__xludf.DUMMYFUNCTION("""COMPUTED_VALUE"""),23.37)</f>
        <v>23.37</v>
      </c>
      <c r="G353" s="4">
        <f>IFERROR(__xludf.DUMMYFUNCTION("""COMPUTED_VALUE"""),32.39)</f>
        <v>32.39</v>
      </c>
      <c r="H353" s="4">
        <f>IFERROR(__xludf.DUMMYFUNCTION("""COMPUTED_VALUE"""),0.0)</f>
        <v>0</v>
      </c>
      <c r="I353" s="4">
        <f>IFERROR(__xludf.DUMMYFUNCTION("""COMPUTED_VALUE"""),2.74)</f>
        <v>2.74</v>
      </c>
      <c r="J353" s="4">
        <f>IFERROR(__xludf.DUMMYFUNCTION("""COMPUTED_VALUE"""),0.0)</f>
        <v>0</v>
      </c>
      <c r="K353" s="4">
        <f>IFERROR(__xludf.DUMMYFUNCTION("""COMPUTED_VALUE"""),1595.2690000000002)</f>
        <v>1595.269</v>
      </c>
      <c r="L353" s="4">
        <f>IFERROR(__xludf.DUMMYFUNCTION("""COMPUTED_VALUE"""),0.5679355644721987)</f>
        <v>0.5679355645</v>
      </c>
    </row>
    <row r="354">
      <c r="A354" s="4" t="str">
        <f>IFERROR(__xludf.DUMMYFUNCTION("""COMPUTED_VALUE"""),"UGC04305")</f>
        <v>UGC04305</v>
      </c>
      <c r="B354" s="4">
        <f>IFERROR(__xludf.DUMMYFUNCTION("""COMPUTED_VALUE"""),3.45)</f>
        <v>3.45</v>
      </c>
      <c r="C354" s="4">
        <f>IFERROR(__xludf.DUMMYFUNCTION("""COMPUTED_VALUE"""),4.02)</f>
        <v>4.02</v>
      </c>
      <c r="D354" s="4">
        <f>IFERROR(__xludf.DUMMYFUNCTION("""COMPUTED_VALUE"""),32.3)</f>
        <v>32.3</v>
      </c>
      <c r="E354" s="4">
        <f>IFERROR(__xludf.DUMMYFUNCTION("""COMPUTED_VALUE"""),3.16)</f>
        <v>3.16</v>
      </c>
      <c r="F354" s="4">
        <f>IFERROR(__xludf.DUMMYFUNCTION("""COMPUTED_VALUE"""),24.68)</f>
        <v>24.68</v>
      </c>
      <c r="G354" s="4">
        <f>IFERROR(__xludf.DUMMYFUNCTION("""COMPUTED_VALUE"""),31.18)</f>
        <v>31.18</v>
      </c>
      <c r="H354" s="4">
        <f>IFERROR(__xludf.DUMMYFUNCTION("""COMPUTED_VALUE"""),0.0)</f>
        <v>0</v>
      </c>
      <c r="I354" s="4">
        <f>IFERROR(__xludf.DUMMYFUNCTION("""COMPUTED_VALUE"""),1.92)</f>
        <v>1.92</v>
      </c>
      <c r="J354" s="4">
        <f>IFERROR(__xludf.DUMMYFUNCTION("""COMPUTED_VALUE"""),0.0)</f>
        <v>0</v>
      </c>
      <c r="K354" s="4">
        <f>IFERROR(__xludf.DUMMYFUNCTION("""COMPUTED_VALUE"""),1581.2948000000001)</f>
        <v>1581.2948</v>
      </c>
      <c r="L354" s="4">
        <f>IFERROR(__xludf.DUMMYFUNCTION("""COMPUTED_VALUE"""),0.6597694496940101)</f>
        <v>0.6597694497</v>
      </c>
    </row>
    <row r="355">
      <c r="A355" s="4" t="str">
        <f>IFERROR(__xludf.DUMMYFUNCTION("""COMPUTED_VALUE"""),"UGC04305")</f>
        <v>UGC04305</v>
      </c>
      <c r="B355" s="4">
        <f>IFERROR(__xludf.DUMMYFUNCTION("""COMPUTED_VALUE"""),3.45)</f>
        <v>3.45</v>
      </c>
      <c r="C355" s="4">
        <f>IFERROR(__xludf.DUMMYFUNCTION("""COMPUTED_VALUE"""),4.26)</f>
        <v>4.26</v>
      </c>
      <c r="D355" s="4">
        <f>IFERROR(__xludf.DUMMYFUNCTION("""COMPUTED_VALUE"""),33.6)</f>
        <v>33.6</v>
      </c>
      <c r="E355" s="4">
        <f>IFERROR(__xludf.DUMMYFUNCTION("""COMPUTED_VALUE"""),3.12)</f>
        <v>3.12</v>
      </c>
      <c r="F355" s="4">
        <f>IFERROR(__xludf.DUMMYFUNCTION("""COMPUTED_VALUE"""),25.38)</f>
        <v>25.38</v>
      </c>
      <c r="G355" s="4">
        <f>IFERROR(__xludf.DUMMYFUNCTION("""COMPUTED_VALUE"""),30.16)</f>
        <v>30.16</v>
      </c>
      <c r="H355" s="4">
        <f>IFERROR(__xludf.DUMMYFUNCTION("""COMPUTED_VALUE"""),0.0)</f>
        <v>0</v>
      </c>
      <c r="I355" s="4">
        <f>IFERROR(__xludf.DUMMYFUNCTION("""COMPUTED_VALUE"""),1.67)</f>
        <v>1.67</v>
      </c>
      <c r="J355" s="4">
        <f>IFERROR(__xludf.DUMMYFUNCTION("""COMPUTED_VALUE"""),0.0)</f>
        <v>0</v>
      </c>
      <c r="K355" s="4">
        <f>IFERROR(__xludf.DUMMYFUNCTION("""COMPUTED_VALUE"""),1553.77)</f>
        <v>1553.77</v>
      </c>
      <c r="L355" s="4">
        <f>IFERROR(__xludf.DUMMYFUNCTION("""COMPUTED_VALUE"""),0.7265940261428655)</f>
        <v>0.7265940261</v>
      </c>
    </row>
    <row r="356">
      <c r="A356" s="4" t="str">
        <f>IFERROR(__xludf.DUMMYFUNCTION("""COMPUTED_VALUE"""),"UGC04305")</f>
        <v>UGC04305</v>
      </c>
      <c r="B356" s="4">
        <f>IFERROR(__xludf.DUMMYFUNCTION("""COMPUTED_VALUE"""),3.45)</f>
        <v>3.45</v>
      </c>
      <c r="C356" s="4">
        <f>IFERROR(__xludf.DUMMYFUNCTION("""COMPUTED_VALUE"""),4.52)</f>
        <v>4.52</v>
      </c>
      <c r="D356" s="4">
        <f>IFERROR(__xludf.DUMMYFUNCTION("""COMPUTED_VALUE"""),35.1)</f>
        <v>35.1</v>
      </c>
      <c r="E356" s="4">
        <f>IFERROR(__xludf.DUMMYFUNCTION("""COMPUTED_VALUE"""),3.12)</f>
        <v>3.12</v>
      </c>
      <c r="F356" s="4">
        <f>IFERROR(__xludf.DUMMYFUNCTION("""COMPUTED_VALUE"""),25.99)</f>
        <v>25.99</v>
      </c>
      <c r="G356" s="4">
        <f>IFERROR(__xludf.DUMMYFUNCTION("""COMPUTED_VALUE"""),29.51)</f>
        <v>29.51</v>
      </c>
      <c r="H356" s="4">
        <f>IFERROR(__xludf.DUMMYFUNCTION("""COMPUTED_VALUE"""),0.0)</f>
        <v>0</v>
      </c>
      <c r="I356" s="4">
        <f>IFERROR(__xludf.DUMMYFUNCTION("""COMPUTED_VALUE"""),1.74)</f>
        <v>1.74</v>
      </c>
      <c r="J356" s="4">
        <f>IFERROR(__xludf.DUMMYFUNCTION("""COMPUTED_VALUE"""),0.0)</f>
        <v>0</v>
      </c>
      <c r="K356" s="4">
        <f>IFERROR(__xludf.DUMMYFUNCTION("""COMPUTED_VALUE"""),1546.3202)</f>
        <v>1546.3202</v>
      </c>
      <c r="L356" s="4">
        <f>IFERROR(__xludf.DUMMYFUNCTION("""COMPUTED_VALUE"""),0.7967366655366721)</f>
        <v>0.7967366655</v>
      </c>
    </row>
    <row r="357">
      <c r="A357" s="4" t="str">
        <f>IFERROR(__xludf.DUMMYFUNCTION("""COMPUTED_VALUE"""),"UGC04305")</f>
        <v>UGC04305</v>
      </c>
      <c r="B357" s="4">
        <f>IFERROR(__xludf.DUMMYFUNCTION("""COMPUTED_VALUE"""),3.45)</f>
        <v>3.45</v>
      </c>
      <c r="C357" s="4">
        <f>IFERROR(__xludf.DUMMYFUNCTION("""COMPUTED_VALUE"""),4.77)</f>
        <v>4.77</v>
      </c>
      <c r="D357" s="4">
        <f>IFERROR(__xludf.DUMMYFUNCTION("""COMPUTED_VALUE"""),35.3)</f>
        <v>35.3</v>
      </c>
      <c r="E357" s="4">
        <f>IFERROR(__xludf.DUMMYFUNCTION("""COMPUTED_VALUE"""),3.12)</f>
        <v>3.12</v>
      </c>
      <c r="F357" s="4">
        <f>IFERROR(__xludf.DUMMYFUNCTION("""COMPUTED_VALUE"""),26.59)</f>
        <v>26.59</v>
      </c>
      <c r="G357" s="4">
        <f>IFERROR(__xludf.DUMMYFUNCTION("""COMPUTED_VALUE"""),29.25)</f>
        <v>29.25</v>
      </c>
      <c r="H357" s="4">
        <f>IFERROR(__xludf.DUMMYFUNCTION("""COMPUTED_VALUE"""),0.0)</f>
        <v>0</v>
      </c>
      <c r="I357" s="4">
        <f>IFERROR(__xludf.DUMMYFUNCTION("""COMPUTED_VALUE"""),1.45)</f>
        <v>1.45</v>
      </c>
      <c r="J357" s="4">
        <f>IFERROR(__xludf.DUMMYFUNCTION("""COMPUTED_VALUE"""),0.0)</f>
        <v>0</v>
      </c>
      <c r="K357" s="4">
        <f>IFERROR(__xludf.DUMMYFUNCTION("""COMPUTED_VALUE"""),1562.5906)</f>
        <v>1562.5906</v>
      </c>
      <c r="L357" s="4">
        <f>IFERROR(__xludf.DUMMYFUNCTION("""COMPUTED_VALUE"""),0.797451360580308)</f>
        <v>0.7974513606</v>
      </c>
    </row>
    <row r="358">
      <c r="A358" s="4" t="str">
        <f>IFERROR(__xludf.DUMMYFUNCTION("""COMPUTED_VALUE"""),"UGC04305")</f>
        <v>UGC04305</v>
      </c>
      <c r="B358" s="4">
        <f>IFERROR(__xludf.DUMMYFUNCTION("""COMPUTED_VALUE"""),3.45)</f>
        <v>3.45</v>
      </c>
      <c r="C358" s="4">
        <f>IFERROR(__xludf.DUMMYFUNCTION("""COMPUTED_VALUE"""),5.02)</f>
        <v>5.02</v>
      </c>
      <c r="D358" s="4">
        <f>IFERROR(__xludf.DUMMYFUNCTION("""COMPUTED_VALUE"""),35.2)</f>
        <v>35.2</v>
      </c>
      <c r="E358" s="4">
        <f>IFERROR(__xludf.DUMMYFUNCTION("""COMPUTED_VALUE"""),3.13)</f>
        <v>3.13</v>
      </c>
      <c r="F358" s="4">
        <f>IFERROR(__xludf.DUMMYFUNCTION("""COMPUTED_VALUE"""),26.9)</f>
        <v>26.9</v>
      </c>
      <c r="G358" s="4">
        <f>IFERROR(__xludf.DUMMYFUNCTION("""COMPUTED_VALUE"""),29.1)</f>
        <v>29.1</v>
      </c>
      <c r="H358" s="4">
        <f>IFERROR(__xludf.DUMMYFUNCTION("""COMPUTED_VALUE"""),0.0)</f>
        <v>0</v>
      </c>
      <c r="I358" s="4">
        <f>IFERROR(__xludf.DUMMYFUNCTION("""COMPUTED_VALUE"""),1.14)</f>
        <v>1.14</v>
      </c>
      <c r="J358" s="4">
        <f>IFERROR(__xludf.DUMMYFUNCTION("""COMPUTED_VALUE"""),0.0)</f>
        <v>0</v>
      </c>
      <c r="K358" s="4">
        <f>IFERROR(__xludf.DUMMYFUNCTION("""COMPUTED_VALUE"""),1570.42)</f>
        <v>1570.42</v>
      </c>
      <c r="L358" s="4">
        <f>IFERROR(__xludf.DUMMYFUNCTION("""COMPUTED_VALUE"""),0.7889863858076185)</f>
        <v>0.7889863858</v>
      </c>
    </row>
    <row r="359">
      <c r="A359" s="4" t="str">
        <f>IFERROR(__xludf.DUMMYFUNCTION("""COMPUTED_VALUE"""),"UGC04305")</f>
        <v>UGC04305</v>
      </c>
      <c r="B359" s="4">
        <f>IFERROR(__xludf.DUMMYFUNCTION("""COMPUTED_VALUE"""),3.45)</f>
        <v>3.45</v>
      </c>
      <c r="C359" s="4">
        <f>IFERROR(__xludf.DUMMYFUNCTION("""COMPUTED_VALUE"""),5.27)</f>
        <v>5.27</v>
      </c>
      <c r="D359" s="4">
        <f>IFERROR(__xludf.DUMMYFUNCTION("""COMPUTED_VALUE"""),34.6)</f>
        <v>34.6</v>
      </c>
      <c r="E359" s="4">
        <f>IFERROR(__xludf.DUMMYFUNCTION("""COMPUTED_VALUE"""),3.11)</f>
        <v>3.11</v>
      </c>
      <c r="F359" s="4">
        <f>IFERROR(__xludf.DUMMYFUNCTION("""COMPUTED_VALUE"""),27.2)</f>
        <v>27.2</v>
      </c>
      <c r="G359" s="4">
        <f>IFERROR(__xludf.DUMMYFUNCTION("""COMPUTED_VALUE"""),28.04)</f>
        <v>28.04</v>
      </c>
      <c r="H359" s="4">
        <f>IFERROR(__xludf.DUMMYFUNCTION("""COMPUTED_VALUE"""),0.0)</f>
        <v>0</v>
      </c>
      <c r="I359" s="4">
        <f>IFERROR(__xludf.DUMMYFUNCTION("""COMPUTED_VALUE"""),0.0)</f>
        <v>0</v>
      </c>
      <c r="J359" s="4">
        <f>IFERROR(__xludf.DUMMYFUNCTION("""COMPUTED_VALUE"""),0.0)</f>
        <v>0</v>
      </c>
      <c r="K359" s="4">
        <f>IFERROR(__xludf.DUMMYFUNCTION("""COMPUTED_VALUE"""),1526.0816)</f>
        <v>1526.0816</v>
      </c>
      <c r="L359" s="4">
        <f>IFERROR(__xludf.DUMMYFUNCTION("""COMPUTED_VALUE"""),0.7844665711191329)</f>
        <v>0.7844665711</v>
      </c>
    </row>
    <row r="360">
      <c r="A360" s="5" t="str">
        <f>IFERROR(__xludf.DUMMYFUNCTION("""COMPUTED_VALUE"""),"UGC04305")</f>
        <v>UGC04305</v>
      </c>
      <c r="B360" s="5">
        <f>IFERROR(__xludf.DUMMYFUNCTION("""COMPUTED_VALUE"""),3.45)</f>
        <v>3.45</v>
      </c>
      <c r="C360" s="5">
        <f>IFERROR(__xludf.DUMMYFUNCTION("""COMPUTED_VALUE"""),5.52)</f>
        <v>5.52</v>
      </c>
      <c r="D360" s="5">
        <f>IFERROR(__xludf.DUMMYFUNCTION("""COMPUTED_VALUE"""),33.0)</f>
        <v>33</v>
      </c>
      <c r="E360" s="5">
        <f>IFERROR(__xludf.DUMMYFUNCTION("""COMPUTED_VALUE"""),3.11)</f>
        <v>3.11</v>
      </c>
      <c r="F360" s="5">
        <f>IFERROR(__xludf.DUMMYFUNCTION("""COMPUTED_VALUE"""),27.3)</f>
        <v>27.3</v>
      </c>
      <c r="G360" s="5">
        <f>IFERROR(__xludf.DUMMYFUNCTION("""COMPUTED_VALUE"""),26.8)</f>
        <v>26.8</v>
      </c>
      <c r="H360" s="5">
        <f>IFERROR(__xludf.DUMMYFUNCTION("""COMPUTED_VALUE"""),0.0)</f>
        <v>0</v>
      </c>
      <c r="I360" s="5">
        <f>IFERROR(__xludf.DUMMYFUNCTION("""COMPUTED_VALUE"""),0.0)</f>
        <v>0</v>
      </c>
      <c r="J360" s="5">
        <f>IFERROR(__xludf.DUMMYFUNCTION("""COMPUTED_VALUE"""),0.0)</f>
        <v>0</v>
      </c>
      <c r="K360" s="5">
        <f>IFERROR(__xludf.DUMMYFUNCTION("""COMPUTED_VALUE"""),1463.5300000000002)</f>
        <v>1463.53</v>
      </c>
      <c r="L360" s="5">
        <f>IFERROR(__xludf.DUMMYFUNCTION("""COMPUTED_VALUE"""),0.7440913407993002)</f>
        <v>0.7440913408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4" t="str">
        <f>IFERROR(__xludf.DUMMYFUNCTION("""COMPUTED_VALUE"""),"UGC04483")</f>
        <v>UGC04483</v>
      </c>
      <c r="B361" s="4">
        <f>IFERROR(__xludf.DUMMYFUNCTION("""COMPUTED_VALUE"""),3.34)</f>
        <v>3.34</v>
      </c>
      <c r="C361" s="4">
        <f>IFERROR(__xludf.DUMMYFUNCTION("""COMPUTED_VALUE"""),0.08)</f>
        <v>0.08</v>
      </c>
      <c r="D361" s="4">
        <f>IFERROR(__xludf.DUMMYFUNCTION("""COMPUTED_VALUE"""),5.11)</f>
        <v>5.11</v>
      </c>
      <c r="E361" s="4">
        <f>IFERROR(__xludf.DUMMYFUNCTION("""COMPUTED_VALUE"""),2.79)</f>
        <v>2.79</v>
      </c>
      <c r="F361" s="4">
        <f>IFERROR(__xludf.DUMMYFUNCTION("""COMPUTED_VALUE"""),1.47)</f>
        <v>1.47</v>
      </c>
      <c r="G361" s="4">
        <f>IFERROR(__xludf.DUMMYFUNCTION("""COMPUTED_VALUE"""),3.91)</f>
        <v>3.91</v>
      </c>
      <c r="H361" s="4">
        <f>IFERROR(__xludf.DUMMYFUNCTION("""COMPUTED_VALUE"""),0.0)</f>
        <v>0</v>
      </c>
      <c r="I361" s="4">
        <f>IFERROR(__xludf.DUMMYFUNCTION("""COMPUTED_VALUE"""),41.7)</f>
        <v>41.7</v>
      </c>
      <c r="J361" s="4">
        <f>IFERROR(__xludf.DUMMYFUNCTION("""COMPUTED_VALUE"""),0.0)</f>
        <v>0</v>
      </c>
      <c r="K361" s="4">
        <f>IFERROR(__xludf.DUMMYFUNCTION("""COMPUTED_VALUE"""),17.449)</f>
        <v>17.449</v>
      </c>
      <c r="L361" s="4">
        <f>IFERROR(__xludf.DUMMYFUNCTION("""COMPUTED_VALUE"""),1.4964811737062296)</f>
        <v>1.496481174</v>
      </c>
    </row>
    <row r="362">
      <c r="A362" s="4" t="str">
        <f>IFERROR(__xludf.DUMMYFUNCTION("""COMPUTED_VALUE"""),"UGC04483")</f>
        <v>UGC04483</v>
      </c>
      <c r="B362" s="4">
        <f>IFERROR(__xludf.DUMMYFUNCTION("""COMPUTED_VALUE"""),3.34)</f>
        <v>3.34</v>
      </c>
      <c r="C362" s="4">
        <f>IFERROR(__xludf.DUMMYFUNCTION("""COMPUTED_VALUE"""),0.24)</f>
        <v>0.24</v>
      </c>
      <c r="D362" s="4">
        <f>IFERROR(__xludf.DUMMYFUNCTION("""COMPUTED_VALUE"""),10.8)</f>
        <v>10.8</v>
      </c>
      <c r="E362" s="4">
        <f>IFERROR(__xludf.DUMMYFUNCTION("""COMPUTED_VALUE"""),1.94)</f>
        <v>1.94</v>
      </c>
      <c r="F362" s="4">
        <f>IFERROR(__xludf.DUMMYFUNCTION("""COMPUTED_VALUE"""),4.46)</f>
        <v>4.46</v>
      </c>
      <c r="G362" s="4">
        <f>IFERROR(__xludf.DUMMYFUNCTION("""COMPUTED_VALUE"""),8.92)</f>
        <v>8.92</v>
      </c>
      <c r="H362" s="4">
        <f>IFERROR(__xludf.DUMMYFUNCTION("""COMPUTED_VALUE"""),0.0)</f>
        <v>0</v>
      </c>
      <c r="I362" s="4">
        <f>IFERROR(__xludf.DUMMYFUNCTION("""COMPUTED_VALUE"""),19.51)</f>
        <v>19.51</v>
      </c>
      <c r="J362" s="4">
        <f>IFERROR(__xludf.DUMMYFUNCTION("""COMPUTED_VALUE"""),0.0)</f>
        <v>0</v>
      </c>
      <c r="K362" s="4">
        <f>IFERROR(__xludf.DUMMYFUNCTION("""COMPUTED_VALUE"""),99.458)</f>
        <v>99.458</v>
      </c>
      <c r="L362" s="4">
        <f>IFERROR(__xludf.DUMMYFUNCTION("""COMPUTED_VALUE"""),1.1727563393593277)</f>
        <v>1.172756339</v>
      </c>
    </row>
    <row r="363">
      <c r="A363" s="4" t="str">
        <f>IFERROR(__xludf.DUMMYFUNCTION("""COMPUTED_VALUE"""),"UGC04483")</f>
        <v>UGC04483</v>
      </c>
      <c r="B363" s="4">
        <f>IFERROR(__xludf.DUMMYFUNCTION("""COMPUTED_VALUE"""),3.34)</f>
        <v>3.34</v>
      </c>
      <c r="C363" s="4">
        <f>IFERROR(__xludf.DUMMYFUNCTION("""COMPUTED_VALUE"""),0.4)</f>
        <v>0.4</v>
      </c>
      <c r="D363" s="4">
        <f>IFERROR(__xludf.DUMMYFUNCTION("""COMPUTED_VALUE"""),17.3)</f>
        <v>17.3</v>
      </c>
      <c r="E363" s="4">
        <f>IFERROR(__xludf.DUMMYFUNCTION("""COMPUTED_VALUE"""),1.56)</f>
        <v>1.56</v>
      </c>
      <c r="F363" s="4">
        <f>IFERROR(__xludf.DUMMYFUNCTION("""COMPUTED_VALUE"""),7.28)</f>
        <v>7.28</v>
      </c>
      <c r="G363" s="4">
        <f>IFERROR(__xludf.DUMMYFUNCTION("""COMPUTED_VALUE"""),9.95)</f>
        <v>9.95</v>
      </c>
      <c r="H363" s="4">
        <f>IFERROR(__xludf.DUMMYFUNCTION("""COMPUTED_VALUE"""),0.0)</f>
        <v>0</v>
      </c>
      <c r="I363" s="4">
        <f>IFERROR(__xludf.DUMMYFUNCTION("""COMPUTED_VALUE"""),6.19)</f>
        <v>6.19</v>
      </c>
      <c r="J363" s="4">
        <f>IFERROR(__xludf.DUMMYFUNCTION("""COMPUTED_VALUE"""),0.0)</f>
        <v>0</v>
      </c>
      <c r="K363" s="4">
        <f>IFERROR(__xludf.DUMMYFUNCTION("""COMPUTED_VALUE"""),152.0009)</f>
        <v>152.0009</v>
      </c>
      <c r="L363" s="4">
        <f>IFERROR(__xludf.DUMMYFUNCTION("""COMPUTED_VALUE"""),1.9690014993332277)</f>
        <v>1.969001499</v>
      </c>
    </row>
    <row r="364">
      <c r="A364" s="4" t="str">
        <f>IFERROR(__xludf.DUMMYFUNCTION("""COMPUTED_VALUE"""),"UGC04483")</f>
        <v>UGC04483</v>
      </c>
      <c r="B364" s="4">
        <f>IFERROR(__xludf.DUMMYFUNCTION("""COMPUTED_VALUE"""),3.34)</f>
        <v>3.34</v>
      </c>
      <c r="C364" s="4">
        <f>IFERROR(__xludf.DUMMYFUNCTION("""COMPUTED_VALUE"""),0.57)</f>
        <v>0.57</v>
      </c>
      <c r="D364" s="4">
        <f>IFERROR(__xludf.DUMMYFUNCTION("""COMPUTED_VALUE"""),20.8)</f>
        <v>20.8</v>
      </c>
      <c r="E364" s="4">
        <f>IFERROR(__xludf.DUMMYFUNCTION("""COMPUTED_VALUE"""),1.25)</f>
        <v>1.25</v>
      </c>
      <c r="F364" s="4">
        <f>IFERROR(__xludf.DUMMYFUNCTION("""COMPUTED_VALUE"""),9.38)</f>
        <v>9.38</v>
      </c>
      <c r="G364" s="4">
        <f>IFERROR(__xludf.DUMMYFUNCTION("""COMPUTED_VALUE"""),9.7)</f>
        <v>9.7</v>
      </c>
      <c r="H364" s="4">
        <f>IFERROR(__xludf.DUMMYFUNCTION("""COMPUTED_VALUE"""),0.0)</f>
        <v>0</v>
      </c>
      <c r="I364" s="4">
        <f>IFERROR(__xludf.DUMMYFUNCTION("""COMPUTED_VALUE"""),2.73)</f>
        <v>2.73</v>
      </c>
      <c r="J364" s="4">
        <f>IFERROR(__xludf.DUMMYFUNCTION("""COMPUTED_VALUE"""),0.0)</f>
        <v>0</v>
      </c>
      <c r="K364" s="4">
        <f>IFERROR(__xludf.DUMMYFUNCTION("""COMPUTED_VALUE"""),182.0744)</f>
        <v>182.0744</v>
      </c>
      <c r="L364" s="4">
        <f>IFERROR(__xludf.DUMMYFUNCTION("""COMPUTED_VALUE"""),2.3761714991234357)</f>
        <v>2.376171499</v>
      </c>
    </row>
    <row r="365">
      <c r="A365" s="4" t="str">
        <f>IFERROR(__xludf.DUMMYFUNCTION("""COMPUTED_VALUE"""),"UGC04483")</f>
        <v>UGC04483</v>
      </c>
      <c r="B365" s="4">
        <f>IFERROR(__xludf.DUMMYFUNCTION("""COMPUTED_VALUE"""),3.34)</f>
        <v>3.34</v>
      </c>
      <c r="C365" s="4">
        <f>IFERROR(__xludf.DUMMYFUNCTION("""COMPUTED_VALUE"""),0.73)</f>
        <v>0.73</v>
      </c>
      <c r="D365" s="4">
        <f>IFERROR(__xludf.DUMMYFUNCTION("""COMPUTED_VALUE"""),20.8)</f>
        <v>20.8</v>
      </c>
      <c r="E365" s="4">
        <f>IFERROR(__xludf.DUMMYFUNCTION("""COMPUTED_VALUE"""),1.62)</f>
        <v>1.62</v>
      </c>
      <c r="F365" s="4">
        <f>IFERROR(__xludf.DUMMYFUNCTION("""COMPUTED_VALUE"""),10.63)</f>
        <v>10.63</v>
      </c>
      <c r="G365" s="4">
        <f>IFERROR(__xludf.DUMMYFUNCTION("""COMPUTED_VALUE"""),9.13)</f>
        <v>9.13</v>
      </c>
      <c r="H365" s="4">
        <f>IFERROR(__xludf.DUMMYFUNCTION("""COMPUTED_VALUE"""),0.0)</f>
        <v>0</v>
      </c>
      <c r="I365" s="4">
        <f>IFERROR(__xludf.DUMMYFUNCTION("""COMPUTED_VALUE"""),1.13)</f>
        <v>1.13</v>
      </c>
      <c r="J365" s="4">
        <f>IFERROR(__xludf.DUMMYFUNCTION("""COMPUTED_VALUE"""),0.0)</f>
        <v>0</v>
      </c>
      <c r="K365" s="4">
        <f>IFERROR(__xludf.DUMMYFUNCTION("""COMPUTED_VALUE"""),196.35380000000004)</f>
        <v>196.3538</v>
      </c>
      <c r="L365" s="4">
        <f>IFERROR(__xludf.DUMMYFUNCTION("""COMPUTED_VALUE"""),2.2033696317565536)</f>
        <v>2.203369632</v>
      </c>
    </row>
    <row r="366">
      <c r="A366" s="4" t="str">
        <f>IFERROR(__xludf.DUMMYFUNCTION("""COMPUTED_VALUE"""),"UGC04483")</f>
        <v>UGC04483</v>
      </c>
      <c r="B366" s="4">
        <f>IFERROR(__xludf.DUMMYFUNCTION("""COMPUTED_VALUE"""),3.34)</f>
        <v>3.34</v>
      </c>
      <c r="C366" s="4">
        <f>IFERROR(__xludf.DUMMYFUNCTION("""COMPUTED_VALUE"""),0.89)</f>
        <v>0.89</v>
      </c>
      <c r="D366" s="4">
        <f>IFERROR(__xludf.DUMMYFUNCTION("""COMPUTED_VALUE"""),22.9)</f>
        <v>22.9</v>
      </c>
      <c r="E366" s="4">
        <f>IFERROR(__xludf.DUMMYFUNCTION("""COMPUTED_VALUE"""),1.76)</f>
        <v>1.76</v>
      </c>
      <c r="F366" s="4">
        <f>IFERROR(__xludf.DUMMYFUNCTION("""COMPUTED_VALUE"""),11.34)</f>
        <v>11.34</v>
      </c>
      <c r="G366" s="4">
        <f>IFERROR(__xludf.DUMMYFUNCTION("""COMPUTED_VALUE"""),8.44)</f>
        <v>8.44</v>
      </c>
      <c r="H366" s="4">
        <f>IFERROR(__xludf.DUMMYFUNCTION("""COMPUTED_VALUE"""),0.0)</f>
        <v>0</v>
      </c>
      <c r="I366" s="4">
        <f>IFERROR(__xludf.DUMMYFUNCTION("""COMPUTED_VALUE"""),0.46)</f>
        <v>0.46</v>
      </c>
      <c r="J366" s="4">
        <f>IFERROR(__xludf.DUMMYFUNCTION("""COMPUTED_VALUE"""),0.0)</f>
        <v>0</v>
      </c>
      <c r="K366" s="4">
        <f>IFERROR(__xludf.DUMMYFUNCTION("""COMPUTED_VALUE"""),199.8292)</f>
        <v>199.8292</v>
      </c>
      <c r="L366" s="4">
        <f>IFERROR(__xludf.DUMMYFUNCTION("""COMPUTED_VALUE"""),2.6242911446375206)</f>
        <v>2.624291145</v>
      </c>
    </row>
    <row r="367">
      <c r="A367" s="4" t="str">
        <f>IFERROR(__xludf.DUMMYFUNCTION("""COMPUTED_VALUE"""),"UGC04483")</f>
        <v>UGC04483</v>
      </c>
      <c r="B367" s="4">
        <f>IFERROR(__xludf.DUMMYFUNCTION("""COMPUTED_VALUE"""),3.34)</f>
        <v>3.34</v>
      </c>
      <c r="C367" s="4">
        <f>IFERROR(__xludf.DUMMYFUNCTION("""COMPUTED_VALUE"""),1.05)</f>
        <v>1.05</v>
      </c>
      <c r="D367" s="4">
        <f>IFERROR(__xludf.DUMMYFUNCTION("""COMPUTED_VALUE"""),24.3)</f>
        <v>24.3</v>
      </c>
      <c r="E367" s="4">
        <f>IFERROR(__xludf.DUMMYFUNCTION("""COMPUTED_VALUE"""),2.23)</f>
        <v>2.23</v>
      </c>
      <c r="F367" s="4">
        <f>IFERROR(__xludf.DUMMYFUNCTION("""COMPUTED_VALUE"""),11.95)</f>
        <v>11.95</v>
      </c>
      <c r="G367" s="4">
        <f>IFERROR(__xludf.DUMMYFUNCTION("""COMPUTED_VALUE"""),7.79)</f>
        <v>7.79</v>
      </c>
      <c r="H367" s="4">
        <f>IFERROR(__xludf.DUMMYFUNCTION("""COMPUTED_VALUE"""),0.0)</f>
        <v>0</v>
      </c>
      <c r="I367" s="4">
        <f>IFERROR(__xludf.DUMMYFUNCTION("""COMPUTED_VALUE"""),0.19)</f>
        <v>0.19</v>
      </c>
      <c r="J367" s="4">
        <f>IFERROR(__xludf.DUMMYFUNCTION("""COMPUTED_VALUE"""),0.0)</f>
        <v>0</v>
      </c>
      <c r="K367" s="4">
        <f>IFERROR(__xludf.DUMMYFUNCTION("""COMPUTED_VALUE"""),203.48659999999998)</f>
        <v>203.4866</v>
      </c>
      <c r="L367" s="4">
        <f>IFERROR(__xludf.DUMMYFUNCTION("""COMPUTED_VALUE"""),2.901861842499703)</f>
        <v>2.901861842</v>
      </c>
    </row>
    <row r="368">
      <c r="A368" s="5" t="str">
        <f>IFERROR(__xludf.DUMMYFUNCTION("""COMPUTED_VALUE"""),"UGC04483")</f>
        <v>UGC04483</v>
      </c>
      <c r="B368" s="5">
        <f>IFERROR(__xludf.DUMMYFUNCTION("""COMPUTED_VALUE"""),3.34)</f>
        <v>3.34</v>
      </c>
      <c r="C368" s="5">
        <f>IFERROR(__xludf.DUMMYFUNCTION("""COMPUTED_VALUE"""),1.21)</f>
        <v>1.21</v>
      </c>
      <c r="D368" s="5">
        <f>IFERROR(__xludf.DUMMYFUNCTION("""COMPUTED_VALUE"""),24.2)</f>
        <v>24.2</v>
      </c>
      <c r="E368" s="5">
        <f>IFERROR(__xludf.DUMMYFUNCTION("""COMPUTED_VALUE"""),1.23)</f>
        <v>1.23</v>
      </c>
      <c r="F368" s="5">
        <f>IFERROR(__xludf.DUMMYFUNCTION("""COMPUTED_VALUE"""),12.36)</f>
        <v>12.36</v>
      </c>
      <c r="G368" s="5">
        <f>IFERROR(__xludf.DUMMYFUNCTION("""COMPUTED_VALUE"""),7.22)</f>
        <v>7.22</v>
      </c>
      <c r="H368" s="5">
        <f>IFERROR(__xludf.DUMMYFUNCTION("""COMPUTED_VALUE"""),0.0)</f>
        <v>0</v>
      </c>
      <c r="I368" s="5">
        <f>IFERROR(__xludf.DUMMYFUNCTION("""COMPUTED_VALUE"""),0.0)</f>
        <v>0</v>
      </c>
      <c r="J368" s="5">
        <f>IFERROR(__xludf.DUMMYFUNCTION("""COMPUTED_VALUE"""),0.0)</f>
        <v>0</v>
      </c>
      <c r="K368" s="5">
        <f>IFERROR(__xludf.DUMMYFUNCTION("""COMPUTED_VALUE"""),204.898)</f>
        <v>204.898</v>
      </c>
      <c r="L368" s="5">
        <f>IFERROR(__xludf.DUMMYFUNCTION("""COMPUTED_VALUE"""),2.8582026178879247)</f>
        <v>2.858202618</v>
      </c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4" t="str">
        <f>IFERROR(__xludf.DUMMYFUNCTION("""COMPUTED_VALUE"""),"UGC05716")</f>
        <v>UGC05716</v>
      </c>
      <c r="B369" s="4">
        <f>IFERROR(__xludf.DUMMYFUNCTION("""COMPUTED_VALUE"""),21.3)</f>
        <v>21.3</v>
      </c>
      <c r="C369" s="4">
        <f>IFERROR(__xludf.DUMMYFUNCTION("""COMPUTED_VALUE"""),1.03)</f>
        <v>1.03</v>
      </c>
      <c r="D369" s="4">
        <f>IFERROR(__xludf.DUMMYFUNCTION("""COMPUTED_VALUE"""),39.15)</f>
        <v>39.15</v>
      </c>
      <c r="E369" s="4">
        <f>IFERROR(__xludf.DUMMYFUNCTION("""COMPUTED_VALUE"""),4.06)</f>
        <v>4.06</v>
      </c>
      <c r="F369" s="4">
        <f>IFERROR(__xludf.DUMMYFUNCTION("""COMPUTED_VALUE"""),3.65)</f>
        <v>3.65</v>
      </c>
      <c r="G369" s="4">
        <f>IFERROR(__xludf.DUMMYFUNCTION("""COMPUTED_VALUE"""),21.66)</f>
        <v>21.66</v>
      </c>
      <c r="H369" s="4">
        <f>IFERROR(__xludf.DUMMYFUNCTION("""COMPUTED_VALUE"""),0.0)</f>
        <v>0</v>
      </c>
      <c r="I369" s="4">
        <f>IFERROR(__xludf.DUMMYFUNCTION("""COMPUTED_VALUE"""),30.68)</f>
        <v>30.68</v>
      </c>
      <c r="J369" s="4">
        <f>IFERROR(__xludf.DUMMYFUNCTION("""COMPUTED_VALUE"""),0.0)</f>
        <v>0</v>
      </c>
      <c r="K369" s="4">
        <f>IFERROR(__xludf.DUMMYFUNCTION("""COMPUTED_VALUE"""),482.4781)</f>
        <v>482.4781</v>
      </c>
      <c r="L369" s="4">
        <f>IFERROR(__xludf.DUMMYFUNCTION("""COMPUTED_VALUE"""),3.1767711322026844)</f>
        <v>3.176771132</v>
      </c>
    </row>
    <row r="370">
      <c r="A370" s="4" t="str">
        <f>IFERROR(__xludf.DUMMYFUNCTION("""COMPUTED_VALUE"""),"UGC05716")</f>
        <v>UGC05716</v>
      </c>
      <c r="B370" s="4">
        <f>IFERROR(__xludf.DUMMYFUNCTION("""COMPUTED_VALUE"""),21.3)</f>
        <v>21.3</v>
      </c>
      <c r="C370" s="4">
        <f>IFERROR(__xludf.DUMMYFUNCTION("""COMPUTED_VALUE"""),2.07)</f>
        <v>2.07</v>
      </c>
      <c r="D370" s="4">
        <f>IFERROR(__xludf.DUMMYFUNCTION("""COMPUTED_VALUE"""),49.15)</f>
        <v>49.15</v>
      </c>
      <c r="E370" s="4">
        <f>IFERROR(__xludf.DUMMYFUNCTION("""COMPUTED_VALUE"""),1.65)</f>
        <v>1.65</v>
      </c>
      <c r="F370" s="4">
        <f>IFERROR(__xludf.DUMMYFUNCTION("""COMPUTED_VALUE"""),7.45)</f>
        <v>7.45</v>
      </c>
      <c r="G370" s="4">
        <f>IFERROR(__xludf.DUMMYFUNCTION("""COMPUTED_VALUE"""),27.59)</f>
        <v>27.59</v>
      </c>
      <c r="H370" s="4">
        <f>IFERROR(__xludf.DUMMYFUNCTION("""COMPUTED_VALUE"""),0.0)</f>
        <v>0</v>
      </c>
      <c r="I370" s="4">
        <f>IFERROR(__xludf.DUMMYFUNCTION("""COMPUTED_VALUE"""),10.3)</f>
        <v>10.3</v>
      </c>
      <c r="J370" s="4">
        <f>IFERROR(__xludf.DUMMYFUNCTION("""COMPUTED_VALUE"""),0.0)</f>
        <v>0</v>
      </c>
      <c r="K370" s="4">
        <f>IFERROR(__xludf.DUMMYFUNCTION("""COMPUTED_VALUE"""),816.7106)</f>
        <v>816.7106</v>
      </c>
      <c r="L370" s="4">
        <f>IFERROR(__xludf.DUMMYFUNCTION("""COMPUTED_VALUE"""),2.9578684297718185)</f>
        <v>2.95786843</v>
      </c>
    </row>
    <row r="371">
      <c r="A371" s="4" t="str">
        <f>IFERROR(__xludf.DUMMYFUNCTION("""COMPUTED_VALUE"""),"UGC05716")</f>
        <v>UGC05716</v>
      </c>
      <c r="B371" s="4">
        <f>IFERROR(__xludf.DUMMYFUNCTION("""COMPUTED_VALUE"""),21.3)</f>
        <v>21.3</v>
      </c>
      <c r="C371" s="4">
        <f>IFERROR(__xludf.DUMMYFUNCTION("""COMPUTED_VALUE"""),3.09)</f>
        <v>3.09</v>
      </c>
      <c r="D371" s="4">
        <f>IFERROR(__xludf.DUMMYFUNCTION("""COMPUTED_VALUE"""),55.05)</f>
        <v>55.05</v>
      </c>
      <c r="E371" s="4">
        <f>IFERROR(__xludf.DUMMYFUNCTION("""COMPUTED_VALUE"""),0.6)</f>
        <v>0.6</v>
      </c>
      <c r="F371" s="4">
        <f>IFERROR(__xludf.DUMMYFUNCTION("""COMPUTED_VALUE"""),11.19)</f>
        <v>11.19</v>
      </c>
      <c r="G371" s="4">
        <f>IFERROR(__xludf.DUMMYFUNCTION("""COMPUTED_VALUE"""),26.88)</f>
        <v>26.88</v>
      </c>
      <c r="H371" s="4">
        <f>IFERROR(__xludf.DUMMYFUNCTION("""COMPUTED_VALUE"""),0.0)</f>
        <v>0</v>
      </c>
      <c r="I371" s="4">
        <f>IFERROR(__xludf.DUMMYFUNCTION("""COMPUTED_VALUE"""),4.2)</f>
        <v>4.2</v>
      </c>
      <c r="J371" s="4">
        <f>IFERROR(__xludf.DUMMYFUNCTION("""COMPUTED_VALUE"""),0.0)</f>
        <v>0</v>
      </c>
      <c r="K371" s="4">
        <f>IFERROR(__xludf.DUMMYFUNCTION("""COMPUTED_VALUE"""),847.7504999999999)</f>
        <v>847.7505</v>
      </c>
      <c r="L371" s="4">
        <f>IFERROR(__xludf.DUMMYFUNCTION("""COMPUTED_VALUE"""),3.574757549538455)</f>
        <v>3.57475755</v>
      </c>
    </row>
    <row r="372">
      <c r="A372" s="4" t="str">
        <f>IFERROR(__xludf.DUMMYFUNCTION("""COMPUTED_VALUE"""),"UGC05716")</f>
        <v>UGC05716</v>
      </c>
      <c r="B372" s="4">
        <f>IFERROR(__xludf.DUMMYFUNCTION("""COMPUTED_VALUE"""),21.3)</f>
        <v>21.3</v>
      </c>
      <c r="C372" s="4">
        <f>IFERROR(__xludf.DUMMYFUNCTION("""COMPUTED_VALUE"""),4.13)</f>
        <v>4.13</v>
      </c>
      <c r="D372" s="4">
        <f>IFERROR(__xludf.DUMMYFUNCTION("""COMPUTED_VALUE"""),59.35)</f>
        <v>59.35</v>
      </c>
      <c r="E372" s="4">
        <f>IFERROR(__xludf.DUMMYFUNCTION("""COMPUTED_VALUE"""),0.41)</f>
        <v>0.41</v>
      </c>
      <c r="F372" s="4">
        <f>IFERROR(__xludf.DUMMYFUNCTION("""COMPUTED_VALUE"""),14.76)</f>
        <v>14.76</v>
      </c>
      <c r="G372" s="4">
        <f>IFERROR(__xludf.DUMMYFUNCTION("""COMPUTED_VALUE"""),25.3)</f>
        <v>25.3</v>
      </c>
      <c r="H372" s="4">
        <f>IFERROR(__xludf.DUMMYFUNCTION("""COMPUTED_VALUE"""),0.0)</f>
        <v>0</v>
      </c>
      <c r="I372" s="4">
        <f>IFERROR(__xludf.DUMMYFUNCTION("""COMPUTED_VALUE"""),2.03)</f>
        <v>2.03</v>
      </c>
      <c r="J372" s="4">
        <f>IFERROR(__xludf.DUMMYFUNCTION("""COMPUTED_VALUE"""),0.0)</f>
        <v>0</v>
      </c>
      <c r="K372" s="4">
        <f>IFERROR(__xludf.DUMMYFUNCTION("""COMPUTED_VALUE"""),857.9476)</f>
        <v>857.9476</v>
      </c>
      <c r="L372" s="4">
        <f>IFERROR(__xludf.DUMMYFUNCTION("""COMPUTED_VALUE"""),4.105638269749808)</f>
        <v>4.10563827</v>
      </c>
    </row>
    <row r="373">
      <c r="A373" s="4" t="str">
        <f>IFERROR(__xludf.DUMMYFUNCTION("""COMPUTED_VALUE"""),"UGC05716")</f>
        <v>UGC05716</v>
      </c>
      <c r="B373" s="4">
        <f>IFERROR(__xludf.DUMMYFUNCTION("""COMPUTED_VALUE"""),21.3)</f>
        <v>21.3</v>
      </c>
      <c r="C373" s="4">
        <f>IFERROR(__xludf.DUMMYFUNCTION("""COMPUTED_VALUE"""),5.16)</f>
        <v>5.16</v>
      </c>
      <c r="D373" s="4">
        <f>IFERROR(__xludf.DUMMYFUNCTION("""COMPUTED_VALUE"""),63.85)</f>
        <v>63.85</v>
      </c>
      <c r="E373" s="4">
        <f>IFERROR(__xludf.DUMMYFUNCTION("""COMPUTED_VALUE"""),0.46)</f>
        <v>0.46</v>
      </c>
      <c r="F373" s="4">
        <f>IFERROR(__xludf.DUMMYFUNCTION("""COMPUTED_VALUE"""),18.24)</f>
        <v>18.24</v>
      </c>
      <c r="G373" s="4">
        <f>IFERROR(__xludf.DUMMYFUNCTION("""COMPUTED_VALUE"""),24.0)</f>
        <v>24</v>
      </c>
      <c r="H373" s="4">
        <f>IFERROR(__xludf.DUMMYFUNCTION("""COMPUTED_VALUE"""),0.0)</f>
        <v>0</v>
      </c>
      <c r="I373" s="4">
        <f>IFERROR(__xludf.DUMMYFUNCTION("""COMPUTED_VALUE"""),0.95)</f>
        <v>0.95</v>
      </c>
      <c r="J373" s="4">
        <f>IFERROR(__xludf.DUMMYFUNCTION("""COMPUTED_VALUE"""),0.0)</f>
        <v>0</v>
      </c>
      <c r="K373" s="4">
        <f>IFERROR(__xludf.DUMMYFUNCTION("""COMPUTED_VALUE"""),908.6976)</f>
        <v>908.6976</v>
      </c>
      <c r="L373" s="4">
        <f>IFERROR(__xludf.DUMMYFUNCTION("""COMPUTED_VALUE"""),4.486445765896158)</f>
        <v>4.486445766</v>
      </c>
    </row>
    <row r="374">
      <c r="A374" s="4" t="str">
        <f>IFERROR(__xludf.DUMMYFUNCTION("""COMPUTED_VALUE"""),"UGC05716")</f>
        <v>UGC05716</v>
      </c>
      <c r="B374" s="4">
        <f>IFERROR(__xludf.DUMMYFUNCTION("""COMPUTED_VALUE"""),21.3)</f>
        <v>21.3</v>
      </c>
      <c r="C374" s="4">
        <f>IFERROR(__xludf.DUMMYFUNCTION("""COMPUTED_VALUE"""),6.2)</f>
        <v>6.2</v>
      </c>
      <c r="D374" s="4">
        <f>IFERROR(__xludf.DUMMYFUNCTION("""COMPUTED_VALUE"""),68.2)</f>
        <v>68.2</v>
      </c>
      <c r="E374" s="4">
        <f>IFERROR(__xludf.DUMMYFUNCTION("""COMPUTED_VALUE"""),0.86)</f>
        <v>0.86</v>
      </c>
      <c r="F374" s="4">
        <f>IFERROR(__xludf.DUMMYFUNCTION("""COMPUTED_VALUE"""),21.81)</f>
        <v>21.81</v>
      </c>
      <c r="G374" s="4">
        <f>IFERROR(__xludf.DUMMYFUNCTION("""COMPUTED_VALUE"""),21.76)</f>
        <v>21.76</v>
      </c>
      <c r="H374" s="4">
        <f>IFERROR(__xludf.DUMMYFUNCTION("""COMPUTED_VALUE"""),0.0)</f>
        <v>0</v>
      </c>
      <c r="I374" s="4">
        <f>IFERROR(__xludf.DUMMYFUNCTION("""COMPUTED_VALUE"""),0.28)</f>
        <v>0.28</v>
      </c>
      <c r="J374" s="4">
        <f>IFERROR(__xludf.DUMMYFUNCTION("""COMPUTED_VALUE"""),0.0)</f>
        <v>0</v>
      </c>
      <c r="K374" s="4">
        <f>IFERROR(__xludf.DUMMYFUNCTION("""COMPUTED_VALUE"""),949.1737)</f>
        <v>949.1737</v>
      </c>
      <c r="L374" s="4">
        <f>IFERROR(__xludf.DUMMYFUNCTION("""COMPUTED_VALUE"""),4.900304338394543)</f>
        <v>4.900304338</v>
      </c>
    </row>
    <row r="375">
      <c r="A375" s="4" t="str">
        <f>IFERROR(__xludf.DUMMYFUNCTION("""COMPUTED_VALUE"""),"UGC05716")</f>
        <v>UGC05716</v>
      </c>
      <c r="B375" s="4">
        <f>IFERROR(__xludf.DUMMYFUNCTION("""COMPUTED_VALUE"""),21.3)</f>
        <v>21.3</v>
      </c>
      <c r="C375" s="4">
        <f>IFERROR(__xludf.DUMMYFUNCTION("""COMPUTED_VALUE"""),7.23)</f>
        <v>7.23</v>
      </c>
      <c r="D375" s="4">
        <f>IFERROR(__xludf.DUMMYFUNCTION("""COMPUTED_VALUE"""),71.7)</f>
        <v>71.7</v>
      </c>
      <c r="E375" s="4">
        <f>IFERROR(__xludf.DUMMYFUNCTION("""COMPUTED_VALUE"""),1.07)</f>
        <v>1.07</v>
      </c>
      <c r="F375" s="4">
        <f>IFERROR(__xludf.DUMMYFUNCTION("""COMPUTED_VALUE"""),25.2)</f>
        <v>25.2</v>
      </c>
      <c r="G375" s="4">
        <f>IFERROR(__xludf.DUMMYFUNCTION("""COMPUTED_VALUE"""),19.92)</f>
        <v>19.92</v>
      </c>
      <c r="H375" s="4">
        <f>IFERROR(__xludf.DUMMYFUNCTION("""COMPUTED_VALUE"""),0.0)</f>
        <v>0</v>
      </c>
      <c r="I375" s="4">
        <f>IFERROR(__xludf.DUMMYFUNCTION("""COMPUTED_VALUE"""),0.12)</f>
        <v>0.12</v>
      </c>
      <c r="J375" s="4">
        <f>IFERROR(__xludf.DUMMYFUNCTION("""COMPUTED_VALUE"""),0.0)</f>
        <v>0</v>
      </c>
      <c r="K375" s="4">
        <f>IFERROR(__xludf.DUMMYFUNCTION("""COMPUTED_VALUE"""),1031.8464)</f>
        <v>1031.8464</v>
      </c>
      <c r="L375" s="4">
        <f>IFERROR(__xludf.DUMMYFUNCTION("""COMPUTED_VALUE"""),4.98222409847047)</f>
        <v>4.982224098</v>
      </c>
    </row>
    <row r="376">
      <c r="A376" s="4" t="str">
        <f>IFERROR(__xludf.DUMMYFUNCTION("""COMPUTED_VALUE"""),"UGC05716")</f>
        <v>UGC05716</v>
      </c>
      <c r="B376" s="4">
        <f>IFERROR(__xludf.DUMMYFUNCTION("""COMPUTED_VALUE"""),21.3)</f>
        <v>21.3</v>
      </c>
      <c r="C376" s="4">
        <f>IFERROR(__xludf.DUMMYFUNCTION("""COMPUTED_VALUE"""),8.26)</f>
        <v>8.26</v>
      </c>
      <c r="D376" s="4">
        <f>IFERROR(__xludf.DUMMYFUNCTION("""COMPUTED_VALUE"""),73.5)</f>
        <v>73.5</v>
      </c>
      <c r="E376" s="4">
        <f>IFERROR(__xludf.DUMMYFUNCTION("""COMPUTED_VALUE"""),1.07)</f>
        <v>1.07</v>
      </c>
      <c r="F376" s="4">
        <f>IFERROR(__xludf.DUMMYFUNCTION("""COMPUTED_VALUE"""),27.64)</f>
        <v>27.64</v>
      </c>
      <c r="G376" s="4">
        <f>IFERROR(__xludf.DUMMYFUNCTION("""COMPUTED_VALUE"""),18.42)</f>
        <v>18.42</v>
      </c>
      <c r="H376" s="4">
        <f>IFERROR(__xludf.DUMMYFUNCTION("""COMPUTED_VALUE"""),0.0)</f>
        <v>0</v>
      </c>
      <c r="I376" s="4">
        <f>IFERROR(__xludf.DUMMYFUNCTION("""COMPUTED_VALUE"""),0.05)</f>
        <v>0.05</v>
      </c>
      <c r="J376" s="4">
        <f>IFERROR(__xludf.DUMMYFUNCTION("""COMPUTED_VALUE"""),0.0)</f>
        <v>0</v>
      </c>
      <c r="K376" s="4">
        <f>IFERROR(__xludf.DUMMYFUNCTION("""COMPUTED_VALUE"""),1103.266)</f>
        <v>1103.266</v>
      </c>
      <c r="L376" s="4">
        <f>IFERROR(__xludf.DUMMYFUNCTION("""COMPUTED_VALUE"""),4.896597919268789)</f>
        <v>4.896597919</v>
      </c>
    </row>
    <row r="377">
      <c r="A377" s="4" t="str">
        <f>IFERROR(__xludf.DUMMYFUNCTION("""COMPUTED_VALUE"""),"UGC05716")</f>
        <v>UGC05716</v>
      </c>
      <c r="B377" s="4">
        <f>IFERROR(__xludf.DUMMYFUNCTION("""COMPUTED_VALUE"""),21.3)</f>
        <v>21.3</v>
      </c>
      <c r="C377" s="4">
        <f>IFERROR(__xludf.DUMMYFUNCTION("""COMPUTED_VALUE"""),9.28)</f>
        <v>9.28</v>
      </c>
      <c r="D377" s="4">
        <f>IFERROR(__xludf.DUMMYFUNCTION("""COMPUTED_VALUE"""),73.15)</f>
        <v>73.15</v>
      </c>
      <c r="E377" s="4">
        <f>IFERROR(__xludf.DUMMYFUNCTION("""COMPUTED_VALUE"""),1.0)</f>
        <v>1</v>
      </c>
      <c r="F377" s="4">
        <f>IFERROR(__xludf.DUMMYFUNCTION("""COMPUTED_VALUE"""),28.96)</f>
        <v>28.96</v>
      </c>
      <c r="G377" s="4">
        <f>IFERROR(__xludf.DUMMYFUNCTION("""COMPUTED_VALUE"""),17.21)</f>
        <v>17.21</v>
      </c>
      <c r="H377" s="4">
        <f>IFERROR(__xludf.DUMMYFUNCTION("""COMPUTED_VALUE"""),0.0)</f>
        <v>0</v>
      </c>
      <c r="I377" s="4">
        <f>IFERROR(__xludf.DUMMYFUNCTION("""COMPUTED_VALUE"""),0.02)</f>
        <v>0.02</v>
      </c>
      <c r="J377" s="4">
        <f>IFERROR(__xludf.DUMMYFUNCTION("""COMPUTED_VALUE"""),0.0)</f>
        <v>0</v>
      </c>
      <c r="K377" s="4">
        <f>IFERROR(__xludf.DUMMYFUNCTION("""COMPUTED_VALUE"""),1134.8657)</f>
        <v>1134.8657</v>
      </c>
      <c r="L377" s="4">
        <f>IFERROR(__xludf.DUMMYFUNCTION("""COMPUTED_VALUE"""),4.715027073247522)</f>
        <v>4.715027073</v>
      </c>
    </row>
    <row r="378">
      <c r="A378" s="4" t="str">
        <f>IFERROR(__xludf.DUMMYFUNCTION("""COMPUTED_VALUE"""),"UGC05716")</f>
        <v>UGC05716</v>
      </c>
      <c r="B378" s="4">
        <f>IFERROR(__xludf.DUMMYFUNCTION("""COMPUTED_VALUE"""),21.3)</f>
        <v>21.3</v>
      </c>
      <c r="C378" s="4">
        <f>IFERROR(__xludf.DUMMYFUNCTION("""COMPUTED_VALUE"""),10.34)</f>
        <v>10.34</v>
      </c>
      <c r="D378" s="4">
        <f>IFERROR(__xludf.DUMMYFUNCTION("""COMPUTED_VALUE"""),72.5)</f>
        <v>72.5</v>
      </c>
      <c r="E378" s="4">
        <f>IFERROR(__xludf.DUMMYFUNCTION("""COMPUTED_VALUE"""),0.74)</f>
        <v>0.74</v>
      </c>
      <c r="F378" s="4">
        <f>IFERROR(__xludf.DUMMYFUNCTION("""COMPUTED_VALUE"""),29.43)</f>
        <v>29.43</v>
      </c>
      <c r="G378" s="4">
        <f>IFERROR(__xludf.DUMMYFUNCTION("""COMPUTED_VALUE"""),16.16)</f>
        <v>16.16</v>
      </c>
      <c r="H378" s="4">
        <f>IFERROR(__xludf.DUMMYFUNCTION("""COMPUTED_VALUE"""),0.0)</f>
        <v>0</v>
      </c>
      <c r="I378" s="4">
        <f>IFERROR(__xludf.DUMMYFUNCTION("""COMPUTED_VALUE"""),0.01)</f>
        <v>0.01</v>
      </c>
      <c r="J378" s="4">
        <f>IFERROR(__xludf.DUMMYFUNCTION("""COMPUTED_VALUE"""),0.0)</f>
        <v>0</v>
      </c>
      <c r="K378" s="4">
        <f>IFERROR(__xludf.DUMMYFUNCTION("""COMPUTED_VALUE"""),1127.2705)</f>
        <v>1127.2705</v>
      </c>
      <c r="L378" s="4">
        <f>IFERROR(__xludf.DUMMYFUNCTION("""COMPUTED_VALUE"""),4.662811632168144)</f>
        <v>4.662811632</v>
      </c>
    </row>
    <row r="379">
      <c r="A379" s="4" t="str">
        <f>IFERROR(__xludf.DUMMYFUNCTION("""COMPUTED_VALUE"""),"UGC05716")</f>
        <v>UGC05716</v>
      </c>
      <c r="B379" s="4">
        <f>IFERROR(__xludf.DUMMYFUNCTION("""COMPUTED_VALUE"""),21.3)</f>
        <v>21.3</v>
      </c>
      <c r="C379" s="4">
        <f>IFERROR(__xludf.DUMMYFUNCTION("""COMPUTED_VALUE"""),11.4)</f>
        <v>11.4</v>
      </c>
      <c r="D379" s="4">
        <f>IFERROR(__xludf.DUMMYFUNCTION("""COMPUTED_VALUE"""),73.0)</f>
        <v>73</v>
      </c>
      <c r="E379" s="4">
        <f>IFERROR(__xludf.DUMMYFUNCTION("""COMPUTED_VALUE"""),1.07)</f>
        <v>1.07</v>
      </c>
      <c r="F379" s="4">
        <f>IFERROR(__xludf.DUMMYFUNCTION("""COMPUTED_VALUE"""),28.96)</f>
        <v>28.96</v>
      </c>
      <c r="G379" s="4">
        <f>IFERROR(__xludf.DUMMYFUNCTION("""COMPUTED_VALUE"""),15.29)</f>
        <v>15.29</v>
      </c>
      <c r="H379" s="4">
        <f>IFERROR(__xludf.DUMMYFUNCTION("""COMPUTED_VALUE"""),0.0)</f>
        <v>0</v>
      </c>
      <c r="I379" s="4">
        <f>IFERROR(__xludf.DUMMYFUNCTION("""COMPUTED_VALUE"""),0.0)</f>
        <v>0</v>
      </c>
      <c r="J379" s="4">
        <f>IFERROR(__xludf.DUMMYFUNCTION("""COMPUTED_VALUE"""),0.0)</f>
        <v>0</v>
      </c>
      <c r="K379" s="4">
        <f>IFERROR(__xludf.DUMMYFUNCTION("""COMPUTED_VALUE"""),1072.4657)</f>
        <v>1072.4657</v>
      </c>
      <c r="L379" s="4">
        <f>IFERROR(__xludf.DUMMYFUNCTION("""COMPUTED_VALUE"""),4.968923481655404)</f>
        <v>4.968923482</v>
      </c>
    </row>
    <row r="380">
      <c r="A380" s="5" t="str">
        <f>IFERROR(__xludf.DUMMYFUNCTION("""COMPUTED_VALUE"""),"UGC05716")</f>
        <v>UGC05716</v>
      </c>
      <c r="B380" s="5">
        <f>IFERROR(__xludf.DUMMYFUNCTION("""COMPUTED_VALUE"""),21.3)</f>
        <v>21.3</v>
      </c>
      <c r="C380" s="5">
        <f>IFERROR(__xludf.DUMMYFUNCTION("""COMPUTED_VALUE"""),12.37)</f>
        <v>12.37</v>
      </c>
      <c r="D380" s="5">
        <f>IFERROR(__xludf.DUMMYFUNCTION("""COMPUTED_VALUE"""),74.7)</f>
        <v>74.7</v>
      </c>
      <c r="E380" s="5">
        <f>IFERROR(__xludf.DUMMYFUNCTION("""COMPUTED_VALUE"""),2.09)</f>
        <v>2.09</v>
      </c>
      <c r="F380" s="5">
        <f>IFERROR(__xludf.DUMMYFUNCTION("""COMPUTED_VALUE"""),27.83)</f>
        <v>27.83</v>
      </c>
      <c r="G380" s="5">
        <f>IFERROR(__xludf.DUMMYFUNCTION("""COMPUTED_VALUE"""),14.6)</f>
        <v>14.6</v>
      </c>
      <c r="H380" s="5">
        <f>IFERROR(__xludf.DUMMYFUNCTION("""COMPUTED_VALUE"""),0.0)</f>
        <v>0</v>
      </c>
      <c r="I380" s="5">
        <f>IFERROR(__xludf.DUMMYFUNCTION("""COMPUTED_VALUE"""),0.0)</f>
        <v>0</v>
      </c>
      <c r="J380" s="5">
        <f>IFERROR(__xludf.DUMMYFUNCTION("""COMPUTED_VALUE"""),0.0)</f>
        <v>0</v>
      </c>
      <c r="K380" s="5">
        <f>IFERROR(__xludf.DUMMYFUNCTION("""COMPUTED_VALUE"""),987.6688999999999)</f>
        <v>987.6689</v>
      </c>
      <c r="L380" s="5">
        <f>IFERROR(__xludf.DUMMYFUNCTION("""COMPUTED_VALUE"""),5.649757727513745)</f>
        <v>5.649757728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4" t="str">
        <f>IFERROR(__xludf.DUMMYFUNCTION("""COMPUTED_VALUE"""),"UGC05721")</f>
        <v>UGC05721</v>
      </c>
      <c r="B381" s="4">
        <f>IFERROR(__xludf.DUMMYFUNCTION("""COMPUTED_VALUE"""),6.18)</f>
        <v>6.18</v>
      </c>
      <c r="C381" s="4">
        <f>IFERROR(__xludf.DUMMYFUNCTION("""COMPUTED_VALUE"""),0.09)</f>
        <v>0.09</v>
      </c>
      <c r="D381" s="4">
        <f>IFERROR(__xludf.DUMMYFUNCTION("""COMPUTED_VALUE"""),16.5)</f>
        <v>16.5</v>
      </c>
      <c r="E381" s="4">
        <f>IFERROR(__xludf.DUMMYFUNCTION("""COMPUTED_VALUE"""),4.57)</f>
        <v>4.57</v>
      </c>
      <c r="F381" s="4">
        <f>IFERROR(__xludf.DUMMYFUNCTION("""COMPUTED_VALUE"""),1.23)</f>
        <v>1.23</v>
      </c>
      <c r="G381" s="4">
        <f>IFERROR(__xludf.DUMMYFUNCTION("""COMPUTED_VALUE"""),16.63)</f>
        <v>16.63</v>
      </c>
      <c r="H381" s="4">
        <f>IFERROR(__xludf.DUMMYFUNCTION("""COMPUTED_VALUE"""),0.0)</f>
        <v>0</v>
      </c>
      <c r="I381" s="4">
        <f>IFERROR(__xludf.DUMMYFUNCTION("""COMPUTED_VALUE"""),657.92)</f>
        <v>657.92</v>
      </c>
      <c r="J381" s="4">
        <f>IFERROR(__xludf.DUMMYFUNCTION("""COMPUTED_VALUE"""),0.0)</f>
        <v>0</v>
      </c>
      <c r="K381" s="4">
        <f>IFERROR(__xludf.DUMMYFUNCTION("""COMPUTED_VALUE"""),278.0698)</f>
        <v>278.0698</v>
      </c>
      <c r="L381" s="4">
        <f>IFERROR(__xludf.DUMMYFUNCTION("""COMPUTED_VALUE"""),0.9790707225308178)</f>
        <v>0.9790707225</v>
      </c>
    </row>
    <row r="382">
      <c r="A382" s="4" t="str">
        <f>IFERROR(__xludf.DUMMYFUNCTION("""COMPUTED_VALUE"""),"UGC05721")</f>
        <v>UGC05721</v>
      </c>
      <c r="B382" s="4">
        <f>IFERROR(__xludf.DUMMYFUNCTION("""COMPUTED_VALUE"""),6.18)</f>
        <v>6.18</v>
      </c>
      <c r="C382" s="4">
        <f>IFERROR(__xludf.DUMMYFUNCTION("""COMPUTED_VALUE"""),0.27)</f>
        <v>0.27</v>
      </c>
      <c r="D382" s="4">
        <f>IFERROR(__xludf.DUMMYFUNCTION("""COMPUTED_VALUE"""),38.5)</f>
        <v>38.5</v>
      </c>
      <c r="E382" s="4">
        <f>IFERROR(__xludf.DUMMYFUNCTION("""COMPUTED_VALUE"""),6.88)</f>
        <v>6.88</v>
      </c>
      <c r="F382" s="4">
        <f>IFERROR(__xludf.DUMMYFUNCTION("""COMPUTED_VALUE"""),3.67)</f>
        <v>3.67</v>
      </c>
      <c r="G382" s="4">
        <f>IFERROR(__xludf.DUMMYFUNCTION("""COMPUTED_VALUE"""),32.22)</f>
        <v>32.22</v>
      </c>
      <c r="H382" s="4">
        <f>IFERROR(__xludf.DUMMYFUNCTION("""COMPUTED_VALUE"""),0.0)</f>
        <v>0</v>
      </c>
      <c r="I382" s="4">
        <f>IFERROR(__xludf.DUMMYFUNCTION("""COMPUTED_VALUE"""),309.01)</f>
        <v>309.01</v>
      </c>
      <c r="J382" s="4">
        <f>IFERROR(__xludf.DUMMYFUNCTION("""COMPUTED_VALUE"""),0.0)</f>
        <v>0</v>
      </c>
      <c r="K382" s="4">
        <f>IFERROR(__xludf.DUMMYFUNCTION("""COMPUTED_VALUE"""),1051.5973)</f>
        <v>1051.5973</v>
      </c>
      <c r="L382" s="4">
        <f>IFERROR(__xludf.DUMMYFUNCTION("""COMPUTED_VALUE"""),1.4095224474235528)</f>
        <v>1.409522447</v>
      </c>
    </row>
    <row r="383">
      <c r="A383" s="4" t="str">
        <f>IFERROR(__xludf.DUMMYFUNCTION("""COMPUTED_VALUE"""),"UGC05721")</f>
        <v>UGC05721</v>
      </c>
      <c r="B383" s="4">
        <f>IFERROR(__xludf.DUMMYFUNCTION("""COMPUTED_VALUE"""),6.18)</f>
        <v>6.18</v>
      </c>
      <c r="C383" s="4">
        <f>IFERROR(__xludf.DUMMYFUNCTION("""COMPUTED_VALUE"""),0.45)</f>
        <v>0.45</v>
      </c>
      <c r="D383" s="4">
        <f>IFERROR(__xludf.DUMMYFUNCTION("""COMPUTED_VALUE"""),47.4)</f>
        <v>47.4</v>
      </c>
      <c r="E383" s="4">
        <f>IFERROR(__xludf.DUMMYFUNCTION("""COMPUTED_VALUE"""),4.57)</f>
        <v>4.57</v>
      </c>
      <c r="F383" s="4">
        <f>IFERROR(__xludf.DUMMYFUNCTION("""COMPUTED_VALUE"""),5.99)</f>
        <v>5.99</v>
      </c>
      <c r="G383" s="4">
        <f>IFERROR(__xludf.DUMMYFUNCTION("""COMPUTED_VALUE"""),40.27)</f>
        <v>40.27</v>
      </c>
      <c r="H383" s="4">
        <f>IFERROR(__xludf.DUMMYFUNCTION("""COMPUTED_VALUE"""),0.0)</f>
        <v>0</v>
      </c>
      <c r="I383" s="4">
        <f>IFERROR(__xludf.DUMMYFUNCTION("""COMPUTED_VALUE"""),181.32)</f>
        <v>181.32</v>
      </c>
      <c r="J383" s="4">
        <f>IFERROR(__xludf.DUMMYFUNCTION("""COMPUTED_VALUE"""),0.0)</f>
        <v>0</v>
      </c>
      <c r="K383" s="4">
        <f>IFERROR(__xludf.DUMMYFUNCTION("""COMPUTED_VALUE"""),1657.5530000000003)</f>
        <v>1657.553</v>
      </c>
      <c r="L383" s="4">
        <f>IFERROR(__xludf.DUMMYFUNCTION("""COMPUTED_VALUE"""),1.355467969953298)</f>
        <v>1.35546797</v>
      </c>
    </row>
    <row r="384">
      <c r="A384" s="4" t="str">
        <f>IFERROR(__xludf.DUMMYFUNCTION("""COMPUTED_VALUE"""),"UGC05721")</f>
        <v>UGC05721</v>
      </c>
      <c r="B384" s="4">
        <f>IFERROR(__xludf.DUMMYFUNCTION("""COMPUTED_VALUE"""),6.18)</f>
        <v>6.18</v>
      </c>
      <c r="C384" s="4">
        <f>IFERROR(__xludf.DUMMYFUNCTION("""COMPUTED_VALUE"""),0.63)</f>
        <v>0.63</v>
      </c>
      <c r="D384" s="4">
        <f>IFERROR(__xludf.DUMMYFUNCTION("""COMPUTED_VALUE"""),55.5)</f>
        <v>55.5</v>
      </c>
      <c r="E384" s="4">
        <f>IFERROR(__xludf.DUMMYFUNCTION("""COMPUTED_VALUE"""),4.57)</f>
        <v>4.57</v>
      </c>
      <c r="F384" s="4">
        <f>IFERROR(__xludf.DUMMYFUNCTION("""COMPUTED_VALUE"""),8.14)</f>
        <v>8.14</v>
      </c>
      <c r="G384" s="4">
        <f>IFERROR(__xludf.DUMMYFUNCTION("""COMPUTED_VALUE"""),43.48)</f>
        <v>43.48</v>
      </c>
      <c r="H384" s="4">
        <f>IFERROR(__xludf.DUMMYFUNCTION("""COMPUTED_VALUE"""),0.0)</f>
        <v>0</v>
      </c>
      <c r="I384" s="4">
        <f>IFERROR(__xludf.DUMMYFUNCTION("""COMPUTED_VALUE"""),105.94)</f>
        <v>105.94</v>
      </c>
      <c r="J384" s="4">
        <f>IFERROR(__xludf.DUMMYFUNCTION("""COMPUTED_VALUE"""),0.0)</f>
        <v>0</v>
      </c>
      <c r="K384" s="4">
        <f>IFERROR(__xludf.DUMMYFUNCTION("""COMPUTED_VALUE"""),1956.7699999999998)</f>
        <v>1956.77</v>
      </c>
      <c r="L384" s="4">
        <f>IFERROR(__xludf.DUMMYFUNCTION("""COMPUTED_VALUE"""),1.5741502578228408)</f>
        <v>1.574150258</v>
      </c>
    </row>
    <row r="385">
      <c r="A385" s="4" t="str">
        <f>IFERROR(__xludf.DUMMYFUNCTION("""COMPUTED_VALUE"""),"UGC05721")</f>
        <v>UGC05721</v>
      </c>
      <c r="B385" s="4">
        <f>IFERROR(__xludf.DUMMYFUNCTION("""COMPUTED_VALUE"""),6.18)</f>
        <v>6.18</v>
      </c>
      <c r="C385" s="4">
        <f>IFERROR(__xludf.DUMMYFUNCTION("""COMPUTED_VALUE"""),0.81)</f>
        <v>0.81</v>
      </c>
      <c r="D385" s="4">
        <f>IFERROR(__xludf.DUMMYFUNCTION("""COMPUTED_VALUE"""),56.4)</f>
        <v>56.4</v>
      </c>
      <c r="E385" s="4">
        <f>IFERROR(__xludf.DUMMYFUNCTION("""COMPUTED_VALUE"""),5.45)</f>
        <v>5.45</v>
      </c>
      <c r="F385" s="4">
        <f>IFERROR(__xludf.DUMMYFUNCTION("""COMPUTED_VALUE"""),10.08)</f>
        <v>10.08</v>
      </c>
      <c r="G385" s="4">
        <f>IFERROR(__xludf.DUMMYFUNCTION("""COMPUTED_VALUE"""),44.07)</f>
        <v>44.07</v>
      </c>
      <c r="H385" s="4">
        <f>IFERROR(__xludf.DUMMYFUNCTION("""COMPUTED_VALUE"""),0.0)</f>
        <v>0</v>
      </c>
      <c r="I385" s="4">
        <f>IFERROR(__xludf.DUMMYFUNCTION("""COMPUTED_VALUE"""),62.77)</f>
        <v>62.77</v>
      </c>
      <c r="J385" s="4">
        <f>IFERROR(__xludf.DUMMYFUNCTION("""COMPUTED_VALUE"""),0.0)</f>
        <v>0</v>
      </c>
      <c r="K385" s="4">
        <f>IFERROR(__xludf.DUMMYFUNCTION("""COMPUTED_VALUE"""),2043.7712999999999)</f>
        <v>2043.7713</v>
      </c>
      <c r="L385" s="4">
        <f>IFERROR(__xludf.DUMMYFUNCTION("""COMPUTED_VALUE"""),1.5564168065184203)</f>
        <v>1.556416807</v>
      </c>
    </row>
    <row r="386">
      <c r="A386" s="4" t="str">
        <f>IFERROR(__xludf.DUMMYFUNCTION("""COMPUTED_VALUE"""),"UGC05721")</f>
        <v>UGC05721</v>
      </c>
      <c r="B386" s="4">
        <f>IFERROR(__xludf.DUMMYFUNCTION("""COMPUTED_VALUE"""),6.18)</f>
        <v>6.18</v>
      </c>
      <c r="C386" s="4">
        <f>IFERROR(__xludf.DUMMYFUNCTION("""COMPUTED_VALUE"""),0.99)</f>
        <v>0.99</v>
      </c>
      <c r="D386" s="4">
        <f>IFERROR(__xludf.DUMMYFUNCTION("""COMPUTED_VALUE"""),59.8)</f>
        <v>59.8</v>
      </c>
      <c r="E386" s="4">
        <f>IFERROR(__xludf.DUMMYFUNCTION("""COMPUTED_VALUE"""),4.57)</f>
        <v>4.57</v>
      </c>
      <c r="F386" s="4">
        <f>IFERROR(__xludf.DUMMYFUNCTION("""COMPUTED_VALUE"""),11.72)</f>
        <v>11.72</v>
      </c>
      <c r="G386" s="4">
        <f>IFERROR(__xludf.DUMMYFUNCTION("""COMPUTED_VALUE"""),43.71)</f>
        <v>43.71</v>
      </c>
      <c r="H386" s="4">
        <f>IFERROR(__xludf.DUMMYFUNCTION("""COMPUTED_VALUE"""),0.0)</f>
        <v>0</v>
      </c>
      <c r="I386" s="4">
        <f>IFERROR(__xludf.DUMMYFUNCTION("""COMPUTED_VALUE"""),45.1)</f>
        <v>45.1</v>
      </c>
      <c r="J386" s="4">
        <f>IFERROR(__xludf.DUMMYFUNCTION("""COMPUTED_VALUE"""),0.0)</f>
        <v>0</v>
      </c>
      <c r="K386" s="4">
        <f>IFERROR(__xludf.DUMMYFUNCTION("""COMPUTED_VALUE"""),2047.9225000000001)</f>
        <v>2047.9225</v>
      </c>
      <c r="L386" s="4">
        <f>IFERROR(__xludf.DUMMYFUNCTION("""COMPUTED_VALUE"""),1.7461793598146411)</f>
        <v>1.74617936</v>
      </c>
    </row>
    <row r="387">
      <c r="A387" s="4" t="str">
        <f>IFERROR(__xludf.DUMMYFUNCTION("""COMPUTED_VALUE"""),"UGC05721")</f>
        <v>UGC05721</v>
      </c>
      <c r="B387" s="4">
        <f>IFERROR(__xludf.DUMMYFUNCTION("""COMPUTED_VALUE"""),6.18)</f>
        <v>6.18</v>
      </c>
      <c r="C387" s="4">
        <f>IFERROR(__xludf.DUMMYFUNCTION("""COMPUTED_VALUE"""),1.17)</f>
        <v>1.17</v>
      </c>
      <c r="D387" s="4">
        <f>IFERROR(__xludf.DUMMYFUNCTION("""COMPUTED_VALUE"""),67.8)</f>
        <v>67.8</v>
      </c>
      <c r="E387" s="4">
        <f>IFERROR(__xludf.DUMMYFUNCTION("""COMPUTED_VALUE"""),4.57)</f>
        <v>4.57</v>
      </c>
      <c r="F387" s="4">
        <f>IFERROR(__xludf.DUMMYFUNCTION("""COMPUTED_VALUE"""),13.25)</f>
        <v>13.25</v>
      </c>
      <c r="G387" s="4">
        <f>IFERROR(__xludf.DUMMYFUNCTION("""COMPUTED_VALUE"""),44.14)</f>
        <v>44.14</v>
      </c>
      <c r="H387" s="4">
        <f>IFERROR(__xludf.DUMMYFUNCTION("""COMPUTED_VALUE"""),0.0)</f>
        <v>0</v>
      </c>
      <c r="I387" s="4">
        <f>IFERROR(__xludf.DUMMYFUNCTION("""COMPUTED_VALUE"""),29.74)</f>
        <v>29.74</v>
      </c>
      <c r="J387" s="4">
        <f>IFERROR(__xludf.DUMMYFUNCTION("""COMPUTED_VALUE"""),0.0)</f>
        <v>0</v>
      </c>
      <c r="K387" s="4">
        <f>IFERROR(__xludf.DUMMYFUNCTION("""COMPUTED_VALUE"""),2123.9021000000002)</f>
        <v>2123.9021</v>
      </c>
      <c r="L387" s="4">
        <f>IFERROR(__xludf.DUMMYFUNCTION("""COMPUTED_VALUE"""),2.1643370473620225)</f>
        <v>2.164337047</v>
      </c>
    </row>
    <row r="388">
      <c r="A388" s="4" t="str">
        <f>IFERROR(__xludf.DUMMYFUNCTION("""COMPUTED_VALUE"""),"UGC05721")</f>
        <v>UGC05721</v>
      </c>
      <c r="B388" s="4">
        <f>IFERROR(__xludf.DUMMYFUNCTION("""COMPUTED_VALUE"""),6.18)</f>
        <v>6.18</v>
      </c>
      <c r="C388" s="4">
        <f>IFERROR(__xludf.DUMMYFUNCTION("""COMPUTED_VALUE"""),1.35)</f>
        <v>1.35</v>
      </c>
      <c r="D388" s="4">
        <f>IFERROR(__xludf.DUMMYFUNCTION("""COMPUTED_VALUE"""),76.4)</f>
        <v>76.4</v>
      </c>
      <c r="E388" s="4">
        <f>IFERROR(__xludf.DUMMYFUNCTION("""COMPUTED_VALUE"""),4.57)</f>
        <v>4.57</v>
      </c>
      <c r="F388" s="4">
        <f>IFERROR(__xludf.DUMMYFUNCTION("""COMPUTED_VALUE"""),15.37)</f>
        <v>15.37</v>
      </c>
      <c r="G388" s="4">
        <f>IFERROR(__xludf.DUMMYFUNCTION("""COMPUTED_VALUE"""),42.83)</f>
        <v>42.83</v>
      </c>
      <c r="H388" s="4">
        <f>IFERROR(__xludf.DUMMYFUNCTION("""COMPUTED_VALUE"""),0.0)</f>
        <v>0</v>
      </c>
      <c r="I388" s="4">
        <f>IFERROR(__xludf.DUMMYFUNCTION("""COMPUTED_VALUE"""),15.24)</f>
        <v>15.24</v>
      </c>
      <c r="J388" s="4">
        <f>IFERROR(__xludf.DUMMYFUNCTION("""COMPUTED_VALUE"""),0.0)</f>
        <v>0</v>
      </c>
      <c r="K388" s="4">
        <f>IFERROR(__xludf.DUMMYFUNCTION("""COMPUTED_VALUE"""),2070.6458)</f>
        <v>2070.6458</v>
      </c>
      <c r="L388" s="4">
        <f>IFERROR(__xludf.DUMMYFUNCTION("""COMPUTED_VALUE"""),2.8189079947908047)</f>
        <v>2.818907995</v>
      </c>
    </row>
    <row r="389">
      <c r="A389" s="4" t="str">
        <f>IFERROR(__xludf.DUMMYFUNCTION("""COMPUTED_VALUE"""),"UGC05721")</f>
        <v>UGC05721</v>
      </c>
      <c r="B389" s="4">
        <f>IFERROR(__xludf.DUMMYFUNCTION("""COMPUTED_VALUE"""),6.18)</f>
        <v>6.18</v>
      </c>
      <c r="C389" s="4">
        <f>IFERROR(__xludf.DUMMYFUNCTION("""COMPUTED_VALUE"""),1.53)</f>
        <v>1.53</v>
      </c>
      <c r="D389" s="4">
        <f>IFERROR(__xludf.DUMMYFUNCTION("""COMPUTED_VALUE"""),81.2)</f>
        <v>81.2</v>
      </c>
      <c r="E389" s="4">
        <f>IFERROR(__xludf.DUMMYFUNCTION("""COMPUTED_VALUE"""),4.57)</f>
        <v>4.57</v>
      </c>
      <c r="F389" s="4">
        <f>IFERROR(__xludf.DUMMYFUNCTION("""COMPUTED_VALUE"""),18.44)</f>
        <v>18.44</v>
      </c>
      <c r="G389" s="4">
        <f>IFERROR(__xludf.DUMMYFUNCTION("""COMPUTED_VALUE"""),40.98)</f>
        <v>40.98</v>
      </c>
      <c r="H389" s="4">
        <f>IFERROR(__xludf.DUMMYFUNCTION("""COMPUTED_VALUE"""),0.0)</f>
        <v>0</v>
      </c>
      <c r="I389" s="4">
        <f>IFERROR(__xludf.DUMMYFUNCTION("""COMPUTED_VALUE"""),9.18)</f>
        <v>9.18</v>
      </c>
      <c r="J389" s="4">
        <f>IFERROR(__xludf.DUMMYFUNCTION("""COMPUTED_VALUE"""),0.0)</f>
        <v>0</v>
      </c>
      <c r="K389" s="4">
        <f>IFERROR(__xludf.DUMMYFUNCTION("""COMPUTED_VALUE"""),2019.3939999999998)</f>
        <v>2019.394</v>
      </c>
      <c r="L389" s="4">
        <f>IFERROR(__xludf.DUMMYFUNCTION("""COMPUTED_VALUE"""),3.2650587255384544)</f>
        <v>3.265058726</v>
      </c>
    </row>
    <row r="390">
      <c r="A390" s="4" t="str">
        <f>IFERROR(__xludf.DUMMYFUNCTION("""COMPUTED_VALUE"""),"UGC05721")</f>
        <v>UGC05721</v>
      </c>
      <c r="B390" s="4">
        <f>IFERROR(__xludf.DUMMYFUNCTION("""COMPUTED_VALUE"""),6.18)</f>
        <v>6.18</v>
      </c>
      <c r="C390" s="4">
        <f>IFERROR(__xludf.DUMMYFUNCTION("""COMPUTED_VALUE"""),1.71)</f>
        <v>1.71</v>
      </c>
      <c r="D390" s="4">
        <f>IFERROR(__xludf.DUMMYFUNCTION("""COMPUTED_VALUE"""),82.2)</f>
        <v>82.2</v>
      </c>
      <c r="E390" s="4">
        <f>IFERROR(__xludf.DUMMYFUNCTION("""COMPUTED_VALUE"""),19.2)</f>
        <v>19.2</v>
      </c>
      <c r="F390" s="4">
        <f>IFERROR(__xludf.DUMMYFUNCTION("""COMPUTED_VALUE"""),21.32)</f>
        <v>21.32</v>
      </c>
      <c r="G390" s="4">
        <f>IFERROR(__xludf.DUMMYFUNCTION("""COMPUTED_VALUE"""),38.82)</f>
        <v>38.82</v>
      </c>
      <c r="H390" s="4">
        <f>IFERROR(__xludf.DUMMYFUNCTION("""COMPUTED_VALUE"""),0.0)</f>
        <v>0</v>
      </c>
      <c r="I390" s="4">
        <f>IFERROR(__xludf.DUMMYFUNCTION("""COMPUTED_VALUE"""),5.33)</f>
        <v>5.33</v>
      </c>
      <c r="J390" s="4">
        <f>IFERROR(__xludf.DUMMYFUNCTION("""COMPUTED_VALUE"""),0.0)</f>
        <v>0</v>
      </c>
      <c r="K390" s="4">
        <f>IFERROR(__xludf.DUMMYFUNCTION("""COMPUTED_VALUE"""),1961.5348000000001)</f>
        <v>1961.5348</v>
      </c>
      <c r="L390" s="4">
        <f>IFERROR(__xludf.DUMMYFUNCTION("""COMPUTED_VALUE"""),3.4446699594623555)</f>
        <v>3.444669959</v>
      </c>
    </row>
    <row r="391">
      <c r="A391" s="4" t="str">
        <f>IFERROR(__xludf.DUMMYFUNCTION("""COMPUTED_VALUE"""),"UGC05721")</f>
        <v>UGC05721</v>
      </c>
      <c r="B391" s="4">
        <f>IFERROR(__xludf.DUMMYFUNCTION("""COMPUTED_VALUE"""),6.18)</f>
        <v>6.18</v>
      </c>
      <c r="C391" s="4">
        <f>IFERROR(__xludf.DUMMYFUNCTION("""COMPUTED_VALUE"""),1.89)</f>
        <v>1.89</v>
      </c>
      <c r="D391" s="4">
        <f>IFERROR(__xludf.DUMMYFUNCTION("""COMPUTED_VALUE"""),82.6)</f>
        <v>82.6</v>
      </c>
      <c r="E391" s="4">
        <f>IFERROR(__xludf.DUMMYFUNCTION("""COMPUTED_VALUE"""),4.57)</f>
        <v>4.57</v>
      </c>
      <c r="F391" s="4">
        <f>IFERROR(__xludf.DUMMYFUNCTION("""COMPUTED_VALUE"""),22.09)</f>
        <v>22.09</v>
      </c>
      <c r="G391" s="4">
        <f>IFERROR(__xludf.DUMMYFUNCTION("""COMPUTED_VALUE"""),36.95)</f>
        <v>36.95</v>
      </c>
      <c r="H391" s="4">
        <f>IFERROR(__xludf.DUMMYFUNCTION("""COMPUTED_VALUE"""),0.0)</f>
        <v>0</v>
      </c>
      <c r="I391" s="4">
        <f>IFERROR(__xludf.DUMMYFUNCTION("""COMPUTED_VALUE"""),3.32)</f>
        <v>3.32</v>
      </c>
      <c r="J391" s="4">
        <f>IFERROR(__xludf.DUMMYFUNCTION("""COMPUTED_VALUE"""),0.0)</f>
        <v>0</v>
      </c>
      <c r="K391" s="4">
        <f>IFERROR(__xludf.DUMMYFUNCTION("""COMPUTED_VALUE"""),1853.2706000000003)</f>
        <v>1853.2706</v>
      </c>
      <c r="L391" s="4">
        <f>IFERROR(__xludf.DUMMYFUNCTION("""COMPUTED_VALUE"""),3.6814699375255824)</f>
        <v>3.681469938</v>
      </c>
    </row>
    <row r="392">
      <c r="A392" s="4" t="str">
        <f>IFERROR(__xludf.DUMMYFUNCTION("""COMPUTED_VALUE"""),"UGC05721")</f>
        <v>UGC05721</v>
      </c>
      <c r="B392" s="4">
        <f>IFERROR(__xludf.DUMMYFUNCTION("""COMPUTED_VALUE"""),6.18)</f>
        <v>6.18</v>
      </c>
      <c r="C392" s="4">
        <f>IFERROR(__xludf.DUMMYFUNCTION("""COMPUTED_VALUE"""),2.07)</f>
        <v>2.07</v>
      </c>
      <c r="D392" s="4">
        <f>IFERROR(__xludf.DUMMYFUNCTION("""COMPUTED_VALUE"""),82.3)</f>
        <v>82.3</v>
      </c>
      <c r="E392" s="4">
        <f>IFERROR(__xludf.DUMMYFUNCTION("""COMPUTED_VALUE"""),4.57)</f>
        <v>4.57</v>
      </c>
      <c r="F392" s="4">
        <f>IFERROR(__xludf.DUMMYFUNCTION("""COMPUTED_VALUE"""),20.36)</f>
        <v>20.36</v>
      </c>
      <c r="G392" s="4">
        <f>IFERROR(__xludf.DUMMYFUNCTION("""COMPUTED_VALUE"""),35.17)</f>
        <v>35.17</v>
      </c>
      <c r="H392" s="4">
        <f>IFERROR(__xludf.DUMMYFUNCTION("""COMPUTED_VALUE"""),0.0)</f>
        <v>0</v>
      </c>
      <c r="I392" s="4">
        <f>IFERROR(__xludf.DUMMYFUNCTION("""COMPUTED_VALUE"""),2.34)</f>
        <v>2.34</v>
      </c>
      <c r="J392" s="4">
        <f>IFERROR(__xludf.DUMMYFUNCTION("""COMPUTED_VALUE"""),0.0)</f>
        <v>0</v>
      </c>
      <c r="K392" s="4">
        <f>IFERROR(__xludf.DUMMYFUNCTION("""COMPUTED_VALUE"""),1651.4585000000002)</f>
        <v>1651.4585</v>
      </c>
      <c r="L392" s="4">
        <f>IFERROR(__xludf.DUMMYFUNCTION("""COMPUTED_VALUE"""),4.1013988544065745)</f>
        <v>4.101398854</v>
      </c>
    </row>
    <row r="393">
      <c r="A393" s="4" t="str">
        <f>IFERROR(__xludf.DUMMYFUNCTION("""COMPUTED_VALUE"""),"UGC05721")</f>
        <v>UGC05721</v>
      </c>
      <c r="B393" s="4">
        <f>IFERROR(__xludf.DUMMYFUNCTION("""COMPUTED_VALUE"""),6.18)</f>
        <v>6.18</v>
      </c>
      <c r="C393" s="4">
        <f>IFERROR(__xludf.DUMMYFUNCTION("""COMPUTED_VALUE"""),2.25)</f>
        <v>2.25</v>
      </c>
      <c r="D393" s="4">
        <f>IFERROR(__xludf.DUMMYFUNCTION("""COMPUTED_VALUE"""),82.1)</f>
        <v>82.1</v>
      </c>
      <c r="E393" s="4">
        <f>IFERROR(__xludf.DUMMYFUNCTION("""COMPUTED_VALUE"""),4.57)</f>
        <v>4.57</v>
      </c>
      <c r="F393" s="4">
        <f>IFERROR(__xludf.DUMMYFUNCTION("""COMPUTED_VALUE"""),17.96)</f>
        <v>17.96</v>
      </c>
      <c r="G393" s="4">
        <f>IFERROR(__xludf.DUMMYFUNCTION("""COMPUTED_VALUE"""),33.75)</f>
        <v>33.75</v>
      </c>
      <c r="H393" s="4">
        <f>IFERROR(__xludf.DUMMYFUNCTION("""COMPUTED_VALUE"""),0.0)</f>
        <v>0</v>
      </c>
      <c r="I393" s="4">
        <f>IFERROR(__xludf.DUMMYFUNCTION("""COMPUTED_VALUE"""),1.51)</f>
        <v>1.51</v>
      </c>
      <c r="J393" s="4">
        <f>IFERROR(__xludf.DUMMYFUNCTION("""COMPUTED_VALUE"""),0.0)</f>
        <v>0</v>
      </c>
      <c r="K393" s="4">
        <f>IFERROR(__xludf.DUMMYFUNCTION("""COMPUTED_VALUE"""),1461.6241)</f>
        <v>1461.6241</v>
      </c>
      <c r="L393" s="4">
        <f>IFERROR(__xludf.DUMMYFUNCTION("""COMPUTED_VALUE"""),4.611589258825165)</f>
        <v>4.611589259</v>
      </c>
    </row>
    <row r="394">
      <c r="A394" s="4" t="str">
        <f>IFERROR(__xludf.DUMMYFUNCTION("""COMPUTED_VALUE"""),"UGC05721")</f>
        <v>UGC05721</v>
      </c>
      <c r="B394" s="4">
        <f>IFERROR(__xludf.DUMMYFUNCTION("""COMPUTED_VALUE"""),6.18)</f>
        <v>6.18</v>
      </c>
      <c r="C394" s="4">
        <f>IFERROR(__xludf.DUMMYFUNCTION("""COMPUTED_VALUE"""),2.67)</f>
        <v>2.67</v>
      </c>
      <c r="D394" s="4">
        <f>IFERROR(__xludf.DUMMYFUNCTION("""COMPUTED_VALUE"""),81.4)</f>
        <v>81.4</v>
      </c>
      <c r="E394" s="4">
        <f>IFERROR(__xludf.DUMMYFUNCTION("""COMPUTED_VALUE"""),4.57)</f>
        <v>4.57</v>
      </c>
      <c r="F394" s="4">
        <f>IFERROR(__xludf.DUMMYFUNCTION("""COMPUTED_VALUE"""),18.44)</f>
        <v>18.44</v>
      </c>
      <c r="G394" s="4">
        <f>IFERROR(__xludf.DUMMYFUNCTION("""COMPUTED_VALUE"""),30.81)</f>
        <v>30.81</v>
      </c>
      <c r="H394" s="4">
        <f>IFERROR(__xludf.DUMMYFUNCTION("""COMPUTED_VALUE"""),0.0)</f>
        <v>0</v>
      </c>
      <c r="I394" s="4">
        <f>IFERROR(__xludf.DUMMYFUNCTION("""COMPUTED_VALUE"""),0.67)</f>
        <v>0.67</v>
      </c>
      <c r="J394" s="4">
        <f>IFERROR(__xludf.DUMMYFUNCTION("""COMPUTED_VALUE"""),0.0)</f>
        <v>0</v>
      </c>
      <c r="K394" s="4">
        <f>IFERROR(__xludf.DUMMYFUNCTION("""COMPUTED_VALUE"""),1289.2897)</f>
        <v>1289.2897</v>
      </c>
      <c r="L394" s="4">
        <f>IFERROR(__xludf.DUMMYFUNCTION("""COMPUTED_VALUE"""),5.1392328659726365)</f>
        <v>5.139232866</v>
      </c>
    </row>
    <row r="395">
      <c r="A395" s="4" t="str">
        <f>IFERROR(__xludf.DUMMYFUNCTION("""COMPUTED_VALUE"""),"UGC05721")</f>
        <v>UGC05721</v>
      </c>
      <c r="B395" s="4">
        <f>IFERROR(__xludf.DUMMYFUNCTION("""COMPUTED_VALUE"""),6.18)</f>
        <v>6.18</v>
      </c>
      <c r="C395" s="4">
        <f>IFERROR(__xludf.DUMMYFUNCTION("""COMPUTED_VALUE"""),3.15)</f>
        <v>3.15</v>
      </c>
      <c r="D395" s="4">
        <f>IFERROR(__xludf.DUMMYFUNCTION("""COMPUTED_VALUE"""),79.3)</f>
        <v>79.3</v>
      </c>
      <c r="E395" s="4">
        <f>IFERROR(__xludf.DUMMYFUNCTION("""COMPUTED_VALUE"""),4.57)</f>
        <v>4.57</v>
      </c>
      <c r="F395" s="4">
        <f>IFERROR(__xludf.DUMMYFUNCTION("""COMPUTED_VALUE"""),20.36)</f>
        <v>20.36</v>
      </c>
      <c r="G395" s="4">
        <f>IFERROR(__xludf.DUMMYFUNCTION("""COMPUTED_VALUE"""),27.99)</f>
        <v>27.99</v>
      </c>
      <c r="H395" s="4">
        <f>IFERROR(__xludf.DUMMYFUNCTION("""COMPUTED_VALUE"""),0.0)</f>
        <v>0</v>
      </c>
      <c r="I395" s="4">
        <f>IFERROR(__xludf.DUMMYFUNCTION("""COMPUTED_VALUE"""),0.13)</f>
        <v>0.13</v>
      </c>
      <c r="J395" s="4">
        <f>IFERROR(__xludf.DUMMYFUNCTION("""COMPUTED_VALUE"""),0.0)</f>
        <v>0</v>
      </c>
      <c r="K395" s="4">
        <f>IFERROR(__xludf.DUMMYFUNCTION("""COMPUTED_VALUE"""),1197.9696999999999)</f>
        <v>1197.9697</v>
      </c>
      <c r="L395" s="4">
        <f>IFERROR(__xludf.DUMMYFUNCTION("""COMPUTED_VALUE"""),5.249289694054867)</f>
        <v>5.249289694</v>
      </c>
    </row>
    <row r="396">
      <c r="A396" s="4" t="str">
        <f>IFERROR(__xludf.DUMMYFUNCTION("""COMPUTED_VALUE"""),"UGC05721")</f>
        <v>UGC05721</v>
      </c>
      <c r="B396" s="4">
        <f>IFERROR(__xludf.DUMMYFUNCTION("""COMPUTED_VALUE"""),6.18)</f>
        <v>6.18</v>
      </c>
      <c r="C396" s="4">
        <f>IFERROR(__xludf.DUMMYFUNCTION("""COMPUTED_VALUE"""),3.61)</f>
        <v>3.61</v>
      </c>
      <c r="D396" s="4">
        <f>IFERROR(__xludf.DUMMYFUNCTION("""COMPUTED_VALUE"""),78.5)</f>
        <v>78.5</v>
      </c>
      <c r="E396" s="4">
        <f>IFERROR(__xludf.DUMMYFUNCTION("""COMPUTED_VALUE"""),4.57)</f>
        <v>4.57</v>
      </c>
      <c r="F396" s="4">
        <f>IFERROR(__xludf.DUMMYFUNCTION("""COMPUTED_VALUE"""),20.55)</f>
        <v>20.55</v>
      </c>
      <c r="G396" s="4">
        <f>IFERROR(__xludf.DUMMYFUNCTION("""COMPUTED_VALUE"""),25.88)</f>
        <v>25.88</v>
      </c>
      <c r="H396" s="4">
        <f>IFERROR(__xludf.DUMMYFUNCTION("""COMPUTED_VALUE"""),0.0)</f>
        <v>0</v>
      </c>
      <c r="I396" s="4">
        <f>IFERROR(__xludf.DUMMYFUNCTION("""COMPUTED_VALUE"""),0.04)</f>
        <v>0.04</v>
      </c>
      <c r="J396" s="4">
        <f>IFERROR(__xludf.DUMMYFUNCTION("""COMPUTED_VALUE"""),0.0)</f>
        <v>0</v>
      </c>
      <c r="K396" s="4">
        <f>IFERROR(__xludf.DUMMYFUNCTION("""COMPUTED_VALUE"""),1092.0769)</f>
        <v>1092.0769</v>
      </c>
      <c r="L396" s="4">
        <f>IFERROR(__xludf.DUMMYFUNCTION("""COMPUTED_VALUE"""),5.642688715419216)</f>
        <v>5.642688715</v>
      </c>
    </row>
    <row r="397">
      <c r="A397" s="4" t="str">
        <f>IFERROR(__xludf.DUMMYFUNCTION("""COMPUTED_VALUE"""),"UGC05721")</f>
        <v>UGC05721</v>
      </c>
      <c r="B397" s="4">
        <f>IFERROR(__xludf.DUMMYFUNCTION("""COMPUTED_VALUE"""),6.18)</f>
        <v>6.18</v>
      </c>
      <c r="C397" s="4">
        <f>IFERROR(__xludf.DUMMYFUNCTION("""COMPUTED_VALUE"""),4.04)</f>
        <v>4.04</v>
      </c>
      <c r="D397" s="4">
        <f>IFERROR(__xludf.DUMMYFUNCTION("""COMPUTED_VALUE"""),78.2)</f>
        <v>78.2</v>
      </c>
      <c r="E397" s="4">
        <f>IFERROR(__xludf.DUMMYFUNCTION("""COMPUTED_VALUE"""),4.57)</f>
        <v>4.57</v>
      </c>
      <c r="F397" s="4">
        <f>IFERROR(__xludf.DUMMYFUNCTION("""COMPUTED_VALUE"""),20.74)</f>
        <v>20.74</v>
      </c>
      <c r="G397" s="4">
        <f>IFERROR(__xludf.DUMMYFUNCTION("""COMPUTED_VALUE"""),24.31)</f>
        <v>24.31</v>
      </c>
      <c r="H397" s="4">
        <f>IFERROR(__xludf.DUMMYFUNCTION("""COMPUTED_VALUE"""),0.0)</f>
        <v>0</v>
      </c>
      <c r="I397" s="4">
        <f>IFERROR(__xludf.DUMMYFUNCTION("""COMPUTED_VALUE"""),0.01)</f>
        <v>0.01</v>
      </c>
      <c r="J397" s="4">
        <f>IFERROR(__xludf.DUMMYFUNCTION("""COMPUTED_VALUE"""),0.0)</f>
        <v>0</v>
      </c>
      <c r="K397" s="4">
        <f>IFERROR(__xludf.DUMMYFUNCTION("""COMPUTED_VALUE"""),1021.1236999999999)</f>
        <v>1021.1237</v>
      </c>
      <c r="L397" s="4">
        <f>IFERROR(__xludf.DUMMYFUNCTION("""COMPUTED_VALUE"""),5.988735742790028)</f>
        <v>5.988735743</v>
      </c>
    </row>
    <row r="398">
      <c r="A398" s="4" t="str">
        <f>IFERROR(__xludf.DUMMYFUNCTION("""COMPUTED_VALUE"""),"UGC05721")</f>
        <v>UGC05721</v>
      </c>
      <c r="B398" s="4">
        <f>IFERROR(__xludf.DUMMYFUNCTION("""COMPUTED_VALUE"""),6.18)</f>
        <v>6.18</v>
      </c>
      <c r="C398" s="4">
        <f>IFERROR(__xludf.DUMMYFUNCTION("""COMPUTED_VALUE"""),4.49)</f>
        <v>4.49</v>
      </c>
      <c r="D398" s="4">
        <f>IFERROR(__xludf.DUMMYFUNCTION("""COMPUTED_VALUE"""),78.1)</f>
        <v>78.1</v>
      </c>
      <c r="E398" s="4">
        <f>IFERROR(__xludf.DUMMYFUNCTION("""COMPUTED_VALUE"""),4.57)</f>
        <v>4.57</v>
      </c>
      <c r="F398" s="4">
        <f>IFERROR(__xludf.DUMMYFUNCTION("""COMPUTED_VALUE"""),21.71)</f>
        <v>21.71</v>
      </c>
      <c r="G398" s="4">
        <f>IFERROR(__xludf.DUMMYFUNCTION("""COMPUTED_VALUE"""),22.96)</f>
        <v>22.96</v>
      </c>
      <c r="H398" s="4">
        <f>IFERROR(__xludf.DUMMYFUNCTION("""COMPUTED_VALUE"""),0.0)</f>
        <v>0</v>
      </c>
      <c r="I398" s="4">
        <f>IFERROR(__xludf.DUMMYFUNCTION("""COMPUTED_VALUE"""),0.0)</f>
        <v>0</v>
      </c>
      <c r="J398" s="4">
        <f>IFERROR(__xludf.DUMMYFUNCTION("""COMPUTED_VALUE"""),0.0)</f>
        <v>0</v>
      </c>
      <c r="K398" s="4">
        <f>IFERROR(__xludf.DUMMYFUNCTION("""COMPUTED_VALUE"""),998.4857000000001)</f>
        <v>998.4857</v>
      </c>
      <c r="L398" s="4">
        <f>IFERROR(__xludf.DUMMYFUNCTION("""COMPUTED_VALUE"""),6.108860647678778)</f>
        <v>6.108860648</v>
      </c>
    </row>
    <row r="399">
      <c r="A399" s="4" t="str">
        <f>IFERROR(__xludf.DUMMYFUNCTION("""COMPUTED_VALUE"""),"UGC05721")</f>
        <v>UGC05721</v>
      </c>
      <c r="B399" s="4">
        <f>IFERROR(__xludf.DUMMYFUNCTION("""COMPUTED_VALUE"""),6.18)</f>
        <v>6.18</v>
      </c>
      <c r="C399" s="4">
        <f>IFERROR(__xludf.DUMMYFUNCTION("""COMPUTED_VALUE"""),4.93)</f>
        <v>4.93</v>
      </c>
      <c r="D399" s="4">
        <f>IFERROR(__xludf.DUMMYFUNCTION("""COMPUTED_VALUE"""),78.2)</f>
        <v>78.2</v>
      </c>
      <c r="E399" s="4">
        <f>IFERROR(__xludf.DUMMYFUNCTION("""COMPUTED_VALUE"""),4.57)</f>
        <v>4.57</v>
      </c>
      <c r="F399" s="4">
        <f>IFERROR(__xludf.DUMMYFUNCTION("""COMPUTED_VALUE"""),23.34)</f>
        <v>23.34</v>
      </c>
      <c r="G399" s="4">
        <f>IFERROR(__xludf.DUMMYFUNCTION("""COMPUTED_VALUE"""),21.83)</f>
        <v>21.83</v>
      </c>
      <c r="H399" s="4">
        <f>IFERROR(__xludf.DUMMYFUNCTION("""COMPUTED_VALUE"""),0.0)</f>
        <v>0</v>
      </c>
      <c r="I399" s="4">
        <f>IFERROR(__xludf.DUMMYFUNCTION("""COMPUTED_VALUE"""),0.0)</f>
        <v>0</v>
      </c>
      <c r="J399" s="4">
        <f>IFERROR(__xludf.DUMMYFUNCTION("""COMPUTED_VALUE"""),0.0)</f>
        <v>0</v>
      </c>
      <c r="K399" s="4">
        <f>IFERROR(__xludf.DUMMYFUNCTION("""COMPUTED_VALUE"""),1021.3045)</f>
        <v>1021.3045</v>
      </c>
      <c r="L399" s="4">
        <f>IFERROR(__xludf.DUMMYFUNCTION("""COMPUTED_VALUE"""),5.987675565906153)</f>
        <v>5.987675566</v>
      </c>
    </row>
    <row r="400">
      <c r="A400" s="4" t="str">
        <f>IFERROR(__xludf.DUMMYFUNCTION("""COMPUTED_VALUE"""),"UGC05721")</f>
        <v>UGC05721</v>
      </c>
      <c r="B400" s="4">
        <f>IFERROR(__xludf.DUMMYFUNCTION("""COMPUTED_VALUE"""),6.18)</f>
        <v>6.18</v>
      </c>
      <c r="C400" s="4">
        <f>IFERROR(__xludf.DUMMYFUNCTION("""COMPUTED_VALUE"""),5.38)</f>
        <v>5.38</v>
      </c>
      <c r="D400" s="4">
        <f>IFERROR(__xludf.DUMMYFUNCTION("""COMPUTED_VALUE"""),78.3)</f>
        <v>78.3</v>
      </c>
      <c r="E400" s="4">
        <f>IFERROR(__xludf.DUMMYFUNCTION("""COMPUTED_VALUE"""),4.57)</f>
        <v>4.57</v>
      </c>
      <c r="F400" s="4">
        <f>IFERROR(__xludf.DUMMYFUNCTION("""COMPUTED_VALUE"""),24.59)</f>
        <v>24.59</v>
      </c>
      <c r="G400" s="4">
        <f>IFERROR(__xludf.DUMMYFUNCTION("""COMPUTED_VALUE"""),20.85)</f>
        <v>20.85</v>
      </c>
      <c r="H400" s="4">
        <f>IFERROR(__xludf.DUMMYFUNCTION("""COMPUTED_VALUE"""),0.0)</f>
        <v>0</v>
      </c>
      <c r="I400" s="4">
        <f>IFERROR(__xludf.DUMMYFUNCTION("""COMPUTED_VALUE"""),0.0)</f>
        <v>0</v>
      </c>
      <c r="J400" s="4">
        <f>IFERROR(__xludf.DUMMYFUNCTION("""COMPUTED_VALUE"""),0.0)</f>
        <v>0</v>
      </c>
      <c r="K400" s="4">
        <f>IFERROR(__xludf.DUMMYFUNCTION("""COMPUTED_VALUE"""),1039.3906000000002)</f>
        <v>1039.3906</v>
      </c>
      <c r="L400" s="4">
        <f>IFERROR(__xludf.DUMMYFUNCTION("""COMPUTED_VALUE"""),5.8985428577091215)</f>
        <v>5.898542858</v>
      </c>
    </row>
    <row r="401">
      <c r="A401" s="4" t="str">
        <f>IFERROR(__xludf.DUMMYFUNCTION("""COMPUTED_VALUE"""),"UGC05721")</f>
        <v>UGC05721</v>
      </c>
      <c r="B401" s="4">
        <f>IFERROR(__xludf.DUMMYFUNCTION("""COMPUTED_VALUE"""),6.18)</f>
        <v>6.18</v>
      </c>
      <c r="C401" s="4">
        <f>IFERROR(__xludf.DUMMYFUNCTION("""COMPUTED_VALUE"""),5.86)</f>
        <v>5.86</v>
      </c>
      <c r="D401" s="4">
        <f>IFERROR(__xludf.DUMMYFUNCTION("""COMPUTED_VALUE"""),78.6)</f>
        <v>78.6</v>
      </c>
      <c r="E401" s="4">
        <f>IFERROR(__xludf.DUMMYFUNCTION("""COMPUTED_VALUE"""),4.57)</f>
        <v>4.57</v>
      </c>
      <c r="F401" s="4">
        <f>IFERROR(__xludf.DUMMYFUNCTION("""COMPUTED_VALUE"""),24.78)</f>
        <v>24.78</v>
      </c>
      <c r="G401" s="4">
        <f>IFERROR(__xludf.DUMMYFUNCTION("""COMPUTED_VALUE"""),19.94)</f>
        <v>19.94</v>
      </c>
      <c r="H401" s="4">
        <f>IFERROR(__xludf.DUMMYFUNCTION("""COMPUTED_VALUE"""),0.0)</f>
        <v>0</v>
      </c>
      <c r="I401" s="4">
        <f>IFERROR(__xludf.DUMMYFUNCTION("""COMPUTED_VALUE"""),0.0)</f>
        <v>0</v>
      </c>
      <c r="J401" s="4">
        <f>IFERROR(__xludf.DUMMYFUNCTION("""COMPUTED_VALUE"""),0.0)</f>
        <v>0</v>
      </c>
      <c r="K401" s="4">
        <f>IFERROR(__xludf.DUMMYFUNCTION("""COMPUTED_VALUE"""),1011.652)</f>
        <v>1011.652</v>
      </c>
      <c r="L401" s="4">
        <f>IFERROR(__xludf.DUMMYFUNCTION("""COMPUTED_VALUE"""),6.106803525322936)</f>
        <v>6.106803525</v>
      </c>
    </row>
    <row r="402">
      <c r="A402" s="4" t="str">
        <f>IFERROR(__xludf.DUMMYFUNCTION("""COMPUTED_VALUE"""),"UGC05721")</f>
        <v>UGC05721</v>
      </c>
      <c r="B402" s="4">
        <f>IFERROR(__xludf.DUMMYFUNCTION("""COMPUTED_VALUE"""),6.18)</f>
        <v>6.18</v>
      </c>
      <c r="C402" s="4">
        <f>IFERROR(__xludf.DUMMYFUNCTION("""COMPUTED_VALUE"""),6.28)</f>
        <v>6.28</v>
      </c>
      <c r="D402" s="4">
        <f>IFERROR(__xludf.DUMMYFUNCTION("""COMPUTED_VALUE"""),78.9)</f>
        <v>78.9</v>
      </c>
      <c r="E402" s="4">
        <f>IFERROR(__xludf.DUMMYFUNCTION("""COMPUTED_VALUE"""),4.57)</f>
        <v>4.57</v>
      </c>
      <c r="F402" s="4">
        <f>IFERROR(__xludf.DUMMYFUNCTION("""COMPUTED_VALUE"""),24.59)</f>
        <v>24.59</v>
      </c>
      <c r="G402" s="4">
        <f>IFERROR(__xludf.DUMMYFUNCTION("""COMPUTED_VALUE"""),19.24)</f>
        <v>19.24</v>
      </c>
      <c r="H402" s="4">
        <f>IFERROR(__xludf.DUMMYFUNCTION("""COMPUTED_VALUE"""),0.0)</f>
        <v>0</v>
      </c>
      <c r="I402" s="4">
        <f>IFERROR(__xludf.DUMMYFUNCTION("""COMPUTED_VALUE"""),0.0)</f>
        <v>0</v>
      </c>
      <c r="J402" s="4">
        <f>IFERROR(__xludf.DUMMYFUNCTION("""COMPUTED_VALUE"""),0.0)</f>
        <v>0</v>
      </c>
      <c r="K402" s="4">
        <f>IFERROR(__xludf.DUMMYFUNCTION("""COMPUTED_VALUE"""),974.8456999999999)</f>
        <v>974.8457</v>
      </c>
      <c r="L402" s="4">
        <f>IFERROR(__xludf.DUMMYFUNCTION("""COMPUTED_VALUE"""),6.385841369562385)</f>
        <v>6.38584137</v>
      </c>
    </row>
    <row r="403">
      <c r="A403" s="5" t="str">
        <f>IFERROR(__xludf.DUMMYFUNCTION("""COMPUTED_VALUE"""),"UGC05721")</f>
        <v>UGC05721</v>
      </c>
      <c r="B403" s="5">
        <f>IFERROR(__xludf.DUMMYFUNCTION("""COMPUTED_VALUE"""),6.18)</f>
        <v>6.18</v>
      </c>
      <c r="C403" s="5">
        <f>IFERROR(__xludf.DUMMYFUNCTION("""COMPUTED_VALUE"""),6.74)</f>
        <v>6.74</v>
      </c>
      <c r="D403" s="5">
        <f>IFERROR(__xludf.DUMMYFUNCTION("""COMPUTED_VALUE"""),79.5)</f>
        <v>79.5</v>
      </c>
      <c r="E403" s="5">
        <f>IFERROR(__xludf.DUMMYFUNCTION("""COMPUTED_VALUE"""),4.57)</f>
        <v>4.57</v>
      </c>
      <c r="F403" s="5">
        <f>IFERROR(__xludf.DUMMYFUNCTION("""COMPUTED_VALUE"""),24.59)</f>
        <v>24.59</v>
      </c>
      <c r="G403" s="5">
        <f>IFERROR(__xludf.DUMMYFUNCTION("""COMPUTED_VALUE"""),18.55)</f>
        <v>18.55</v>
      </c>
      <c r="H403" s="5">
        <f>IFERROR(__xludf.DUMMYFUNCTION("""COMPUTED_VALUE"""),0.0)</f>
        <v>0</v>
      </c>
      <c r="I403" s="5">
        <f>IFERROR(__xludf.DUMMYFUNCTION("""COMPUTED_VALUE"""),0.0)</f>
        <v>0</v>
      </c>
      <c r="J403" s="5">
        <f>IFERROR(__xludf.DUMMYFUNCTION("""COMPUTED_VALUE"""),0.0)</f>
        <v>0</v>
      </c>
      <c r="K403" s="5">
        <f>IFERROR(__xludf.DUMMYFUNCTION("""COMPUTED_VALUE"""),948.7706000000001)</f>
        <v>948.7706</v>
      </c>
      <c r="L403" s="5">
        <f>IFERROR(__xludf.DUMMYFUNCTION("""COMPUTED_VALUE"""),6.661515439032364)</f>
        <v>6.661515439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4" t="str">
        <f>IFERROR(__xludf.DUMMYFUNCTION("""COMPUTED_VALUE"""),"UGC05764")</f>
        <v>UGC05764</v>
      </c>
      <c r="B404" s="4">
        <f>IFERROR(__xludf.DUMMYFUNCTION("""COMPUTED_VALUE"""),7.47)</f>
        <v>7.47</v>
      </c>
      <c r="C404" s="4">
        <f>IFERROR(__xludf.DUMMYFUNCTION("""COMPUTED_VALUE"""),0.36)</f>
        <v>0.36</v>
      </c>
      <c r="D404" s="4">
        <f>IFERROR(__xludf.DUMMYFUNCTION("""COMPUTED_VALUE"""),21.45)</f>
        <v>21.45</v>
      </c>
      <c r="E404" s="4">
        <f>IFERROR(__xludf.DUMMYFUNCTION("""COMPUTED_VALUE"""),1.99)</f>
        <v>1.99</v>
      </c>
      <c r="F404" s="4">
        <f>IFERROR(__xludf.DUMMYFUNCTION("""COMPUTED_VALUE"""),2.75)</f>
        <v>2.75</v>
      </c>
      <c r="G404" s="4">
        <f>IFERROR(__xludf.DUMMYFUNCTION("""COMPUTED_VALUE"""),5.37)</f>
        <v>5.37</v>
      </c>
      <c r="H404" s="4">
        <f>IFERROR(__xludf.DUMMYFUNCTION("""COMPUTED_VALUE"""),0.0)</f>
        <v>0</v>
      </c>
      <c r="I404" s="4">
        <f>IFERROR(__xludf.DUMMYFUNCTION("""COMPUTED_VALUE"""),14.8)</f>
        <v>14.8</v>
      </c>
      <c r="J404" s="4">
        <f>IFERROR(__xludf.DUMMYFUNCTION("""COMPUTED_VALUE"""),0.0)</f>
        <v>0</v>
      </c>
      <c r="K404" s="4">
        <f>IFERROR(__xludf.DUMMYFUNCTION("""COMPUTED_VALUE"""),36.3994)</f>
        <v>36.3994</v>
      </c>
      <c r="L404" s="4">
        <f>IFERROR(__xludf.DUMMYFUNCTION("""COMPUTED_VALUE"""),12.64038692945488)</f>
        <v>12.64038693</v>
      </c>
    </row>
    <row r="405">
      <c r="A405" s="4" t="str">
        <f>IFERROR(__xludf.DUMMYFUNCTION("""COMPUTED_VALUE"""),"UGC05764")</f>
        <v>UGC05764</v>
      </c>
      <c r="B405" s="4">
        <f>IFERROR(__xludf.DUMMYFUNCTION("""COMPUTED_VALUE"""),7.47)</f>
        <v>7.47</v>
      </c>
      <c r="C405" s="4">
        <f>IFERROR(__xludf.DUMMYFUNCTION("""COMPUTED_VALUE"""),0.73)</f>
        <v>0.73</v>
      </c>
      <c r="D405" s="4">
        <f>IFERROR(__xludf.DUMMYFUNCTION("""COMPUTED_VALUE"""),31.3)</f>
        <v>31.3</v>
      </c>
      <c r="E405" s="4">
        <f>IFERROR(__xludf.DUMMYFUNCTION("""COMPUTED_VALUE"""),1.58)</f>
        <v>1.58</v>
      </c>
      <c r="F405" s="4">
        <f>IFERROR(__xludf.DUMMYFUNCTION("""COMPUTED_VALUE"""),6.05)</f>
        <v>6.05</v>
      </c>
      <c r="G405" s="4">
        <f>IFERROR(__xludf.DUMMYFUNCTION("""COMPUTED_VALUE"""),10.22)</f>
        <v>10.22</v>
      </c>
      <c r="H405" s="4">
        <f>IFERROR(__xludf.DUMMYFUNCTION("""COMPUTED_VALUE"""),0.0)</f>
        <v>0</v>
      </c>
      <c r="I405" s="4">
        <f>IFERROR(__xludf.DUMMYFUNCTION("""COMPUTED_VALUE"""),11.43)</f>
        <v>11.43</v>
      </c>
      <c r="J405" s="4">
        <f>IFERROR(__xludf.DUMMYFUNCTION("""COMPUTED_VALUE"""),0.0)</f>
        <v>0</v>
      </c>
      <c r="K405" s="4">
        <f>IFERROR(__xludf.DUMMYFUNCTION("""COMPUTED_VALUE"""),141.0509)</f>
        <v>141.0509</v>
      </c>
      <c r="L405" s="4">
        <f>IFERROR(__xludf.DUMMYFUNCTION("""COMPUTED_VALUE"""),6.945648698448574)</f>
        <v>6.945648698</v>
      </c>
    </row>
    <row r="406">
      <c r="A406" s="4" t="str">
        <f>IFERROR(__xludf.DUMMYFUNCTION("""COMPUTED_VALUE"""),"UGC05764")</f>
        <v>UGC05764</v>
      </c>
      <c r="B406" s="4">
        <f>IFERROR(__xludf.DUMMYFUNCTION("""COMPUTED_VALUE"""),7.47)</f>
        <v>7.47</v>
      </c>
      <c r="C406" s="4">
        <f>IFERROR(__xludf.DUMMYFUNCTION("""COMPUTED_VALUE"""),1.09)</f>
        <v>1.09</v>
      </c>
      <c r="D406" s="4">
        <f>IFERROR(__xludf.DUMMYFUNCTION("""COMPUTED_VALUE"""),41.7)</f>
        <v>41.7</v>
      </c>
      <c r="E406" s="4">
        <f>IFERROR(__xludf.DUMMYFUNCTION("""COMPUTED_VALUE"""),1.16)</f>
        <v>1.16</v>
      </c>
      <c r="F406" s="4">
        <f>IFERROR(__xludf.DUMMYFUNCTION("""COMPUTED_VALUE"""),9.4)</f>
        <v>9.4</v>
      </c>
      <c r="G406" s="4">
        <f>IFERROR(__xludf.DUMMYFUNCTION("""COMPUTED_VALUE"""),11.44)</f>
        <v>11.44</v>
      </c>
      <c r="H406" s="4">
        <f>IFERROR(__xludf.DUMMYFUNCTION("""COMPUTED_VALUE"""),0.0)</f>
        <v>0</v>
      </c>
      <c r="I406" s="4">
        <f>IFERROR(__xludf.DUMMYFUNCTION("""COMPUTED_VALUE"""),3.66)</f>
        <v>3.66</v>
      </c>
      <c r="J406" s="4">
        <f>IFERROR(__xludf.DUMMYFUNCTION("""COMPUTED_VALUE"""),0.0)</f>
        <v>0</v>
      </c>
      <c r="K406" s="4">
        <f>IFERROR(__xludf.DUMMYFUNCTION("""COMPUTED_VALUE"""),219.2336)</f>
        <v>219.2336</v>
      </c>
      <c r="L406" s="4">
        <f>IFERROR(__xludf.DUMMYFUNCTION("""COMPUTED_VALUE"""),7.931676531334615)</f>
        <v>7.931676531</v>
      </c>
    </row>
    <row r="407">
      <c r="A407" s="4" t="str">
        <f>IFERROR(__xludf.DUMMYFUNCTION("""COMPUTED_VALUE"""),"UGC05764")</f>
        <v>UGC05764</v>
      </c>
      <c r="B407" s="4">
        <f>IFERROR(__xludf.DUMMYFUNCTION("""COMPUTED_VALUE"""),7.47)</f>
        <v>7.47</v>
      </c>
      <c r="C407" s="4">
        <f>IFERROR(__xludf.DUMMYFUNCTION("""COMPUTED_VALUE"""),1.45)</f>
        <v>1.45</v>
      </c>
      <c r="D407" s="4">
        <f>IFERROR(__xludf.DUMMYFUNCTION("""COMPUTED_VALUE"""),48.35)</f>
        <v>48.35</v>
      </c>
      <c r="E407" s="4">
        <f>IFERROR(__xludf.DUMMYFUNCTION("""COMPUTED_VALUE"""),0.44)</f>
        <v>0.44</v>
      </c>
      <c r="F407" s="4">
        <f>IFERROR(__xludf.DUMMYFUNCTION("""COMPUTED_VALUE"""),12.81)</f>
        <v>12.81</v>
      </c>
      <c r="G407" s="4">
        <f>IFERROR(__xludf.DUMMYFUNCTION("""COMPUTED_VALUE"""),11.24)</f>
        <v>11.24</v>
      </c>
      <c r="H407" s="4">
        <f>IFERROR(__xludf.DUMMYFUNCTION("""COMPUTED_VALUE"""),0.0)</f>
        <v>0</v>
      </c>
      <c r="I407" s="4">
        <f>IFERROR(__xludf.DUMMYFUNCTION("""COMPUTED_VALUE"""),2.65)</f>
        <v>2.65</v>
      </c>
      <c r="J407" s="4">
        <f>IFERROR(__xludf.DUMMYFUNCTION("""COMPUTED_VALUE"""),0.0)</f>
        <v>0</v>
      </c>
      <c r="K407" s="4">
        <f>IFERROR(__xludf.DUMMYFUNCTION("""COMPUTED_VALUE"""),290.43370000000004)</f>
        <v>290.4337</v>
      </c>
      <c r="L407" s="4">
        <f>IFERROR(__xludf.DUMMYFUNCTION("""COMPUTED_VALUE"""),8.049074539214974)</f>
        <v>8.049074539</v>
      </c>
    </row>
    <row r="408">
      <c r="A408" s="4" t="str">
        <f>IFERROR(__xludf.DUMMYFUNCTION("""COMPUTED_VALUE"""),"UGC05764")</f>
        <v>UGC05764</v>
      </c>
      <c r="B408" s="4">
        <f>IFERROR(__xludf.DUMMYFUNCTION("""COMPUTED_VALUE"""),7.47)</f>
        <v>7.47</v>
      </c>
      <c r="C408" s="4">
        <f>IFERROR(__xludf.DUMMYFUNCTION("""COMPUTED_VALUE"""),1.81)</f>
        <v>1.81</v>
      </c>
      <c r="D408" s="4">
        <f>IFERROR(__xludf.DUMMYFUNCTION("""COMPUTED_VALUE"""),50.6)</f>
        <v>50.6</v>
      </c>
      <c r="E408" s="4">
        <f>IFERROR(__xludf.DUMMYFUNCTION("""COMPUTED_VALUE"""),0.37)</f>
        <v>0.37</v>
      </c>
      <c r="F408" s="4">
        <f>IFERROR(__xludf.DUMMYFUNCTION("""COMPUTED_VALUE"""),16.05)</f>
        <v>16.05</v>
      </c>
      <c r="G408" s="4">
        <f>IFERROR(__xludf.DUMMYFUNCTION("""COMPUTED_VALUE"""),11.43)</f>
        <v>11.43</v>
      </c>
      <c r="H408" s="4">
        <f>IFERROR(__xludf.DUMMYFUNCTION("""COMPUTED_VALUE"""),0.0)</f>
        <v>0</v>
      </c>
      <c r="I408" s="4">
        <f>IFERROR(__xludf.DUMMYFUNCTION("""COMPUTED_VALUE"""),2.03)</f>
        <v>2.03</v>
      </c>
      <c r="J408" s="4">
        <f>IFERROR(__xludf.DUMMYFUNCTION("""COMPUTED_VALUE"""),0.0)</f>
        <v>0</v>
      </c>
      <c r="K408" s="4">
        <f>IFERROR(__xludf.DUMMYFUNCTION("""COMPUTED_VALUE"""),388.2474)</f>
        <v>388.2474</v>
      </c>
      <c r="L408" s="4">
        <f>IFERROR(__xludf.DUMMYFUNCTION("""COMPUTED_VALUE"""),6.594661033145361)</f>
        <v>6.594661033</v>
      </c>
    </row>
    <row r="409">
      <c r="A409" s="4" t="str">
        <f>IFERROR(__xludf.DUMMYFUNCTION("""COMPUTED_VALUE"""),"UGC05764")</f>
        <v>UGC05764</v>
      </c>
      <c r="B409" s="4">
        <f>IFERROR(__xludf.DUMMYFUNCTION("""COMPUTED_VALUE"""),7.47)</f>
        <v>7.47</v>
      </c>
      <c r="C409" s="4">
        <f>IFERROR(__xludf.DUMMYFUNCTION("""COMPUTED_VALUE"""),2.17)</f>
        <v>2.17</v>
      </c>
      <c r="D409" s="4">
        <f>IFERROR(__xludf.DUMMYFUNCTION("""COMPUTED_VALUE"""),54.05)</f>
        <v>54.05</v>
      </c>
      <c r="E409" s="4">
        <f>IFERROR(__xludf.DUMMYFUNCTION("""COMPUTED_VALUE"""),0.59)</f>
        <v>0.59</v>
      </c>
      <c r="F409" s="4">
        <f>IFERROR(__xludf.DUMMYFUNCTION("""COMPUTED_VALUE"""),18.46)</f>
        <v>18.46</v>
      </c>
      <c r="G409" s="4">
        <f>IFERROR(__xludf.DUMMYFUNCTION("""COMPUTED_VALUE"""),11.43)</f>
        <v>11.43</v>
      </c>
      <c r="H409" s="4">
        <f>IFERROR(__xludf.DUMMYFUNCTION("""COMPUTED_VALUE"""),0.0)</f>
        <v>0</v>
      </c>
      <c r="I409" s="4">
        <f>IFERROR(__xludf.DUMMYFUNCTION("""COMPUTED_VALUE"""),1.59)</f>
        <v>1.59</v>
      </c>
      <c r="J409" s="4">
        <f>IFERROR(__xludf.DUMMYFUNCTION("""COMPUTED_VALUE"""),0.0)</f>
        <v>0</v>
      </c>
      <c r="K409" s="4">
        <f>IFERROR(__xludf.DUMMYFUNCTION("""COMPUTED_VALUE"""),471.41650000000004)</f>
        <v>471.4165</v>
      </c>
      <c r="L409" s="4">
        <f>IFERROR(__xludf.DUMMYFUNCTION("""COMPUTED_VALUE"""),6.197073076568172)</f>
        <v>6.197073077</v>
      </c>
    </row>
    <row r="410">
      <c r="A410" s="4" t="str">
        <f>IFERROR(__xludf.DUMMYFUNCTION("""COMPUTED_VALUE"""),"UGC05764")</f>
        <v>UGC05764</v>
      </c>
      <c r="B410" s="4">
        <f>IFERROR(__xludf.DUMMYFUNCTION("""COMPUTED_VALUE"""),7.47)</f>
        <v>7.47</v>
      </c>
      <c r="C410" s="4">
        <f>IFERROR(__xludf.DUMMYFUNCTION("""COMPUTED_VALUE"""),2.54)</f>
        <v>2.54</v>
      </c>
      <c r="D410" s="4">
        <f>IFERROR(__xludf.DUMMYFUNCTION("""COMPUTED_VALUE"""),55.8)</f>
        <v>55.8</v>
      </c>
      <c r="E410" s="4">
        <f>IFERROR(__xludf.DUMMYFUNCTION("""COMPUTED_VALUE"""),0.76)</f>
        <v>0.76</v>
      </c>
      <c r="F410" s="4">
        <f>IFERROR(__xludf.DUMMYFUNCTION("""COMPUTED_VALUE"""),20.04)</f>
        <v>20.04</v>
      </c>
      <c r="G410" s="4">
        <f>IFERROR(__xludf.DUMMYFUNCTION("""COMPUTED_VALUE"""),11.39)</f>
        <v>11.39</v>
      </c>
      <c r="H410" s="4">
        <f>IFERROR(__xludf.DUMMYFUNCTION("""COMPUTED_VALUE"""),0.0)</f>
        <v>0</v>
      </c>
      <c r="I410" s="4">
        <f>IFERROR(__xludf.DUMMYFUNCTION("""COMPUTED_VALUE"""),1.06)</f>
        <v>1.06</v>
      </c>
      <c r="J410" s="4">
        <f>IFERROR(__xludf.DUMMYFUNCTION("""COMPUTED_VALUE"""),0.0)</f>
        <v>0</v>
      </c>
      <c r="K410" s="4">
        <f>IFERROR(__xludf.DUMMYFUNCTION("""COMPUTED_VALUE"""),531.3336999999999)</f>
        <v>531.3337</v>
      </c>
      <c r="L410" s="4">
        <f>IFERROR(__xludf.DUMMYFUNCTION("""COMPUTED_VALUE"""),5.860046144259249)</f>
        <v>5.860046144</v>
      </c>
    </row>
    <row r="411">
      <c r="A411" s="4" t="str">
        <f>IFERROR(__xludf.DUMMYFUNCTION("""COMPUTED_VALUE"""),"UGC05764")</f>
        <v>UGC05764</v>
      </c>
      <c r="B411" s="4">
        <f>IFERROR(__xludf.DUMMYFUNCTION("""COMPUTED_VALUE"""),7.47)</f>
        <v>7.47</v>
      </c>
      <c r="C411" s="4">
        <f>IFERROR(__xludf.DUMMYFUNCTION("""COMPUTED_VALUE"""),2.9)</f>
        <v>2.9</v>
      </c>
      <c r="D411" s="4">
        <f>IFERROR(__xludf.DUMMYFUNCTION("""COMPUTED_VALUE"""),54.55)</f>
        <v>54.55</v>
      </c>
      <c r="E411" s="4">
        <f>IFERROR(__xludf.DUMMYFUNCTION("""COMPUTED_VALUE"""),0.71)</f>
        <v>0.71</v>
      </c>
      <c r="F411" s="4">
        <f>IFERROR(__xludf.DUMMYFUNCTION("""COMPUTED_VALUE"""),20.71)</f>
        <v>20.71</v>
      </c>
      <c r="G411" s="4">
        <f>IFERROR(__xludf.DUMMYFUNCTION("""COMPUTED_VALUE"""),11.38)</f>
        <v>11.38</v>
      </c>
      <c r="H411" s="4">
        <f>IFERROR(__xludf.DUMMYFUNCTION("""COMPUTED_VALUE"""),0.0)</f>
        <v>0</v>
      </c>
      <c r="I411" s="4">
        <f>IFERROR(__xludf.DUMMYFUNCTION("""COMPUTED_VALUE"""),0.81)</f>
        <v>0.81</v>
      </c>
      <c r="J411" s="4">
        <f>IFERROR(__xludf.DUMMYFUNCTION("""COMPUTED_VALUE"""),0.0)</f>
        <v>0</v>
      </c>
      <c r="K411" s="4">
        <f>IFERROR(__xludf.DUMMYFUNCTION("""COMPUTED_VALUE"""),558.4085)</f>
        <v>558.4085</v>
      </c>
      <c r="L411" s="4">
        <f>IFERROR(__xludf.DUMMYFUNCTION("""COMPUTED_VALUE"""),5.328899004939932)</f>
        <v>5.328899005</v>
      </c>
    </row>
    <row r="412">
      <c r="A412" s="4" t="str">
        <f>IFERROR(__xludf.DUMMYFUNCTION("""COMPUTED_VALUE"""),"UGC05764")</f>
        <v>UGC05764</v>
      </c>
      <c r="B412" s="4">
        <f>IFERROR(__xludf.DUMMYFUNCTION("""COMPUTED_VALUE"""),7.47)</f>
        <v>7.47</v>
      </c>
      <c r="C412" s="4">
        <f>IFERROR(__xludf.DUMMYFUNCTION("""COMPUTED_VALUE"""),3.26)</f>
        <v>3.26</v>
      </c>
      <c r="D412" s="4">
        <f>IFERROR(__xludf.DUMMYFUNCTION("""COMPUTED_VALUE"""),50.0)</f>
        <v>50</v>
      </c>
      <c r="E412" s="4">
        <f>IFERROR(__xludf.DUMMYFUNCTION("""COMPUTED_VALUE"""),2.65)</f>
        <v>2.65</v>
      </c>
      <c r="F412" s="4">
        <f>IFERROR(__xludf.DUMMYFUNCTION("""COMPUTED_VALUE"""),20.29)</f>
        <v>20.29</v>
      </c>
      <c r="G412" s="4">
        <f>IFERROR(__xludf.DUMMYFUNCTION("""COMPUTED_VALUE"""),11.12)</f>
        <v>11.12</v>
      </c>
      <c r="H412" s="4">
        <f>IFERROR(__xludf.DUMMYFUNCTION("""COMPUTED_VALUE"""),0.0)</f>
        <v>0</v>
      </c>
      <c r="I412" s="4">
        <f>IFERROR(__xludf.DUMMYFUNCTION("""COMPUTED_VALUE"""),0.56)</f>
        <v>0.56</v>
      </c>
      <c r="J412" s="4">
        <f>IFERROR(__xludf.DUMMYFUNCTION("""COMPUTED_VALUE"""),0.0)</f>
        <v>0</v>
      </c>
      <c r="K412" s="4">
        <f>IFERROR(__xludf.DUMMYFUNCTION("""COMPUTED_VALUE"""),535.3385)</f>
        <v>535.3385</v>
      </c>
      <c r="L412" s="4">
        <f>IFERROR(__xludf.DUMMYFUNCTION("""COMPUTED_VALUE"""),4.669942475648585)</f>
        <v>4.669942476</v>
      </c>
    </row>
    <row r="413">
      <c r="A413" s="5" t="str">
        <f>IFERROR(__xludf.DUMMYFUNCTION("""COMPUTED_VALUE"""),"UGC05764")</f>
        <v>UGC05764</v>
      </c>
      <c r="B413" s="5">
        <f>IFERROR(__xludf.DUMMYFUNCTION("""COMPUTED_VALUE"""),7.47)</f>
        <v>7.47</v>
      </c>
      <c r="C413" s="5">
        <f>IFERROR(__xludf.DUMMYFUNCTION("""COMPUTED_VALUE"""),3.62)</f>
        <v>3.62</v>
      </c>
      <c r="D413" s="5">
        <f>IFERROR(__xludf.DUMMYFUNCTION("""COMPUTED_VALUE"""),49.9)</f>
        <v>49.9</v>
      </c>
      <c r="E413" s="5">
        <f>IFERROR(__xludf.DUMMYFUNCTION("""COMPUTED_VALUE"""),2.77)</f>
        <v>2.77</v>
      </c>
      <c r="F413" s="5">
        <f>IFERROR(__xludf.DUMMYFUNCTION("""COMPUTED_VALUE"""),19.63)</f>
        <v>19.63</v>
      </c>
      <c r="G413" s="5">
        <f>IFERROR(__xludf.DUMMYFUNCTION("""COMPUTED_VALUE"""),11.17)</f>
        <v>11.17</v>
      </c>
      <c r="H413" s="5">
        <f>IFERROR(__xludf.DUMMYFUNCTION("""COMPUTED_VALUE"""),0.0)</f>
        <v>0</v>
      </c>
      <c r="I413" s="5">
        <f>IFERROR(__xludf.DUMMYFUNCTION("""COMPUTED_VALUE"""),0.44)</f>
        <v>0.44</v>
      </c>
      <c r="J413" s="5">
        <f>IFERROR(__xludf.DUMMYFUNCTION("""COMPUTED_VALUE"""),0.0)</f>
        <v>0</v>
      </c>
      <c r="K413" s="5">
        <f>IFERROR(__xludf.DUMMYFUNCTION("""COMPUTED_VALUE"""),510.10579999999993)</f>
        <v>510.1058</v>
      </c>
      <c r="L413" s="5">
        <f>IFERROR(__xludf.DUMMYFUNCTION("""COMPUTED_VALUE"""),4.881359906121436)</f>
        <v>4.881359906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4" t="str">
        <f>IFERROR(__xludf.DUMMYFUNCTION("""COMPUTED_VALUE"""),"UGC05829")</f>
        <v>UGC05829</v>
      </c>
      <c r="B414" s="4">
        <f>IFERROR(__xludf.DUMMYFUNCTION("""COMPUTED_VALUE"""),8.64)</f>
        <v>8.64</v>
      </c>
      <c r="C414" s="4">
        <f>IFERROR(__xludf.DUMMYFUNCTION("""COMPUTED_VALUE"""),0.63)</f>
        <v>0.63</v>
      </c>
      <c r="D414" s="4">
        <f>IFERROR(__xludf.DUMMYFUNCTION("""COMPUTED_VALUE"""),14.8)</f>
        <v>14.8</v>
      </c>
      <c r="E414" s="4">
        <f>IFERROR(__xludf.DUMMYFUNCTION("""COMPUTED_VALUE"""),5.06)</f>
        <v>5.06</v>
      </c>
      <c r="F414" s="4">
        <f>IFERROR(__xludf.DUMMYFUNCTION("""COMPUTED_VALUE"""),-2.24)</f>
        <v>-2.24</v>
      </c>
      <c r="G414" s="4">
        <f>IFERROR(__xludf.DUMMYFUNCTION("""COMPUTED_VALUE"""),7.48)</f>
        <v>7.48</v>
      </c>
      <c r="H414" s="4">
        <f>IFERROR(__xludf.DUMMYFUNCTION("""COMPUTED_VALUE"""),0.0)</f>
        <v>0</v>
      </c>
      <c r="I414" s="4">
        <f>IFERROR(__xludf.DUMMYFUNCTION("""COMPUTED_VALUE"""),16.55)</f>
        <v>16.55</v>
      </c>
      <c r="J414" s="4">
        <f>IFERROR(__xludf.DUMMYFUNCTION("""COMPUTED_VALUE"""),0.0)</f>
        <v>0</v>
      </c>
      <c r="K414" s="4">
        <f>IFERROR(__xludf.DUMMYFUNCTION("""COMPUTED_VALUE"""),60.96800000000001)</f>
        <v>60.968</v>
      </c>
      <c r="L414" s="4">
        <f>IFERROR(__xludf.DUMMYFUNCTION("""COMPUTED_VALUE"""),3.592704369505314)</f>
        <v>3.59270437</v>
      </c>
    </row>
    <row r="415">
      <c r="A415" s="4" t="str">
        <f>IFERROR(__xludf.DUMMYFUNCTION("""COMPUTED_VALUE"""),"UGC05829")</f>
        <v>UGC05829</v>
      </c>
      <c r="B415" s="4">
        <f>IFERROR(__xludf.DUMMYFUNCTION("""COMPUTED_VALUE"""),8.64)</f>
        <v>8.64</v>
      </c>
      <c r="C415" s="4">
        <f>IFERROR(__xludf.DUMMYFUNCTION("""COMPUTED_VALUE"""),1.26)</f>
        <v>1.26</v>
      </c>
      <c r="D415" s="4">
        <f>IFERROR(__xludf.DUMMYFUNCTION("""COMPUTED_VALUE"""),27.2)</f>
        <v>27.2</v>
      </c>
      <c r="E415" s="4">
        <f>IFERROR(__xludf.DUMMYFUNCTION("""COMPUTED_VALUE"""),5.06)</f>
        <v>5.06</v>
      </c>
      <c r="F415" s="4">
        <f>IFERROR(__xludf.DUMMYFUNCTION("""COMPUTED_VALUE"""),-3.7)</f>
        <v>-3.7</v>
      </c>
      <c r="G415" s="4">
        <f>IFERROR(__xludf.DUMMYFUNCTION("""COMPUTED_VALUE"""),13.07)</f>
        <v>13.07</v>
      </c>
      <c r="H415" s="4">
        <f>IFERROR(__xludf.DUMMYFUNCTION("""COMPUTED_VALUE"""),0.0)</f>
        <v>0</v>
      </c>
      <c r="I415" s="4">
        <f>IFERROR(__xludf.DUMMYFUNCTION("""COMPUTED_VALUE"""),13.49)</f>
        <v>13.49</v>
      </c>
      <c r="J415" s="4">
        <f>IFERROR(__xludf.DUMMYFUNCTION("""COMPUTED_VALUE"""),0.0)</f>
        <v>0</v>
      </c>
      <c r="K415" s="4">
        <f>IFERROR(__xludf.DUMMYFUNCTION("""COMPUTED_VALUE"""),184.5149)</f>
        <v>184.5149</v>
      </c>
      <c r="L415" s="4">
        <f>IFERROR(__xludf.DUMMYFUNCTION("""COMPUTED_VALUE"""),4.009649085250025)</f>
        <v>4.009649085</v>
      </c>
    </row>
    <row r="416">
      <c r="A416" s="4" t="str">
        <f>IFERROR(__xludf.DUMMYFUNCTION("""COMPUTED_VALUE"""),"UGC05829")</f>
        <v>UGC05829</v>
      </c>
      <c r="B416" s="4">
        <f>IFERROR(__xludf.DUMMYFUNCTION("""COMPUTED_VALUE"""),8.64)</f>
        <v>8.64</v>
      </c>
      <c r="C416" s="4">
        <f>IFERROR(__xludf.DUMMYFUNCTION("""COMPUTED_VALUE"""),1.88)</f>
        <v>1.88</v>
      </c>
      <c r="D416" s="4">
        <f>IFERROR(__xludf.DUMMYFUNCTION("""COMPUTED_VALUE"""),34.1)</f>
        <v>34.1</v>
      </c>
      <c r="E416" s="4">
        <f>IFERROR(__xludf.DUMMYFUNCTION("""COMPUTED_VALUE"""),5.06)</f>
        <v>5.06</v>
      </c>
      <c r="F416" s="4">
        <f>IFERROR(__xludf.DUMMYFUNCTION("""COMPUTED_VALUE"""),3.88)</f>
        <v>3.88</v>
      </c>
      <c r="G416" s="4">
        <f>IFERROR(__xludf.DUMMYFUNCTION("""COMPUTED_VALUE"""),16.73)</f>
        <v>16.73</v>
      </c>
      <c r="H416" s="4">
        <f>IFERROR(__xludf.DUMMYFUNCTION("""COMPUTED_VALUE"""),0.0)</f>
        <v>0</v>
      </c>
      <c r="I416" s="4">
        <f>IFERROR(__xludf.DUMMYFUNCTION("""COMPUTED_VALUE"""),9.83)</f>
        <v>9.83</v>
      </c>
      <c r="J416" s="4">
        <f>IFERROR(__xludf.DUMMYFUNCTION("""COMPUTED_VALUE"""),0.0)</f>
        <v>0</v>
      </c>
      <c r="K416" s="4">
        <f>IFERROR(__xludf.DUMMYFUNCTION("""COMPUTED_VALUE"""),294.9473)</f>
        <v>294.9473</v>
      </c>
      <c r="L416" s="4">
        <f>IFERROR(__xludf.DUMMYFUNCTION("""COMPUTED_VALUE"""),3.942433105846367)</f>
        <v>3.942433106</v>
      </c>
    </row>
    <row r="417">
      <c r="A417" s="4" t="str">
        <f>IFERROR(__xludf.DUMMYFUNCTION("""COMPUTED_VALUE"""),"UGC05829")</f>
        <v>UGC05829</v>
      </c>
      <c r="B417" s="4">
        <f>IFERROR(__xludf.DUMMYFUNCTION("""COMPUTED_VALUE"""),8.64)</f>
        <v>8.64</v>
      </c>
      <c r="C417" s="4">
        <f>IFERROR(__xludf.DUMMYFUNCTION("""COMPUTED_VALUE"""),2.52)</f>
        <v>2.52</v>
      </c>
      <c r="D417" s="4">
        <f>IFERROR(__xludf.DUMMYFUNCTION("""COMPUTED_VALUE"""),38.8)</f>
        <v>38.8</v>
      </c>
      <c r="E417" s="4">
        <f>IFERROR(__xludf.DUMMYFUNCTION("""COMPUTED_VALUE"""),5.06)</f>
        <v>5.06</v>
      </c>
      <c r="F417" s="4">
        <f>IFERROR(__xludf.DUMMYFUNCTION("""COMPUTED_VALUE"""),-2.84)</f>
        <v>-2.84</v>
      </c>
      <c r="G417" s="4">
        <f>IFERROR(__xludf.DUMMYFUNCTION("""COMPUTED_VALUE"""),19.07)</f>
        <v>19.07</v>
      </c>
      <c r="H417" s="4">
        <f>IFERROR(__xludf.DUMMYFUNCTION("""COMPUTED_VALUE"""),0.0)</f>
        <v>0</v>
      </c>
      <c r="I417" s="4">
        <f>IFERROR(__xludf.DUMMYFUNCTION("""COMPUTED_VALUE"""),6.78)</f>
        <v>6.78</v>
      </c>
      <c r="J417" s="4">
        <f>IFERROR(__xludf.DUMMYFUNCTION("""COMPUTED_VALUE"""),0.0)</f>
        <v>0</v>
      </c>
      <c r="K417" s="4">
        <f>IFERROR(__xludf.DUMMYFUNCTION("""COMPUTED_VALUE"""),371.7305)</f>
        <v>371.7305</v>
      </c>
      <c r="L417" s="4">
        <f>IFERROR(__xludf.DUMMYFUNCTION("""COMPUTED_VALUE"""),4.049815659462971)</f>
        <v>4.049815659</v>
      </c>
    </row>
    <row r="418">
      <c r="A418" s="4" t="str">
        <f>IFERROR(__xludf.DUMMYFUNCTION("""COMPUTED_VALUE"""),"UGC05829")</f>
        <v>UGC05829</v>
      </c>
      <c r="B418" s="4">
        <f>IFERROR(__xludf.DUMMYFUNCTION("""COMPUTED_VALUE"""),8.64)</f>
        <v>8.64</v>
      </c>
      <c r="C418" s="4">
        <f>IFERROR(__xludf.DUMMYFUNCTION("""COMPUTED_VALUE"""),3.14)</f>
        <v>3.14</v>
      </c>
      <c r="D418" s="4">
        <f>IFERROR(__xludf.DUMMYFUNCTION("""COMPUTED_VALUE"""),42.8)</f>
        <v>42.8</v>
      </c>
      <c r="E418" s="4">
        <f>IFERROR(__xludf.DUMMYFUNCTION("""COMPUTED_VALUE"""),5.06)</f>
        <v>5.06</v>
      </c>
      <c r="F418" s="4">
        <f>IFERROR(__xludf.DUMMYFUNCTION("""COMPUTED_VALUE"""),11.17)</f>
        <v>11.17</v>
      </c>
      <c r="G418" s="4">
        <f>IFERROR(__xludf.DUMMYFUNCTION("""COMPUTED_VALUE"""),20.36)</f>
        <v>20.36</v>
      </c>
      <c r="H418" s="4">
        <f>IFERROR(__xludf.DUMMYFUNCTION("""COMPUTED_VALUE"""),0.0)</f>
        <v>0</v>
      </c>
      <c r="I418" s="4">
        <f>IFERROR(__xludf.DUMMYFUNCTION("""COMPUTED_VALUE"""),4.99)</f>
        <v>4.99</v>
      </c>
      <c r="J418" s="4">
        <f>IFERROR(__xludf.DUMMYFUNCTION("""COMPUTED_VALUE"""),0.0)</f>
        <v>0</v>
      </c>
      <c r="K418" s="4">
        <f>IFERROR(__xludf.DUMMYFUNCTION("""COMPUTED_VALUE"""),539.2985)</f>
        <v>539.2985</v>
      </c>
      <c r="L418" s="4">
        <f>IFERROR(__xludf.DUMMYFUNCTION("""COMPUTED_VALUE"""),3.396708872730037)</f>
        <v>3.396708873</v>
      </c>
    </row>
    <row r="419">
      <c r="A419" s="4" t="str">
        <f>IFERROR(__xludf.DUMMYFUNCTION("""COMPUTED_VALUE"""),"UGC05829")</f>
        <v>UGC05829</v>
      </c>
      <c r="B419" s="4">
        <f>IFERROR(__xludf.DUMMYFUNCTION("""COMPUTED_VALUE"""),8.64)</f>
        <v>8.64</v>
      </c>
      <c r="C419" s="4">
        <f>IFERROR(__xludf.DUMMYFUNCTION("""COMPUTED_VALUE"""),3.77)</f>
        <v>3.77</v>
      </c>
      <c r="D419" s="4">
        <f>IFERROR(__xludf.DUMMYFUNCTION("""COMPUTED_VALUE"""),47.9)</f>
        <v>47.9</v>
      </c>
      <c r="E419" s="4">
        <f>IFERROR(__xludf.DUMMYFUNCTION("""COMPUTED_VALUE"""),5.06)</f>
        <v>5.06</v>
      </c>
      <c r="F419" s="4">
        <f>IFERROR(__xludf.DUMMYFUNCTION("""COMPUTED_VALUE"""),17.24)</f>
        <v>17.24</v>
      </c>
      <c r="G419" s="4">
        <f>IFERROR(__xludf.DUMMYFUNCTION("""COMPUTED_VALUE"""),21.25)</f>
        <v>21.25</v>
      </c>
      <c r="H419" s="4">
        <f>IFERROR(__xludf.DUMMYFUNCTION("""COMPUTED_VALUE"""),0.0)</f>
        <v>0</v>
      </c>
      <c r="I419" s="4">
        <f>IFERROR(__xludf.DUMMYFUNCTION("""COMPUTED_VALUE"""),3.62)</f>
        <v>3.62</v>
      </c>
      <c r="J419" s="4">
        <f>IFERROR(__xludf.DUMMYFUNCTION("""COMPUTED_VALUE"""),0.0)</f>
        <v>0</v>
      </c>
      <c r="K419" s="4">
        <f>IFERROR(__xludf.DUMMYFUNCTION("""COMPUTED_VALUE"""),748.7801)</f>
        <v>748.7801</v>
      </c>
      <c r="L419" s="4">
        <f>IFERROR(__xludf.DUMMYFUNCTION("""COMPUTED_VALUE"""),3.0641973524670325)</f>
        <v>3.064197352</v>
      </c>
    </row>
    <row r="420">
      <c r="A420" s="4" t="str">
        <f>IFERROR(__xludf.DUMMYFUNCTION("""COMPUTED_VALUE"""),"UGC05829")</f>
        <v>UGC05829</v>
      </c>
      <c r="B420" s="4">
        <f>IFERROR(__xludf.DUMMYFUNCTION("""COMPUTED_VALUE"""),8.64)</f>
        <v>8.64</v>
      </c>
      <c r="C420" s="4">
        <f>IFERROR(__xludf.DUMMYFUNCTION("""COMPUTED_VALUE"""),4.4)</f>
        <v>4.4</v>
      </c>
      <c r="D420" s="4">
        <f>IFERROR(__xludf.DUMMYFUNCTION("""COMPUTED_VALUE"""),51.9)</f>
        <v>51.9</v>
      </c>
      <c r="E420" s="4">
        <f>IFERROR(__xludf.DUMMYFUNCTION("""COMPUTED_VALUE"""),5.06)</f>
        <v>5.06</v>
      </c>
      <c r="F420" s="4">
        <f>IFERROR(__xludf.DUMMYFUNCTION("""COMPUTED_VALUE"""),20.77)</f>
        <v>20.77</v>
      </c>
      <c r="G420" s="4">
        <f>IFERROR(__xludf.DUMMYFUNCTION("""COMPUTED_VALUE"""),21.39)</f>
        <v>21.39</v>
      </c>
      <c r="H420" s="4">
        <f>IFERROR(__xludf.DUMMYFUNCTION("""COMPUTED_VALUE"""),0.0)</f>
        <v>0</v>
      </c>
      <c r="I420" s="4">
        <f>IFERROR(__xludf.DUMMYFUNCTION("""COMPUTED_VALUE"""),2.6)</f>
        <v>2.6</v>
      </c>
      <c r="J420" s="4">
        <f>IFERROR(__xludf.DUMMYFUNCTION("""COMPUTED_VALUE"""),0.0)</f>
        <v>0</v>
      </c>
      <c r="K420" s="4">
        <f>IFERROR(__xludf.DUMMYFUNCTION("""COMPUTED_VALUE"""),888.925)</f>
        <v>888.925</v>
      </c>
      <c r="L420" s="4">
        <f>IFERROR(__xludf.DUMMYFUNCTION("""COMPUTED_VALUE"""),3.0301881486064626)</f>
        <v>3.030188149</v>
      </c>
    </row>
    <row r="421">
      <c r="A421" s="4" t="str">
        <f>IFERROR(__xludf.DUMMYFUNCTION("""COMPUTED_VALUE"""),"UGC05829")</f>
        <v>UGC05829</v>
      </c>
      <c r="B421" s="4">
        <f>IFERROR(__xludf.DUMMYFUNCTION("""COMPUTED_VALUE"""),8.64)</f>
        <v>8.64</v>
      </c>
      <c r="C421" s="4">
        <f>IFERROR(__xludf.DUMMYFUNCTION("""COMPUTED_VALUE"""),5.03)</f>
        <v>5.03</v>
      </c>
      <c r="D421" s="4">
        <f>IFERROR(__xludf.DUMMYFUNCTION("""COMPUTED_VALUE"""),57.6)</f>
        <v>57.6</v>
      </c>
      <c r="E421" s="4">
        <f>IFERROR(__xludf.DUMMYFUNCTION("""COMPUTED_VALUE"""),5.06)</f>
        <v>5.06</v>
      </c>
      <c r="F421" s="4">
        <f>IFERROR(__xludf.DUMMYFUNCTION("""COMPUTED_VALUE"""),26.16)</f>
        <v>26.16</v>
      </c>
      <c r="G421" s="4">
        <f>IFERROR(__xludf.DUMMYFUNCTION("""COMPUTED_VALUE"""),21.32)</f>
        <v>21.32</v>
      </c>
      <c r="H421" s="4">
        <f>IFERROR(__xludf.DUMMYFUNCTION("""COMPUTED_VALUE"""),0.0)</f>
        <v>0</v>
      </c>
      <c r="I421" s="4">
        <f>IFERROR(__xludf.DUMMYFUNCTION("""COMPUTED_VALUE"""),1.84)</f>
        <v>1.84</v>
      </c>
      <c r="J421" s="4">
        <f>IFERROR(__xludf.DUMMYFUNCTION("""COMPUTED_VALUE"""),0.0)</f>
        <v>0</v>
      </c>
      <c r="K421" s="4">
        <f>IFERROR(__xludf.DUMMYFUNCTION("""COMPUTED_VALUE"""),1138.888)</f>
        <v>1138.888</v>
      </c>
      <c r="L421" s="4">
        <f>IFERROR(__xludf.DUMMYFUNCTION("""COMPUTED_VALUE"""),2.9131573956350407)</f>
        <v>2.913157396</v>
      </c>
    </row>
    <row r="422">
      <c r="A422" s="4" t="str">
        <f>IFERROR(__xludf.DUMMYFUNCTION("""COMPUTED_VALUE"""),"UGC05829")</f>
        <v>UGC05829</v>
      </c>
      <c r="B422" s="4">
        <f>IFERROR(__xludf.DUMMYFUNCTION("""COMPUTED_VALUE"""),8.64)</f>
        <v>8.64</v>
      </c>
      <c r="C422" s="4">
        <f>IFERROR(__xludf.DUMMYFUNCTION("""COMPUTED_VALUE"""),5.65)</f>
        <v>5.65</v>
      </c>
      <c r="D422" s="4">
        <f>IFERROR(__xludf.DUMMYFUNCTION("""COMPUTED_VALUE"""),60.7)</f>
        <v>60.7</v>
      </c>
      <c r="E422" s="4">
        <f>IFERROR(__xludf.DUMMYFUNCTION("""COMPUTED_VALUE"""),5.06)</f>
        <v>5.06</v>
      </c>
      <c r="F422" s="4">
        <f>IFERROR(__xludf.DUMMYFUNCTION("""COMPUTED_VALUE"""),31.16)</f>
        <v>31.16</v>
      </c>
      <c r="G422" s="4">
        <f>IFERROR(__xludf.DUMMYFUNCTION("""COMPUTED_VALUE"""),20.9)</f>
        <v>20.9</v>
      </c>
      <c r="H422" s="4">
        <f>IFERROR(__xludf.DUMMYFUNCTION("""COMPUTED_VALUE"""),0.0)</f>
        <v>0</v>
      </c>
      <c r="I422" s="4">
        <f>IFERROR(__xludf.DUMMYFUNCTION("""COMPUTED_VALUE"""),1.34)</f>
        <v>1.34</v>
      </c>
      <c r="J422" s="4">
        <f>IFERROR(__xludf.DUMMYFUNCTION("""COMPUTED_VALUE"""),0.0)</f>
        <v>0</v>
      </c>
      <c r="K422" s="4">
        <f>IFERROR(__xludf.DUMMYFUNCTION("""COMPUTED_VALUE"""),1407.7556)</f>
        <v>1407.7556</v>
      </c>
      <c r="L422" s="4">
        <f>IFERROR(__xludf.DUMMYFUNCTION("""COMPUTED_VALUE"""),2.6172795902925197)</f>
        <v>2.61727959</v>
      </c>
    </row>
    <row r="423">
      <c r="A423" s="4" t="str">
        <f>IFERROR(__xludf.DUMMYFUNCTION("""COMPUTED_VALUE"""),"UGC05829")</f>
        <v>UGC05829</v>
      </c>
      <c r="B423" s="4">
        <f>IFERROR(__xludf.DUMMYFUNCTION("""COMPUTED_VALUE"""),8.64)</f>
        <v>8.64</v>
      </c>
      <c r="C423" s="4">
        <f>IFERROR(__xludf.DUMMYFUNCTION("""COMPUTED_VALUE"""),6.29)</f>
        <v>6.29</v>
      </c>
      <c r="D423" s="4">
        <f>IFERROR(__xludf.DUMMYFUNCTION("""COMPUTED_VALUE"""),65.6)</f>
        <v>65.6</v>
      </c>
      <c r="E423" s="4">
        <f>IFERROR(__xludf.DUMMYFUNCTION("""COMPUTED_VALUE"""),5.06)</f>
        <v>5.06</v>
      </c>
      <c r="F423" s="4">
        <f>IFERROR(__xludf.DUMMYFUNCTION("""COMPUTED_VALUE"""),33.7)</f>
        <v>33.7</v>
      </c>
      <c r="G423" s="4">
        <f>IFERROR(__xludf.DUMMYFUNCTION("""COMPUTED_VALUE"""),20.41)</f>
        <v>20.41</v>
      </c>
      <c r="H423" s="4">
        <f>IFERROR(__xludf.DUMMYFUNCTION("""COMPUTED_VALUE"""),0.0)</f>
        <v>0</v>
      </c>
      <c r="I423" s="4">
        <f>IFERROR(__xludf.DUMMYFUNCTION("""COMPUTED_VALUE"""),1.04)</f>
        <v>1.04</v>
      </c>
      <c r="J423" s="4">
        <f>IFERROR(__xludf.DUMMYFUNCTION("""COMPUTED_VALUE"""),0.0)</f>
        <v>0</v>
      </c>
      <c r="K423" s="4">
        <f>IFERROR(__xludf.DUMMYFUNCTION("""COMPUTED_VALUE"""),1552.2581000000002)</f>
        <v>1552.2581</v>
      </c>
      <c r="L423" s="4">
        <f>IFERROR(__xludf.DUMMYFUNCTION("""COMPUTED_VALUE"""),2.772322463641838)</f>
        <v>2.772322464</v>
      </c>
    </row>
    <row r="424">
      <c r="A424" s="5" t="str">
        <f>IFERROR(__xludf.DUMMYFUNCTION("""COMPUTED_VALUE"""),"UGC05829")</f>
        <v>UGC05829</v>
      </c>
      <c r="B424" s="5">
        <f>IFERROR(__xludf.DUMMYFUNCTION("""COMPUTED_VALUE"""),8.64)</f>
        <v>8.64</v>
      </c>
      <c r="C424" s="5">
        <f>IFERROR(__xludf.DUMMYFUNCTION("""COMPUTED_VALUE"""),6.91)</f>
        <v>6.91</v>
      </c>
      <c r="D424" s="5">
        <f>IFERROR(__xludf.DUMMYFUNCTION("""COMPUTED_VALUE"""),68.6)</f>
        <v>68.6</v>
      </c>
      <c r="E424" s="5">
        <f>IFERROR(__xludf.DUMMYFUNCTION("""COMPUTED_VALUE"""),5.06)</f>
        <v>5.06</v>
      </c>
      <c r="F424" s="5">
        <f>IFERROR(__xludf.DUMMYFUNCTION("""COMPUTED_VALUE"""),34.59)</f>
        <v>34.59</v>
      </c>
      <c r="G424" s="5">
        <f>IFERROR(__xludf.DUMMYFUNCTION("""COMPUTED_VALUE"""),20.24)</f>
        <v>20.24</v>
      </c>
      <c r="H424" s="5">
        <f>IFERROR(__xludf.DUMMYFUNCTION("""COMPUTED_VALUE"""),0.0)</f>
        <v>0</v>
      </c>
      <c r="I424" s="5">
        <f>IFERROR(__xludf.DUMMYFUNCTION("""COMPUTED_VALUE"""),0.91)</f>
        <v>0.91</v>
      </c>
      <c r="J424" s="5">
        <f>IFERROR(__xludf.DUMMYFUNCTION("""COMPUTED_VALUE"""),0.0)</f>
        <v>0</v>
      </c>
      <c r="K424" s="5">
        <f>IFERROR(__xludf.DUMMYFUNCTION("""COMPUTED_VALUE"""),1606.1257000000003)</f>
        <v>1606.1257</v>
      </c>
      <c r="L424" s="5">
        <f>IFERROR(__xludf.DUMMYFUNCTION("""COMPUTED_VALUE"""),2.930007283987796)</f>
        <v>2.930007284</v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4" t="str">
        <f>IFERROR(__xludf.DUMMYFUNCTION("""COMPUTED_VALUE"""),"UGC05918")</f>
        <v>UGC05918</v>
      </c>
      <c r="B425" s="4">
        <f>IFERROR(__xludf.DUMMYFUNCTION("""COMPUTED_VALUE"""),7.66)</f>
        <v>7.66</v>
      </c>
      <c r="C425" s="4">
        <f>IFERROR(__xludf.DUMMYFUNCTION("""COMPUTED_VALUE"""),0.56)</f>
        <v>0.56</v>
      </c>
      <c r="D425" s="4">
        <f>IFERROR(__xludf.DUMMYFUNCTION("""COMPUTED_VALUE"""),16.9)</f>
        <v>16.9</v>
      </c>
      <c r="E425" s="4">
        <f>IFERROR(__xludf.DUMMYFUNCTION("""COMPUTED_VALUE"""),3.93)</f>
        <v>3.93</v>
      </c>
      <c r="F425" s="4">
        <f>IFERROR(__xludf.DUMMYFUNCTION("""COMPUTED_VALUE"""),3.56)</f>
        <v>3.56</v>
      </c>
      <c r="G425" s="4">
        <f>IFERROR(__xludf.DUMMYFUNCTION("""COMPUTED_VALUE"""),6.92)</f>
        <v>6.92</v>
      </c>
      <c r="H425" s="4">
        <f>IFERROR(__xludf.DUMMYFUNCTION("""COMPUTED_VALUE"""),0.0)</f>
        <v>0</v>
      </c>
      <c r="I425" s="4">
        <f>IFERROR(__xludf.DUMMYFUNCTION("""COMPUTED_VALUE"""),13.38)</f>
        <v>13.38</v>
      </c>
      <c r="J425" s="4">
        <f>IFERROR(__xludf.DUMMYFUNCTION("""COMPUTED_VALUE"""),0.0)</f>
        <v>0</v>
      </c>
      <c r="K425" s="4">
        <f>IFERROR(__xludf.DUMMYFUNCTION("""COMPUTED_VALUE"""),60.56)</f>
        <v>60.56</v>
      </c>
      <c r="L425" s="4">
        <f>IFERROR(__xludf.DUMMYFUNCTION("""COMPUTED_VALUE"""),4.71614927344782)</f>
        <v>4.716149273</v>
      </c>
    </row>
    <row r="426">
      <c r="A426" s="4" t="str">
        <f>IFERROR(__xludf.DUMMYFUNCTION("""COMPUTED_VALUE"""),"UGC05918")</f>
        <v>UGC05918</v>
      </c>
      <c r="B426" s="4">
        <f>IFERROR(__xludf.DUMMYFUNCTION("""COMPUTED_VALUE"""),7.66)</f>
        <v>7.66</v>
      </c>
      <c r="C426" s="4">
        <f>IFERROR(__xludf.DUMMYFUNCTION("""COMPUTED_VALUE"""),1.11)</f>
        <v>1.11</v>
      </c>
      <c r="D426" s="4">
        <f>IFERROR(__xludf.DUMMYFUNCTION("""COMPUTED_VALUE"""),27.4)</f>
        <v>27.4</v>
      </c>
      <c r="E426" s="4">
        <f>IFERROR(__xludf.DUMMYFUNCTION("""COMPUTED_VALUE"""),3.93)</f>
        <v>3.93</v>
      </c>
      <c r="F426" s="4">
        <f>IFERROR(__xludf.DUMMYFUNCTION("""COMPUTED_VALUE"""),3.93)</f>
        <v>3.93</v>
      </c>
      <c r="G426" s="4">
        <f>IFERROR(__xludf.DUMMYFUNCTION("""COMPUTED_VALUE"""),11.04)</f>
        <v>11.04</v>
      </c>
      <c r="H426" s="4">
        <f>IFERROR(__xludf.DUMMYFUNCTION("""COMPUTED_VALUE"""),0.0)</f>
        <v>0</v>
      </c>
      <c r="I426" s="4">
        <f>IFERROR(__xludf.DUMMYFUNCTION("""COMPUTED_VALUE"""),9.28)</f>
        <v>9.28</v>
      </c>
      <c r="J426" s="4">
        <f>IFERROR(__xludf.DUMMYFUNCTION("""COMPUTED_VALUE"""),0.0)</f>
        <v>0</v>
      </c>
      <c r="K426" s="4">
        <f>IFERROR(__xludf.DUMMYFUNCTION("""COMPUTED_VALUE"""),137.32649999999998)</f>
        <v>137.3265</v>
      </c>
      <c r="L426" s="4">
        <f>IFERROR(__xludf.DUMMYFUNCTION("""COMPUTED_VALUE"""),5.4669710507440294)</f>
        <v>5.466971051</v>
      </c>
    </row>
    <row r="427">
      <c r="A427" s="4" t="str">
        <f>IFERROR(__xludf.DUMMYFUNCTION("""COMPUTED_VALUE"""),"UGC05918")</f>
        <v>UGC05918</v>
      </c>
      <c r="B427" s="4">
        <f>IFERROR(__xludf.DUMMYFUNCTION("""COMPUTED_VALUE"""),7.66)</f>
        <v>7.66</v>
      </c>
      <c r="C427" s="4">
        <f>IFERROR(__xludf.DUMMYFUNCTION("""COMPUTED_VALUE"""),1.67)</f>
        <v>1.67</v>
      </c>
      <c r="D427" s="4">
        <f>IFERROR(__xludf.DUMMYFUNCTION("""COMPUTED_VALUE"""),33.5)</f>
        <v>33.5</v>
      </c>
      <c r="E427" s="4">
        <f>IFERROR(__xludf.DUMMYFUNCTION("""COMPUTED_VALUE"""),3.93)</f>
        <v>3.93</v>
      </c>
      <c r="F427" s="4">
        <f>IFERROR(__xludf.DUMMYFUNCTION("""COMPUTED_VALUE"""),3.56)</f>
        <v>3.56</v>
      </c>
      <c r="G427" s="4">
        <f>IFERROR(__xludf.DUMMYFUNCTION("""COMPUTED_VALUE"""),13.76)</f>
        <v>13.76</v>
      </c>
      <c r="H427" s="4">
        <f>IFERROR(__xludf.DUMMYFUNCTION("""COMPUTED_VALUE"""),0.0)</f>
        <v>0</v>
      </c>
      <c r="I427" s="4">
        <f>IFERROR(__xludf.DUMMYFUNCTION("""COMPUTED_VALUE"""),6.42)</f>
        <v>6.42</v>
      </c>
      <c r="J427" s="4">
        <f>IFERROR(__xludf.DUMMYFUNCTION("""COMPUTED_VALUE"""),0.0)</f>
        <v>0</v>
      </c>
      <c r="K427" s="4">
        <f>IFERROR(__xludf.DUMMYFUNCTION("""COMPUTED_VALUE"""),202.01119999999997)</f>
        <v>202.0112</v>
      </c>
      <c r="L427" s="4">
        <f>IFERROR(__xludf.DUMMYFUNCTION("""COMPUTED_VALUE"""),5.555385047957738)</f>
        <v>5.555385048</v>
      </c>
    </row>
    <row r="428">
      <c r="A428" s="4" t="str">
        <f>IFERROR(__xludf.DUMMYFUNCTION("""COMPUTED_VALUE"""),"UGC05918")</f>
        <v>UGC05918</v>
      </c>
      <c r="B428" s="4">
        <f>IFERROR(__xludf.DUMMYFUNCTION("""COMPUTED_VALUE"""),7.66)</f>
        <v>7.66</v>
      </c>
      <c r="C428" s="4">
        <f>IFERROR(__xludf.DUMMYFUNCTION("""COMPUTED_VALUE"""),2.23)</f>
        <v>2.23</v>
      </c>
      <c r="D428" s="4">
        <f>IFERROR(__xludf.DUMMYFUNCTION("""COMPUTED_VALUE"""),36.4)</f>
        <v>36.4</v>
      </c>
      <c r="E428" s="4">
        <f>IFERROR(__xludf.DUMMYFUNCTION("""COMPUTED_VALUE"""),3.93)</f>
        <v>3.93</v>
      </c>
      <c r="F428" s="4">
        <f>IFERROR(__xludf.DUMMYFUNCTION("""COMPUTED_VALUE"""),8.55)</f>
        <v>8.55</v>
      </c>
      <c r="G428" s="4">
        <f>IFERROR(__xludf.DUMMYFUNCTION("""COMPUTED_VALUE"""),16.36)</f>
        <v>16.36</v>
      </c>
      <c r="H428" s="4">
        <f>IFERROR(__xludf.DUMMYFUNCTION("""COMPUTED_VALUE"""),0.0)</f>
        <v>0</v>
      </c>
      <c r="I428" s="4">
        <f>IFERROR(__xludf.DUMMYFUNCTION("""COMPUTED_VALUE"""),4.67)</f>
        <v>4.67</v>
      </c>
      <c r="J428" s="4">
        <f>IFERROR(__xludf.DUMMYFUNCTION("""COMPUTED_VALUE"""),0.0)</f>
        <v>0</v>
      </c>
      <c r="K428" s="4">
        <f>IFERROR(__xludf.DUMMYFUNCTION("""COMPUTED_VALUE"""),340.7521)</f>
        <v>340.7521</v>
      </c>
      <c r="L428" s="4">
        <f>IFERROR(__xludf.DUMMYFUNCTION("""COMPUTED_VALUE"""),3.888339939797876)</f>
        <v>3.88833994</v>
      </c>
    </row>
    <row r="429">
      <c r="A429" s="4" t="str">
        <f>IFERROR(__xludf.DUMMYFUNCTION("""COMPUTED_VALUE"""),"UGC05918")</f>
        <v>UGC05918</v>
      </c>
      <c r="B429" s="4">
        <f>IFERROR(__xludf.DUMMYFUNCTION("""COMPUTED_VALUE"""),7.66)</f>
        <v>7.66</v>
      </c>
      <c r="C429" s="4">
        <f>IFERROR(__xludf.DUMMYFUNCTION("""COMPUTED_VALUE"""),2.79)</f>
        <v>2.79</v>
      </c>
      <c r="D429" s="4">
        <f>IFERROR(__xludf.DUMMYFUNCTION("""COMPUTED_VALUE"""),39.8)</f>
        <v>39.8</v>
      </c>
      <c r="E429" s="4">
        <f>IFERROR(__xludf.DUMMYFUNCTION("""COMPUTED_VALUE"""),3.93)</f>
        <v>3.93</v>
      </c>
      <c r="F429" s="4">
        <f>IFERROR(__xludf.DUMMYFUNCTION("""COMPUTED_VALUE"""),12.27)</f>
        <v>12.27</v>
      </c>
      <c r="G429" s="4">
        <f>IFERROR(__xludf.DUMMYFUNCTION("""COMPUTED_VALUE"""),16.13)</f>
        <v>16.13</v>
      </c>
      <c r="H429" s="4">
        <f>IFERROR(__xludf.DUMMYFUNCTION("""COMPUTED_VALUE"""),0.0)</f>
        <v>0</v>
      </c>
      <c r="I429" s="4">
        <f>IFERROR(__xludf.DUMMYFUNCTION("""COMPUTED_VALUE"""),2.61)</f>
        <v>2.61</v>
      </c>
      <c r="J429" s="4">
        <f>IFERROR(__xludf.DUMMYFUNCTION("""COMPUTED_VALUE"""),0.0)</f>
        <v>0</v>
      </c>
      <c r="K429" s="4">
        <f>IFERROR(__xludf.DUMMYFUNCTION("""COMPUTED_VALUE"""),410.72979999999995)</f>
        <v>410.7298</v>
      </c>
      <c r="L429" s="4">
        <f>IFERROR(__xludf.DUMMYFUNCTION("""COMPUTED_VALUE"""),3.856647362816138)</f>
        <v>3.856647363</v>
      </c>
    </row>
    <row r="430">
      <c r="A430" s="4" t="str">
        <f>IFERROR(__xludf.DUMMYFUNCTION("""COMPUTED_VALUE"""),"UGC05918")</f>
        <v>UGC05918</v>
      </c>
      <c r="B430" s="4">
        <f>IFERROR(__xludf.DUMMYFUNCTION("""COMPUTED_VALUE"""),7.66)</f>
        <v>7.66</v>
      </c>
      <c r="C430" s="4">
        <f>IFERROR(__xludf.DUMMYFUNCTION("""COMPUTED_VALUE"""),3.34)</f>
        <v>3.34</v>
      </c>
      <c r="D430" s="4">
        <f>IFERROR(__xludf.DUMMYFUNCTION("""COMPUTED_VALUE"""),41.2)</f>
        <v>41.2</v>
      </c>
      <c r="E430" s="4">
        <f>IFERROR(__xludf.DUMMYFUNCTION("""COMPUTED_VALUE"""),3.93)</f>
        <v>3.93</v>
      </c>
      <c r="F430" s="4">
        <f>IFERROR(__xludf.DUMMYFUNCTION("""COMPUTED_VALUE"""),12.47)</f>
        <v>12.47</v>
      </c>
      <c r="G430" s="4">
        <f>IFERROR(__xludf.DUMMYFUNCTION("""COMPUTED_VALUE"""),16.4)</f>
        <v>16.4</v>
      </c>
      <c r="H430" s="4">
        <f>IFERROR(__xludf.DUMMYFUNCTION("""COMPUTED_VALUE"""),0.0)</f>
        <v>0</v>
      </c>
      <c r="I430" s="4">
        <f>IFERROR(__xludf.DUMMYFUNCTION("""COMPUTED_VALUE"""),2.22)</f>
        <v>2.22</v>
      </c>
      <c r="J430" s="4">
        <f>IFERROR(__xludf.DUMMYFUNCTION("""COMPUTED_VALUE"""),0.0)</f>
        <v>0</v>
      </c>
      <c r="K430" s="4">
        <f>IFERROR(__xludf.DUMMYFUNCTION("""COMPUTED_VALUE"""),424.46090000000004)</f>
        <v>424.4609</v>
      </c>
      <c r="L430" s="4">
        <f>IFERROR(__xludf.DUMMYFUNCTION("""COMPUTED_VALUE"""),3.999049146811874)</f>
        <v>3.999049147</v>
      </c>
    </row>
    <row r="431">
      <c r="A431" s="4" t="str">
        <f>IFERROR(__xludf.DUMMYFUNCTION("""COMPUTED_VALUE"""),"UGC05918")</f>
        <v>UGC05918</v>
      </c>
      <c r="B431" s="4">
        <f>IFERROR(__xludf.DUMMYFUNCTION("""COMPUTED_VALUE"""),7.66)</f>
        <v>7.66</v>
      </c>
      <c r="C431" s="4">
        <f>IFERROR(__xludf.DUMMYFUNCTION("""COMPUTED_VALUE"""),3.9)</f>
        <v>3.9</v>
      </c>
      <c r="D431" s="4">
        <f>IFERROR(__xludf.DUMMYFUNCTION("""COMPUTED_VALUE"""),42.6)</f>
        <v>42.6</v>
      </c>
      <c r="E431" s="4">
        <f>IFERROR(__xludf.DUMMYFUNCTION("""COMPUTED_VALUE"""),3.93)</f>
        <v>3.93</v>
      </c>
      <c r="F431" s="4">
        <f>IFERROR(__xludf.DUMMYFUNCTION("""COMPUTED_VALUE"""),13.27)</f>
        <v>13.27</v>
      </c>
      <c r="G431" s="4">
        <f>IFERROR(__xludf.DUMMYFUNCTION("""COMPUTED_VALUE"""),17.86)</f>
        <v>17.86</v>
      </c>
      <c r="H431" s="4">
        <f>IFERROR(__xludf.DUMMYFUNCTION("""COMPUTED_VALUE"""),0.0)</f>
        <v>0</v>
      </c>
      <c r="I431" s="4">
        <f>IFERROR(__xludf.DUMMYFUNCTION("""COMPUTED_VALUE"""),2.07)</f>
        <v>2.07</v>
      </c>
      <c r="J431" s="4">
        <f>IFERROR(__xludf.DUMMYFUNCTION("""COMPUTED_VALUE"""),0.0)</f>
        <v>0</v>
      </c>
      <c r="K431" s="4">
        <f>IFERROR(__xludf.DUMMYFUNCTION("""COMPUTED_VALUE"""),495.0725)</f>
        <v>495.0725</v>
      </c>
      <c r="L431" s="4">
        <f>IFERROR(__xludf.DUMMYFUNCTION("""COMPUTED_VALUE"""),3.6656449307929653)</f>
        <v>3.665644931</v>
      </c>
    </row>
    <row r="432">
      <c r="A432" s="5" t="str">
        <f>IFERROR(__xludf.DUMMYFUNCTION("""COMPUTED_VALUE"""),"UGC05918")</f>
        <v>UGC05918</v>
      </c>
      <c r="B432" s="5">
        <f>IFERROR(__xludf.DUMMYFUNCTION("""COMPUTED_VALUE"""),7.66)</f>
        <v>7.66</v>
      </c>
      <c r="C432" s="5">
        <f>IFERROR(__xludf.DUMMYFUNCTION("""COMPUTED_VALUE"""),4.46)</f>
        <v>4.46</v>
      </c>
      <c r="D432" s="5">
        <f>IFERROR(__xludf.DUMMYFUNCTION("""COMPUTED_VALUE"""),44.5)</f>
        <v>44.5</v>
      </c>
      <c r="E432" s="5">
        <f>IFERROR(__xludf.DUMMYFUNCTION("""COMPUTED_VALUE"""),3.93)</f>
        <v>3.93</v>
      </c>
      <c r="F432" s="5">
        <f>IFERROR(__xludf.DUMMYFUNCTION("""COMPUTED_VALUE"""),15.66)</f>
        <v>15.66</v>
      </c>
      <c r="G432" s="5">
        <f>IFERROR(__xludf.DUMMYFUNCTION("""COMPUTED_VALUE"""),16.94)</f>
        <v>16.94</v>
      </c>
      <c r="H432" s="5">
        <f>IFERROR(__xludf.DUMMYFUNCTION("""COMPUTED_VALUE"""),0.0)</f>
        <v>0</v>
      </c>
      <c r="I432" s="5">
        <f>IFERROR(__xludf.DUMMYFUNCTION("""COMPUTED_VALUE"""),0.0)</f>
        <v>0</v>
      </c>
      <c r="J432" s="5">
        <f>IFERROR(__xludf.DUMMYFUNCTION("""COMPUTED_VALUE"""),0.0)</f>
        <v>0</v>
      </c>
      <c r="K432" s="5">
        <f>IFERROR(__xludf.DUMMYFUNCTION("""COMPUTED_VALUE"""),532.1992)</f>
        <v>532.1992</v>
      </c>
      <c r="L432" s="5">
        <f>IFERROR(__xludf.DUMMYFUNCTION("""COMPUTED_VALUE"""),3.720881203880051)</f>
        <v>3.720881204</v>
      </c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4" t="str">
        <f>IFERROR(__xludf.DUMMYFUNCTION("""COMPUTED_VALUE"""),"UGC06446")</f>
        <v>UGC06446</v>
      </c>
      <c r="B433" s="4">
        <f>IFERROR(__xludf.DUMMYFUNCTION("""COMPUTED_VALUE"""),12.0)</f>
        <v>12</v>
      </c>
      <c r="C433" s="4">
        <f>IFERROR(__xludf.DUMMYFUNCTION("""COMPUTED_VALUE"""),0.58)</f>
        <v>0.58</v>
      </c>
      <c r="D433" s="4">
        <f>IFERROR(__xludf.DUMMYFUNCTION("""COMPUTED_VALUE"""),31.3)</f>
        <v>31.3</v>
      </c>
      <c r="E433" s="4">
        <f>IFERROR(__xludf.DUMMYFUNCTION("""COMPUTED_VALUE"""),6.3)</f>
        <v>6.3</v>
      </c>
      <c r="F433" s="4">
        <f>IFERROR(__xludf.DUMMYFUNCTION("""COMPUTED_VALUE"""),0.0)</f>
        <v>0</v>
      </c>
      <c r="G433" s="4">
        <f>IFERROR(__xludf.DUMMYFUNCTION("""COMPUTED_VALUE"""),21.35)</f>
        <v>21.35</v>
      </c>
      <c r="H433" s="4">
        <f>IFERROR(__xludf.DUMMYFUNCTION("""COMPUTED_VALUE"""),0.0)</f>
        <v>0</v>
      </c>
      <c r="I433" s="4">
        <f>IFERROR(__xludf.DUMMYFUNCTION("""COMPUTED_VALUE"""),74.79)</f>
        <v>74.79</v>
      </c>
      <c r="J433" s="4">
        <f>IFERROR(__xludf.DUMMYFUNCTION("""COMPUTED_VALUE"""),0.0)</f>
        <v>0</v>
      </c>
      <c r="K433" s="4">
        <f>IFERROR(__xludf.DUMMYFUNCTION("""COMPUTED_VALUE"""),455.82250000000005)</f>
        <v>455.8225</v>
      </c>
      <c r="L433" s="4">
        <f>IFERROR(__xludf.DUMMYFUNCTION("""COMPUTED_VALUE"""),2.149279598966703)</f>
        <v>2.149279599</v>
      </c>
    </row>
    <row r="434">
      <c r="A434" s="4" t="str">
        <f>IFERROR(__xludf.DUMMYFUNCTION("""COMPUTED_VALUE"""),"UGC06446")</f>
        <v>UGC06446</v>
      </c>
      <c r="B434" s="4">
        <f>IFERROR(__xludf.DUMMYFUNCTION("""COMPUTED_VALUE"""),12.0)</f>
        <v>12</v>
      </c>
      <c r="C434" s="4">
        <f>IFERROR(__xludf.DUMMYFUNCTION("""COMPUTED_VALUE"""),1.16)</f>
        <v>1.16</v>
      </c>
      <c r="D434" s="4">
        <f>IFERROR(__xludf.DUMMYFUNCTION("""COMPUTED_VALUE"""),54.8)</f>
        <v>54.8</v>
      </c>
      <c r="E434" s="4">
        <f>IFERROR(__xludf.DUMMYFUNCTION("""COMPUTED_VALUE"""),5.8)</f>
        <v>5.8</v>
      </c>
      <c r="F434" s="4">
        <f>IFERROR(__xludf.DUMMYFUNCTION("""COMPUTED_VALUE"""),2.75)</f>
        <v>2.75</v>
      </c>
      <c r="G434" s="4">
        <f>IFERROR(__xludf.DUMMYFUNCTION("""COMPUTED_VALUE"""),29.36)</f>
        <v>29.36</v>
      </c>
      <c r="H434" s="4">
        <f>IFERROR(__xludf.DUMMYFUNCTION("""COMPUTED_VALUE"""),0.0)</f>
        <v>0</v>
      </c>
      <c r="I434" s="4">
        <f>IFERROR(__xludf.DUMMYFUNCTION("""COMPUTED_VALUE"""),33.7)</f>
        <v>33.7</v>
      </c>
      <c r="J434" s="4">
        <f>IFERROR(__xludf.DUMMYFUNCTION("""COMPUTED_VALUE"""),0.0)</f>
        <v>0</v>
      </c>
      <c r="K434" s="4">
        <f>IFERROR(__xludf.DUMMYFUNCTION("""COMPUTED_VALUE"""),869.5721)</f>
        <v>869.5721</v>
      </c>
      <c r="L434" s="4">
        <f>IFERROR(__xludf.DUMMYFUNCTION("""COMPUTED_VALUE"""),3.45346866579551)</f>
        <v>3.453468666</v>
      </c>
    </row>
    <row r="435">
      <c r="A435" s="4" t="str">
        <f>IFERROR(__xludf.DUMMYFUNCTION("""COMPUTED_VALUE"""),"UGC06446")</f>
        <v>UGC06446</v>
      </c>
      <c r="B435" s="4">
        <f>IFERROR(__xludf.DUMMYFUNCTION("""COMPUTED_VALUE"""),12.0)</f>
        <v>12</v>
      </c>
      <c r="C435" s="4">
        <f>IFERROR(__xludf.DUMMYFUNCTION("""COMPUTED_VALUE"""),1.74)</f>
        <v>1.74</v>
      </c>
      <c r="D435" s="4">
        <f>IFERROR(__xludf.DUMMYFUNCTION("""COMPUTED_VALUE"""),61.1)</f>
        <v>61.1</v>
      </c>
      <c r="E435" s="4">
        <f>IFERROR(__xludf.DUMMYFUNCTION("""COMPUTED_VALUE"""),4.1)</f>
        <v>4.1</v>
      </c>
      <c r="F435" s="4">
        <f>IFERROR(__xludf.DUMMYFUNCTION("""COMPUTED_VALUE"""),6.18)</f>
        <v>6.18</v>
      </c>
      <c r="G435" s="4">
        <f>IFERROR(__xludf.DUMMYFUNCTION("""COMPUTED_VALUE"""),30.8)</f>
        <v>30.8</v>
      </c>
      <c r="H435" s="4">
        <f>IFERROR(__xludf.DUMMYFUNCTION("""COMPUTED_VALUE"""),0.0)</f>
        <v>0</v>
      </c>
      <c r="I435" s="4">
        <f>IFERROR(__xludf.DUMMYFUNCTION("""COMPUTED_VALUE"""),20.14)</f>
        <v>20.14</v>
      </c>
      <c r="J435" s="4">
        <f>IFERROR(__xludf.DUMMYFUNCTION("""COMPUTED_VALUE"""),0.0)</f>
        <v>0</v>
      </c>
      <c r="K435" s="4">
        <f>IFERROR(__xludf.DUMMYFUNCTION("""COMPUTED_VALUE"""),986.8324000000001)</f>
        <v>986.8324</v>
      </c>
      <c r="L435" s="4">
        <f>IFERROR(__xludf.DUMMYFUNCTION("""COMPUTED_VALUE"""),3.7830233381068554)</f>
        <v>3.783023338</v>
      </c>
    </row>
    <row r="436">
      <c r="A436" s="4" t="str">
        <f>IFERROR(__xludf.DUMMYFUNCTION("""COMPUTED_VALUE"""),"UGC06446")</f>
        <v>UGC06446</v>
      </c>
      <c r="B436" s="4">
        <f>IFERROR(__xludf.DUMMYFUNCTION("""COMPUTED_VALUE"""),12.0)</f>
        <v>12</v>
      </c>
      <c r="C436" s="4">
        <f>IFERROR(__xludf.DUMMYFUNCTION("""COMPUTED_VALUE"""),2.33)</f>
        <v>2.33</v>
      </c>
      <c r="D436" s="4">
        <f>IFERROR(__xludf.DUMMYFUNCTION("""COMPUTED_VALUE"""),63.9)</f>
        <v>63.9</v>
      </c>
      <c r="E436" s="4">
        <f>IFERROR(__xludf.DUMMYFUNCTION("""COMPUTED_VALUE"""),4.1)</f>
        <v>4.1</v>
      </c>
      <c r="F436" s="4">
        <f>IFERROR(__xludf.DUMMYFUNCTION("""COMPUTED_VALUE"""),7.45)</f>
        <v>7.45</v>
      </c>
      <c r="G436" s="4">
        <f>IFERROR(__xludf.DUMMYFUNCTION("""COMPUTED_VALUE"""),31.81)</f>
        <v>31.81</v>
      </c>
      <c r="H436" s="4">
        <f>IFERROR(__xludf.DUMMYFUNCTION("""COMPUTED_VALUE"""),0.0)</f>
        <v>0</v>
      </c>
      <c r="I436" s="4">
        <f>IFERROR(__xludf.DUMMYFUNCTION("""COMPUTED_VALUE"""),12.32)</f>
        <v>12.32</v>
      </c>
      <c r="J436" s="4">
        <f>IFERROR(__xludf.DUMMYFUNCTION("""COMPUTED_VALUE"""),0.0)</f>
        <v>0</v>
      </c>
      <c r="K436" s="4">
        <f>IFERROR(__xludf.DUMMYFUNCTION("""COMPUTED_VALUE"""),1067.3786)</f>
        <v>1067.3786</v>
      </c>
      <c r="L436" s="4">
        <f>IFERROR(__xludf.DUMMYFUNCTION("""COMPUTED_VALUE"""),3.825456122129486)</f>
        <v>3.825456122</v>
      </c>
    </row>
    <row r="437">
      <c r="A437" s="4" t="str">
        <f>IFERROR(__xludf.DUMMYFUNCTION("""COMPUTED_VALUE"""),"UGC06446")</f>
        <v>UGC06446</v>
      </c>
      <c r="B437" s="4">
        <f>IFERROR(__xludf.DUMMYFUNCTION("""COMPUTED_VALUE"""),12.0)</f>
        <v>12</v>
      </c>
      <c r="C437" s="4">
        <f>IFERROR(__xludf.DUMMYFUNCTION("""COMPUTED_VALUE"""),2.91)</f>
        <v>2.91</v>
      </c>
      <c r="D437" s="4">
        <f>IFERROR(__xludf.DUMMYFUNCTION("""COMPUTED_VALUE"""),67.2)</f>
        <v>67.2</v>
      </c>
      <c r="E437" s="4">
        <f>IFERROR(__xludf.DUMMYFUNCTION("""COMPUTED_VALUE"""),4.1)</f>
        <v>4.1</v>
      </c>
      <c r="F437" s="4">
        <f>IFERROR(__xludf.DUMMYFUNCTION("""COMPUTED_VALUE"""),14.25)</f>
        <v>14.25</v>
      </c>
      <c r="G437" s="4">
        <f>IFERROR(__xludf.DUMMYFUNCTION("""COMPUTED_VALUE"""),31.67)</f>
        <v>31.67</v>
      </c>
      <c r="H437" s="4">
        <f>IFERROR(__xludf.DUMMYFUNCTION("""COMPUTED_VALUE"""),0.0)</f>
        <v>0</v>
      </c>
      <c r="I437" s="4">
        <f>IFERROR(__xludf.DUMMYFUNCTION("""COMPUTED_VALUE"""),9.18)</f>
        <v>9.18</v>
      </c>
      <c r="J437" s="4">
        <f>IFERROR(__xludf.DUMMYFUNCTION("""COMPUTED_VALUE"""),0.0)</f>
        <v>0</v>
      </c>
      <c r="K437" s="4">
        <f>IFERROR(__xludf.DUMMYFUNCTION("""COMPUTED_VALUE"""),1206.0514)</f>
        <v>1206.0514</v>
      </c>
      <c r="L437" s="4">
        <f>IFERROR(__xludf.DUMMYFUNCTION("""COMPUTED_VALUE"""),3.7443180282366075)</f>
        <v>3.744318028</v>
      </c>
    </row>
    <row r="438">
      <c r="A438" s="4" t="str">
        <f>IFERROR(__xludf.DUMMYFUNCTION("""COMPUTED_VALUE"""),"UGC06446")</f>
        <v>UGC06446</v>
      </c>
      <c r="B438" s="4">
        <f>IFERROR(__xludf.DUMMYFUNCTION("""COMPUTED_VALUE"""),12.0)</f>
        <v>12</v>
      </c>
      <c r="C438" s="4">
        <f>IFERROR(__xludf.DUMMYFUNCTION("""COMPUTED_VALUE"""),3.49)</f>
        <v>3.49</v>
      </c>
      <c r="D438" s="4">
        <f>IFERROR(__xludf.DUMMYFUNCTION("""COMPUTED_VALUE"""),70.4)</f>
        <v>70.4</v>
      </c>
      <c r="E438" s="4">
        <f>IFERROR(__xludf.DUMMYFUNCTION("""COMPUTED_VALUE"""),3.6)</f>
        <v>3.6</v>
      </c>
      <c r="F438" s="4">
        <f>IFERROR(__xludf.DUMMYFUNCTION("""COMPUTED_VALUE"""),16.89)</f>
        <v>16.89</v>
      </c>
      <c r="G438" s="4">
        <f>IFERROR(__xludf.DUMMYFUNCTION("""COMPUTED_VALUE"""),31.97)</f>
        <v>31.97</v>
      </c>
      <c r="H438" s="4">
        <f>IFERROR(__xludf.DUMMYFUNCTION("""COMPUTED_VALUE"""),0.0)</f>
        <v>0</v>
      </c>
      <c r="I438" s="4">
        <f>IFERROR(__xludf.DUMMYFUNCTION("""COMPUTED_VALUE"""),6.44)</f>
        <v>6.44</v>
      </c>
      <c r="J438" s="4">
        <f>IFERROR(__xludf.DUMMYFUNCTION("""COMPUTED_VALUE"""),0.0)</f>
        <v>0</v>
      </c>
      <c r="K438" s="4">
        <f>IFERROR(__xludf.DUMMYFUNCTION("""COMPUTED_VALUE"""),1307.353)</f>
        <v>1307.353</v>
      </c>
      <c r="L438" s="4">
        <f>IFERROR(__xludf.DUMMYFUNCTION("""COMPUTED_VALUE"""),3.7909883558610415)</f>
        <v>3.790988356</v>
      </c>
    </row>
    <row r="439">
      <c r="A439" s="4" t="str">
        <f>IFERROR(__xludf.DUMMYFUNCTION("""COMPUTED_VALUE"""),"UGC06446")</f>
        <v>UGC06446</v>
      </c>
      <c r="B439" s="4">
        <f>IFERROR(__xludf.DUMMYFUNCTION("""COMPUTED_VALUE"""),12.0)</f>
        <v>12</v>
      </c>
      <c r="C439" s="4">
        <f>IFERROR(__xludf.DUMMYFUNCTION("""COMPUTED_VALUE"""),4.07)</f>
        <v>4.07</v>
      </c>
      <c r="D439" s="4">
        <f>IFERROR(__xludf.DUMMYFUNCTION("""COMPUTED_VALUE"""),73.7)</f>
        <v>73.7</v>
      </c>
      <c r="E439" s="4">
        <f>IFERROR(__xludf.DUMMYFUNCTION("""COMPUTED_VALUE"""),3.6)</f>
        <v>3.6</v>
      </c>
      <c r="F439" s="4">
        <f>IFERROR(__xludf.DUMMYFUNCTION("""COMPUTED_VALUE"""),15.31)</f>
        <v>15.31</v>
      </c>
      <c r="G439" s="4">
        <f>IFERROR(__xludf.DUMMYFUNCTION("""COMPUTED_VALUE"""),32.15)</f>
        <v>32.15</v>
      </c>
      <c r="H439" s="4">
        <f>IFERROR(__xludf.DUMMYFUNCTION("""COMPUTED_VALUE"""),0.0)</f>
        <v>0</v>
      </c>
      <c r="I439" s="4">
        <f>IFERROR(__xludf.DUMMYFUNCTION("""COMPUTED_VALUE"""),4.92)</f>
        <v>4.92</v>
      </c>
      <c r="J439" s="4">
        <f>IFERROR(__xludf.DUMMYFUNCTION("""COMPUTED_VALUE"""),0.0)</f>
        <v>0</v>
      </c>
      <c r="K439" s="4">
        <f>IFERROR(__xludf.DUMMYFUNCTION("""COMPUTED_VALUE"""),1268.0185999999999)</f>
        <v>1268.0186</v>
      </c>
      <c r="L439" s="4">
        <f>IFERROR(__xludf.DUMMYFUNCTION("""COMPUTED_VALUE"""),4.283604357223152)</f>
        <v>4.283604357</v>
      </c>
    </row>
    <row r="440">
      <c r="A440" s="4" t="str">
        <f>IFERROR(__xludf.DUMMYFUNCTION("""COMPUTED_VALUE"""),"UGC06446")</f>
        <v>UGC06446</v>
      </c>
      <c r="B440" s="4">
        <f>IFERROR(__xludf.DUMMYFUNCTION("""COMPUTED_VALUE"""),12.0)</f>
        <v>12</v>
      </c>
      <c r="C440" s="4">
        <f>IFERROR(__xludf.DUMMYFUNCTION("""COMPUTED_VALUE"""),4.65)</f>
        <v>4.65</v>
      </c>
      <c r="D440" s="4">
        <f>IFERROR(__xludf.DUMMYFUNCTION("""COMPUTED_VALUE"""),78.0)</f>
        <v>78</v>
      </c>
      <c r="E440" s="4">
        <f>IFERROR(__xludf.DUMMYFUNCTION("""COMPUTED_VALUE"""),4.1)</f>
        <v>4.1</v>
      </c>
      <c r="F440" s="4">
        <f>IFERROR(__xludf.DUMMYFUNCTION("""COMPUTED_VALUE"""),18.83)</f>
        <v>18.83</v>
      </c>
      <c r="G440" s="4">
        <f>IFERROR(__xludf.DUMMYFUNCTION("""COMPUTED_VALUE"""),31.31)</f>
        <v>31.31</v>
      </c>
      <c r="H440" s="4">
        <f>IFERROR(__xludf.DUMMYFUNCTION("""COMPUTED_VALUE"""),0.0)</f>
        <v>0</v>
      </c>
      <c r="I440" s="4">
        <f>IFERROR(__xludf.DUMMYFUNCTION("""COMPUTED_VALUE"""),2.36)</f>
        <v>2.36</v>
      </c>
      <c r="J440" s="4">
        <f>IFERROR(__xludf.DUMMYFUNCTION("""COMPUTED_VALUE"""),0.0)</f>
        <v>0</v>
      </c>
      <c r="K440" s="4">
        <f>IFERROR(__xludf.DUMMYFUNCTION("""COMPUTED_VALUE"""),1334.8849999999998)</f>
        <v>1334.885</v>
      </c>
      <c r="L440" s="4">
        <f>IFERROR(__xludf.DUMMYFUNCTION("""COMPUTED_VALUE"""),4.557695981301761)</f>
        <v>4.557695981</v>
      </c>
    </row>
    <row r="441">
      <c r="A441" s="4" t="str">
        <f>IFERROR(__xludf.DUMMYFUNCTION("""COMPUTED_VALUE"""),"UGC06446")</f>
        <v>UGC06446</v>
      </c>
      <c r="B441" s="4">
        <f>IFERROR(__xludf.DUMMYFUNCTION("""COMPUTED_VALUE"""),12.0)</f>
        <v>12</v>
      </c>
      <c r="C441" s="4">
        <f>IFERROR(__xludf.DUMMYFUNCTION("""COMPUTED_VALUE"""),5.23)</f>
        <v>5.23</v>
      </c>
      <c r="D441" s="4">
        <f>IFERROR(__xludf.DUMMYFUNCTION("""COMPUTED_VALUE"""),80.8)</f>
        <v>80.8</v>
      </c>
      <c r="E441" s="4">
        <f>IFERROR(__xludf.DUMMYFUNCTION("""COMPUTED_VALUE"""),4.1)</f>
        <v>4.1</v>
      </c>
      <c r="F441" s="4">
        <f>IFERROR(__xludf.DUMMYFUNCTION("""COMPUTED_VALUE"""),23.23)</f>
        <v>23.23</v>
      </c>
      <c r="G441" s="4">
        <f>IFERROR(__xludf.DUMMYFUNCTION("""COMPUTED_VALUE"""),29.91)</f>
        <v>29.91</v>
      </c>
      <c r="H441" s="4">
        <f>IFERROR(__xludf.DUMMYFUNCTION("""COMPUTED_VALUE"""),0.0)</f>
        <v>0</v>
      </c>
      <c r="I441" s="4">
        <f>IFERROR(__xludf.DUMMYFUNCTION("""COMPUTED_VALUE"""),1.67)</f>
        <v>1.67</v>
      </c>
      <c r="J441" s="4">
        <f>IFERROR(__xludf.DUMMYFUNCTION("""COMPUTED_VALUE"""),0.0)</f>
        <v>0</v>
      </c>
      <c r="K441" s="4">
        <f>IFERROR(__xludf.DUMMYFUNCTION("""COMPUTED_VALUE"""),1434.241)</f>
        <v>1434.241</v>
      </c>
      <c r="L441" s="4">
        <f>IFERROR(__xludf.DUMMYFUNCTION("""COMPUTED_VALUE"""),4.551982546866252)</f>
        <v>4.551982547</v>
      </c>
    </row>
    <row r="442">
      <c r="A442" s="4" t="str">
        <f>IFERROR(__xludf.DUMMYFUNCTION("""COMPUTED_VALUE"""),"UGC06446")</f>
        <v>UGC06446</v>
      </c>
      <c r="B442" s="4">
        <f>IFERROR(__xludf.DUMMYFUNCTION("""COMPUTED_VALUE"""),12.0)</f>
        <v>12</v>
      </c>
      <c r="C442" s="4">
        <f>IFERROR(__xludf.DUMMYFUNCTION("""COMPUTED_VALUE"""),5.81)</f>
        <v>5.81</v>
      </c>
      <c r="D442" s="4">
        <f>IFERROR(__xludf.DUMMYFUNCTION("""COMPUTED_VALUE"""),80.5)</f>
        <v>80.5</v>
      </c>
      <c r="E442" s="4">
        <f>IFERROR(__xludf.DUMMYFUNCTION("""COMPUTED_VALUE"""),3.6)</f>
        <v>3.6</v>
      </c>
      <c r="F442" s="4">
        <f>IFERROR(__xludf.DUMMYFUNCTION("""COMPUTED_VALUE"""),26.13)</f>
        <v>26.13</v>
      </c>
      <c r="G442" s="4">
        <f>IFERROR(__xludf.DUMMYFUNCTION("""COMPUTED_VALUE"""),28.44)</f>
        <v>28.44</v>
      </c>
      <c r="H442" s="4">
        <f>IFERROR(__xludf.DUMMYFUNCTION("""COMPUTED_VALUE"""),0.0)</f>
        <v>0</v>
      </c>
      <c r="I442" s="4">
        <f>IFERROR(__xludf.DUMMYFUNCTION("""COMPUTED_VALUE"""),1.22)</f>
        <v>1.22</v>
      </c>
      <c r="J442" s="4">
        <f>IFERROR(__xludf.DUMMYFUNCTION("""COMPUTED_VALUE"""),0.0)</f>
        <v>0</v>
      </c>
      <c r="K442" s="4">
        <f>IFERROR(__xludf.DUMMYFUNCTION("""COMPUTED_VALUE"""),1491.6105)</f>
        <v>1491.6105</v>
      </c>
      <c r="L442" s="4">
        <f>IFERROR(__xludf.DUMMYFUNCTION("""COMPUTED_VALUE"""),4.344465260870717)</f>
        <v>4.344465261</v>
      </c>
    </row>
    <row r="443">
      <c r="A443" s="4" t="str">
        <f>IFERROR(__xludf.DUMMYFUNCTION("""COMPUTED_VALUE"""),"UGC06446")</f>
        <v>UGC06446</v>
      </c>
      <c r="B443" s="4">
        <f>IFERROR(__xludf.DUMMYFUNCTION("""COMPUTED_VALUE"""),12.0)</f>
        <v>12</v>
      </c>
      <c r="C443" s="4">
        <f>IFERROR(__xludf.DUMMYFUNCTION("""COMPUTED_VALUE"""),6.4)</f>
        <v>6.4</v>
      </c>
      <c r="D443" s="4">
        <f>IFERROR(__xludf.DUMMYFUNCTION("""COMPUTED_VALUE"""),81.3)</f>
        <v>81.3</v>
      </c>
      <c r="E443" s="4">
        <f>IFERROR(__xludf.DUMMYFUNCTION("""COMPUTED_VALUE"""),3.6)</f>
        <v>3.6</v>
      </c>
      <c r="F443" s="4">
        <f>IFERROR(__xludf.DUMMYFUNCTION("""COMPUTED_VALUE"""),28.95)</f>
        <v>28.95</v>
      </c>
      <c r="G443" s="4">
        <f>IFERROR(__xludf.DUMMYFUNCTION("""COMPUTED_VALUE"""),27.55)</f>
        <v>27.55</v>
      </c>
      <c r="H443" s="4">
        <f>IFERROR(__xludf.DUMMYFUNCTION("""COMPUTED_VALUE"""),0.0)</f>
        <v>0</v>
      </c>
      <c r="I443" s="4">
        <f>IFERROR(__xludf.DUMMYFUNCTION("""COMPUTED_VALUE"""),0.87)</f>
        <v>0.87</v>
      </c>
      <c r="J443" s="4">
        <f>IFERROR(__xludf.DUMMYFUNCTION("""COMPUTED_VALUE"""),0.0)</f>
        <v>0</v>
      </c>
      <c r="K443" s="4">
        <f>IFERROR(__xludf.DUMMYFUNCTION("""COMPUTED_VALUE"""),1597.105)</f>
        <v>1597.105</v>
      </c>
      <c r="L443" s="4">
        <f>IFERROR(__xludf.DUMMYFUNCTION("""COMPUTED_VALUE"""),4.138544428825907)</f>
        <v>4.138544429</v>
      </c>
    </row>
    <row r="444">
      <c r="A444" s="4" t="str">
        <f>IFERROR(__xludf.DUMMYFUNCTION("""COMPUTED_VALUE"""),"UGC06446")</f>
        <v>UGC06446</v>
      </c>
      <c r="B444" s="4">
        <f>IFERROR(__xludf.DUMMYFUNCTION("""COMPUTED_VALUE"""),12.0)</f>
        <v>12</v>
      </c>
      <c r="C444" s="4">
        <f>IFERROR(__xludf.DUMMYFUNCTION("""COMPUTED_VALUE"""),6.98)</f>
        <v>6.98</v>
      </c>
      <c r="D444" s="4">
        <f>IFERROR(__xludf.DUMMYFUNCTION("""COMPUTED_VALUE"""),82.1)</f>
        <v>82.1</v>
      </c>
      <c r="E444" s="4">
        <f>IFERROR(__xludf.DUMMYFUNCTION("""COMPUTED_VALUE"""),4.6)</f>
        <v>4.6</v>
      </c>
      <c r="F444" s="4">
        <f>IFERROR(__xludf.DUMMYFUNCTION("""COMPUTED_VALUE"""),31.41)</f>
        <v>31.41</v>
      </c>
      <c r="G444" s="4">
        <f>IFERROR(__xludf.DUMMYFUNCTION("""COMPUTED_VALUE"""),26.52)</f>
        <v>26.52</v>
      </c>
      <c r="H444" s="4">
        <f>IFERROR(__xludf.DUMMYFUNCTION("""COMPUTED_VALUE"""),0.0)</f>
        <v>0</v>
      </c>
      <c r="I444" s="4">
        <f>IFERROR(__xludf.DUMMYFUNCTION("""COMPUTED_VALUE"""),0.59)</f>
        <v>0.59</v>
      </c>
      <c r="J444" s="4">
        <f>IFERROR(__xludf.DUMMYFUNCTION("""COMPUTED_VALUE"""),0.0)</f>
        <v>0</v>
      </c>
      <c r="K444" s="4">
        <f>IFERROR(__xludf.DUMMYFUNCTION("""COMPUTED_VALUE"""),1689.8985)</f>
        <v>1689.8985</v>
      </c>
      <c r="L444" s="4">
        <f>IFERROR(__xludf.DUMMYFUNCTION("""COMPUTED_VALUE"""),3.9886478389086677)</f>
        <v>3.988647839</v>
      </c>
    </row>
    <row r="445">
      <c r="A445" s="4" t="str">
        <f>IFERROR(__xludf.DUMMYFUNCTION("""COMPUTED_VALUE"""),"UGC06446")</f>
        <v>UGC06446</v>
      </c>
      <c r="B445" s="4">
        <f>IFERROR(__xludf.DUMMYFUNCTION("""COMPUTED_VALUE"""),12.0)</f>
        <v>12</v>
      </c>
      <c r="C445" s="4">
        <f>IFERROR(__xludf.DUMMYFUNCTION("""COMPUTED_VALUE"""),7.62)</f>
        <v>7.62</v>
      </c>
      <c r="D445" s="4">
        <f>IFERROR(__xludf.DUMMYFUNCTION("""COMPUTED_VALUE"""),82.8)</f>
        <v>82.8</v>
      </c>
      <c r="E445" s="4">
        <f>IFERROR(__xludf.DUMMYFUNCTION("""COMPUTED_VALUE"""),4.6)</f>
        <v>4.6</v>
      </c>
      <c r="F445" s="4">
        <f>IFERROR(__xludf.DUMMYFUNCTION("""COMPUTED_VALUE"""),34.05)</f>
        <v>34.05</v>
      </c>
      <c r="G445" s="4">
        <f>IFERROR(__xludf.DUMMYFUNCTION("""COMPUTED_VALUE"""),25.42)</f>
        <v>25.42</v>
      </c>
      <c r="H445" s="4">
        <f>IFERROR(__xludf.DUMMYFUNCTION("""COMPUTED_VALUE"""),0.0)</f>
        <v>0</v>
      </c>
      <c r="I445" s="4">
        <f>IFERROR(__xludf.DUMMYFUNCTION("""COMPUTED_VALUE"""),0.38)</f>
        <v>0.38</v>
      </c>
      <c r="J445" s="4">
        <f>IFERROR(__xludf.DUMMYFUNCTION("""COMPUTED_VALUE"""),0.0)</f>
        <v>0</v>
      </c>
      <c r="K445" s="4">
        <f>IFERROR(__xludf.DUMMYFUNCTION("""COMPUTED_VALUE"""),1805.5789)</f>
        <v>1805.5789</v>
      </c>
      <c r="L445" s="4">
        <f>IFERROR(__xludf.DUMMYFUNCTION("""COMPUTED_VALUE"""),3.79703152268782)</f>
        <v>3.797031523</v>
      </c>
    </row>
    <row r="446">
      <c r="A446" s="4" t="str">
        <f>IFERROR(__xludf.DUMMYFUNCTION("""COMPUTED_VALUE"""),"UGC06446")</f>
        <v>UGC06446</v>
      </c>
      <c r="B446" s="4">
        <f>IFERROR(__xludf.DUMMYFUNCTION("""COMPUTED_VALUE"""),12.0)</f>
        <v>12</v>
      </c>
      <c r="C446" s="4">
        <f>IFERROR(__xludf.DUMMYFUNCTION("""COMPUTED_VALUE"""),8.28)</f>
        <v>8.28</v>
      </c>
      <c r="D446" s="4">
        <f>IFERROR(__xludf.DUMMYFUNCTION("""COMPUTED_VALUE"""),84.9)</f>
        <v>84.9</v>
      </c>
      <c r="E446" s="4">
        <f>IFERROR(__xludf.DUMMYFUNCTION("""COMPUTED_VALUE"""),5.5)</f>
        <v>5.5</v>
      </c>
      <c r="F446" s="4">
        <f>IFERROR(__xludf.DUMMYFUNCTION("""COMPUTED_VALUE"""),34.49)</f>
        <v>34.49</v>
      </c>
      <c r="G446" s="4">
        <f>IFERROR(__xludf.DUMMYFUNCTION("""COMPUTED_VALUE"""),24.36)</f>
        <v>24.36</v>
      </c>
      <c r="H446" s="4">
        <f>IFERROR(__xludf.DUMMYFUNCTION("""COMPUTED_VALUE"""),0.0)</f>
        <v>0</v>
      </c>
      <c r="I446" s="4">
        <f>IFERROR(__xludf.DUMMYFUNCTION("""COMPUTED_VALUE"""),0.25)</f>
        <v>0.25</v>
      </c>
      <c r="J446" s="4">
        <f>IFERROR(__xludf.DUMMYFUNCTION("""COMPUTED_VALUE"""),0.0)</f>
        <v>0</v>
      </c>
      <c r="K446" s="4">
        <f>IFERROR(__xludf.DUMMYFUNCTION("""COMPUTED_VALUE"""),1782.9697)</f>
        <v>1782.9697</v>
      </c>
      <c r="L446" s="4">
        <f>IFERROR(__xludf.DUMMYFUNCTION("""COMPUTED_VALUE"""),4.042699099149021)</f>
        <v>4.042699099</v>
      </c>
    </row>
    <row r="447">
      <c r="A447" s="4" t="str">
        <f>IFERROR(__xludf.DUMMYFUNCTION("""COMPUTED_VALUE"""),"UGC06446")</f>
        <v>UGC06446</v>
      </c>
      <c r="B447" s="4">
        <f>IFERROR(__xludf.DUMMYFUNCTION("""COMPUTED_VALUE"""),12.0)</f>
        <v>12</v>
      </c>
      <c r="C447" s="4">
        <f>IFERROR(__xludf.DUMMYFUNCTION("""COMPUTED_VALUE"""),8.9)</f>
        <v>8.9</v>
      </c>
      <c r="D447" s="4">
        <f>IFERROR(__xludf.DUMMYFUNCTION("""COMPUTED_VALUE"""),84.3)</f>
        <v>84.3</v>
      </c>
      <c r="E447" s="4">
        <f>IFERROR(__xludf.DUMMYFUNCTION("""COMPUTED_VALUE"""),5.5)</f>
        <v>5.5</v>
      </c>
      <c r="F447" s="4">
        <f>IFERROR(__xludf.DUMMYFUNCTION("""COMPUTED_VALUE"""),32.03)</f>
        <v>32.03</v>
      </c>
      <c r="G447" s="4">
        <f>IFERROR(__xludf.DUMMYFUNCTION("""COMPUTED_VALUE"""),23.44)</f>
        <v>23.44</v>
      </c>
      <c r="H447" s="4">
        <f>IFERROR(__xludf.DUMMYFUNCTION("""COMPUTED_VALUE"""),0.0)</f>
        <v>0</v>
      </c>
      <c r="I447" s="4">
        <f>IFERROR(__xludf.DUMMYFUNCTION("""COMPUTED_VALUE"""),0.16)</f>
        <v>0.16</v>
      </c>
      <c r="J447" s="4">
        <f>IFERROR(__xludf.DUMMYFUNCTION("""COMPUTED_VALUE"""),0.0)</f>
        <v>0</v>
      </c>
      <c r="K447" s="4">
        <f>IFERROR(__xludf.DUMMYFUNCTION("""COMPUTED_VALUE"""),1575.3545000000001)</f>
        <v>1575.3545</v>
      </c>
      <c r="L447" s="4">
        <f>IFERROR(__xludf.DUMMYFUNCTION("""COMPUTED_VALUE"""),4.511041800432855)</f>
        <v>4.5110418</v>
      </c>
    </row>
    <row r="448">
      <c r="A448" s="4" t="str">
        <f>IFERROR(__xludf.DUMMYFUNCTION("""COMPUTED_VALUE"""),"UGC06446")</f>
        <v>UGC06446</v>
      </c>
      <c r="B448" s="4">
        <f>IFERROR(__xludf.DUMMYFUNCTION("""COMPUTED_VALUE"""),12.0)</f>
        <v>12</v>
      </c>
      <c r="C448" s="4">
        <f>IFERROR(__xludf.DUMMYFUNCTION("""COMPUTED_VALUE"""),9.52)</f>
        <v>9.52</v>
      </c>
      <c r="D448" s="4">
        <f>IFERROR(__xludf.DUMMYFUNCTION("""COMPUTED_VALUE"""),83.2)</f>
        <v>83.2</v>
      </c>
      <c r="E448" s="4">
        <f>IFERROR(__xludf.DUMMYFUNCTION("""COMPUTED_VALUE"""),7.0)</f>
        <v>7</v>
      </c>
      <c r="F448" s="4">
        <f>IFERROR(__xludf.DUMMYFUNCTION("""COMPUTED_VALUE"""),32.29)</f>
        <v>32.29</v>
      </c>
      <c r="G448" s="4">
        <f>IFERROR(__xludf.DUMMYFUNCTION("""COMPUTED_VALUE"""),22.66)</f>
        <v>22.66</v>
      </c>
      <c r="H448" s="4">
        <f>IFERROR(__xludf.DUMMYFUNCTION("""COMPUTED_VALUE"""),0.0)</f>
        <v>0</v>
      </c>
      <c r="I448" s="4">
        <f>IFERROR(__xludf.DUMMYFUNCTION("""COMPUTED_VALUE"""),0.11)</f>
        <v>0.11</v>
      </c>
      <c r="J448" s="4">
        <f>IFERROR(__xludf.DUMMYFUNCTION("""COMPUTED_VALUE"""),0.0)</f>
        <v>0</v>
      </c>
      <c r="K448" s="4">
        <f>IFERROR(__xludf.DUMMYFUNCTION("""COMPUTED_VALUE"""),1556.1197)</f>
        <v>1556.1197</v>
      </c>
      <c r="L448" s="4">
        <f>IFERROR(__xludf.DUMMYFUNCTION("""COMPUTED_VALUE"""),4.448398153432541)</f>
        <v>4.448398153</v>
      </c>
    </row>
    <row r="449">
      <c r="A449" s="5" t="str">
        <f>IFERROR(__xludf.DUMMYFUNCTION("""COMPUTED_VALUE"""),"UGC06446")</f>
        <v>UGC06446</v>
      </c>
      <c r="B449" s="5">
        <f>IFERROR(__xludf.DUMMYFUNCTION("""COMPUTED_VALUE"""),12.0)</f>
        <v>12</v>
      </c>
      <c r="C449" s="5">
        <f>IFERROR(__xludf.DUMMYFUNCTION("""COMPUTED_VALUE"""),10.22)</f>
        <v>10.22</v>
      </c>
      <c r="D449" s="5">
        <f>IFERROR(__xludf.DUMMYFUNCTION("""COMPUTED_VALUE"""),80.1)</f>
        <v>80.1</v>
      </c>
      <c r="E449" s="5">
        <f>IFERROR(__xludf.DUMMYFUNCTION("""COMPUTED_VALUE"""),10.8)</f>
        <v>10.8</v>
      </c>
      <c r="F449" s="5">
        <f>IFERROR(__xludf.DUMMYFUNCTION("""COMPUTED_VALUE"""),33.08)</f>
        <v>33.08</v>
      </c>
      <c r="G449" s="5">
        <f>IFERROR(__xludf.DUMMYFUNCTION("""COMPUTED_VALUE"""),21.62)</f>
        <v>21.62</v>
      </c>
      <c r="H449" s="5">
        <f>IFERROR(__xludf.DUMMYFUNCTION("""COMPUTED_VALUE"""),0.0)</f>
        <v>0</v>
      </c>
      <c r="I449" s="5">
        <f>IFERROR(__xludf.DUMMYFUNCTION("""COMPUTED_VALUE"""),0.0)</f>
        <v>0</v>
      </c>
      <c r="J449" s="5">
        <f>IFERROR(__xludf.DUMMYFUNCTION("""COMPUTED_VALUE"""),0.0)</f>
        <v>0</v>
      </c>
      <c r="K449" s="5">
        <f>IFERROR(__xludf.DUMMYFUNCTION("""COMPUTED_VALUE"""),1561.7108)</f>
        <v>1561.7108</v>
      </c>
      <c r="L449" s="5">
        <f>IFERROR(__xludf.DUMMYFUNCTION("""COMPUTED_VALUE"""),4.108321463871543)</f>
        <v>4.108321464</v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4" t="str">
        <f>IFERROR(__xludf.DUMMYFUNCTION("""COMPUTED_VALUE"""),"UGC07232")</f>
        <v>UGC07232</v>
      </c>
      <c r="B450" s="4">
        <f>IFERROR(__xludf.DUMMYFUNCTION("""COMPUTED_VALUE"""),2.83)</f>
        <v>2.83</v>
      </c>
      <c r="C450" s="4">
        <f>IFERROR(__xludf.DUMMYFUNCTION("""COMPUTED_VALUE"""),0.21)</f>
        <v>0.21</v>
      </c>
      <c r="D450" s="4">
        <f>IFERROR(__xludf.DUMMYFUNCTION("""COMPUTED_VALUE"""),16.4)</f>
        <v>16.4</v>
      </c>
      <c r="E450" s="4">
        <f>IFERROR(__xludf.DUMMYFUNCTION("""COMPUTED_VALUE"""),3.3)</f>
        <v>3.3</v>
      </c>
      <c r="F450" s="4">
        <f>IFERROR(__xludf.DUMMYFUNCTION("""COMPUTED_VALUE"""),3.43)</f>
        <v>3.43</v>
      </c>
      <c r="G450" s="4">
        <f>IFERROR(__xludf.DUMMYFUNCTION("""COMPUTED_VALUE"""),15.55)</f>
        <v>15.55</v>
      </c>
      <c r="H450" s="4">
        <f>IFERROR(__xludf.DUMMYFUNCTION("""COMPUTED_VALUE"""),0.0)</f>
        <v>0</v>
      </c>
      <c r="I450" s="4">
        <f>IFERROR(__xludf.DUMMYFUNCTION("""COMPUTED_VALUE"""),132.25)</f>
        <v>132.25</v>
      </c>
      <c r="J450" s="4">
        <f>IFERROR(__xludf.DUMMYFUNCTION("""COMPUTED_VALUE"""),0.0)</f>
        <v>0</v>
      </c>
      <c r="K450" s="4">
        <f>IFERROR(__xludf.DUMMYFUNCTION("""COMPUTED_VALUE"""),253.56740000000002)</f>
        <v>253.5674</v>
      </c>
      <c r="L450" s="4">
        <f>IFERROR(__xludf.DUMMYFUNCTION("""COMPUTED_VALUE"""),1.0607041756945095)</f>
        <v>1.060704176</v>
      </c>
    </row>
    <row r="451">
      <c r="A451" s="4" t="str">
        <f>IFERROR(__xludf.DUMMYFUNCTION("""COMPUTED_VALUE"""),"UGC07232")</f>
        <v>UGC07232</v>
      </c>
      <c r="B451" s="4">
        <f>IFERROR(__xludf.DUMMYFUNCTION("""COMPUTED_VALUE"""),2.83)</f>
        <v>2.83</v>
      </c>
      <c r="C451" s="4">
        <f>IFERROR(__xludf.DUMMYFUNCTION("""COMPUTED_VALUE"""),0.41)</f>
        <v>0.41</v>
      </c>
      <c r="D451" s="4">
        <f>IFERROR(__xludf.DUMMYFUNCTION("""COMPUTED_VALUE"""),26.2)</f>
        <v>26.2</v>
      </c>
      <c r="E451" s="4">
        <f>IFERROR(__xludf.DUMMYFUNCTION("""COMPUTED_VALUE"""),3.3)</f>
        <v>3.3</v>
      </c>
      <c r="F451" s="4">
        <f>IFERROR(__xludf.DUMMYFUNCTION("""COMPUTED_VALUE"""),6.87)</f>
        <v>6.87</v>
      </c>
      <c r="G451" s="4">
        <f>IFERROR(__xludf.DUMMYFUNCTION("""COMPUTED_VALUE"""),25.1)</f>
        <v>25.1</v>
      </c>
      <c r="H451" s="4">
        <f>IFERROR(__xludf.DUMMYFUNCTION("""COMPUTED_VALUE"""),0.0)</f>
        <v>0</v>
      </c>
      <c r="I451" s="4">
        <f>IFERROR(__xludf.DUMMYFUNCTION("""COMPUTED_VALUE"""),74.94)</f>
        <v>74.94</v>
      </c>
      <c r="J451" s="4">
        <f>IFERROR(__xludf.DUMMYFUNCTION("""COMPUTED_VALUE"""),0.0)</f>
        <v>0</v>
      </c>
      <c r="K451" s="4">
        <f>IFERROR(__xludf.DUMMYFUNCTION("""COMPUTED_VALUE"""),677.2069000000001)</f>
        <v>677.2069</v>
      </c>
      <c r="L451" s="4">
        <f>IFERROR(__xludf.DUMMYFUNCTION("""COMPUTED_VALUE"""),1.013634090261041)</f>
        <v>1.01363409</v>
      </c>
    </row>
    <row r="452">
      <c r="A452" s="4" t="str">
        <f>IFERROR(__xludf.DUMMYFUNCTION("""COMPUTED_VALUE"""),"UGC07232")</f>
        <v>UGC07232</v>
      </c>
      <c r="B452" s="4">
        <f>IFERROR(__xludf.DUMMYFUNCTION("""COMPUTED_VALUE"""),2.83)</f>
        <v>2.83</v>
      </c>
      <c r="C452" s="4">
        <f>IFERROR(__xludf.DUMMYFUNCTION("""COMPUTED_VALUE"""),0.62)</f>
        <v>0.62</v>
      </c>
      <c r="D452" s="4">
        <f>IFERROR(__xludf.DUMMYFUNCTION("""COMPUTED_VALUE"""),35.2)</f>
        <v>35.2</v>
      </c>
      <c r="E452" s="4">
        <f>IFERROR(__xludf.DUMMYFUNCTION("""COMPUTED_VALUE"""),3.3)</f>
        <v>3.3</v>
      </c>
      <c r="F452" s="4">
        <f>IFERROR(__xludf.DUMMYFUNCTION("""COMPUTED_VALUE"""),10.25)</f>
        <v>10.25</v>
      </c>
      <c r="G452" s="4">
        <f>IFERROR(__xludf.DUMMYFUNCTION("""COMPUTED_VALUE"""),25.64)</f>
        <v>25.64</v>
      </c>
      <c r="H452" s="4">
        <f>IFERROR(__xludf.DUMMYFUNCTION("""COMPUTED_VALUE"""),0.0)</f>
        <v>0</v>
      </c>
      <c r="I452" s="4">
        <f>IFERROR(__xludf.DUMMYFUNCTION("""COMPUTED_VALUE"""),17.85)</f>
        <v>17.85</v>
      </c>
      <c r="J452" s="4">
        <f>IFERROR(__xludf.DUMMYFUNCTION("""COMPUTED_VALUE"""),0.0)</f>
        <v>0</v>
      </c>
      <c r="K452" s="4">
        <f>IFERROR(__xludf.DUMMYFUNCTION("""COMPUTED_VALUE"""),762.4721000000001)</f>
        <v>762.4721</v>
      </c>
      <c r="L452" s="4">
        <f>IFERROR(__xludf.DUMMYFUNCTION("""COMPUTED_VALUE"""),1.6250299519156177)</f>
        <v>1.625029952</v>
      </c>
    </row>
    <row r="453">
      <c r="A453" s="5" t="str">
        <f>IFERROR(__xludf.DUMMYFUNCTION("""COMPUTED_VALUE"""),"UGC07232")</f>
        <v>UGC07232</v>
      </c>
      <c r="B453" s="5">
        <f>IFERROR(__xludf.DUMMYFUNCTION("""COMPUTED_VALUE"""),2.83)</f>
        <v>2.83</v>
      </c>
      <c r="C453" s="5">
        <f>IFERROR(__xludf.DUMMYFUNCTION("""COMPUTED_VALUE"""),0.82)</f>
        <v>0.82</v>
      </c>
      <c r="D453" s="5">
        <f>IFERROR(__xludf.DUMMYFUNCTION("""COMPUTED_VALUE"""),44.0)</f>
        <v>44</v>
      </c>
      <c r="E453" s="5">
        <f>IFERROR(__xludf.DUMMYFUNCTION("""COMPUTED_VALUE"""),3.3)</f>
        <v>3.3</v>
      </c>
      <c r="F453" s="5">
        <f>IFERROR(__xludf.DUMMYFUNCTION("""COMPUTED_VALUE"""),12.77)</f>
        <v>12.77</v>
      </c>
      <c r="G453" s="5">
        <f>IFERROR(__xludf.DUMMYFUNCTION("""COMPUTED_VALUE"""),24.3)</f>
        <v>24.3</v>
      </c>
      <c r="H453" s="5">
        <f>IFERROR(__xludf.DUMMYFUNCTION("""COMPUTED_VALUE"""),0.0)</f>
        <v>0</v>
      </c>
      <c r="I453" s="5">
        <f>IFERROR(__xludf.DUMMYFUNCTION("""COMPUTED_VALUE"""),9.49)</f>
        <v>9.49</v>
      </c>
      <c r="J453" s="5">
        <f>IFERROR(__xludf.DUMMYFUNCTION("""COMPUTED_VALUE"""),0.0)</f>
        <v>0</v>
      </c>
      <c r="K453" s="5">
        <f>IFERROR(__xludf.DUMMYFUNCTION("""COMPUTED_VALUE"""),753.5629)</f>
        <v>753.5629</v>
      </c>
      <c r="L453" s="5">
        <f>IFERROR(__xludf.DUMMYFUNCTION("""COMPUTED_VALUE"""),2.569128602270627)</f>
        <v>2.569128602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4" t="str">
        <f>IFERROR(__xludf.DUMMYFUNCTION("""COMPUTED_VALUE"""),"UGC07559")</f>
        <v>UGC07559</v>
      </c>
      <c r="B454" s="4">
        <f>IFERROR(__xludf.DUMMYFUNCTION("""COMPUTED_VALUE"""),4.97)</f>
        <v>4.97</v>
      </c>
      <c r="C454" s="4">
        <f>IFERROR(__xludf.DUMMYFUNCTION("""COMPUTED_VALUE"""),0.36)</f>
        <v>0.36</v>
      </c>
      <c r="D454" s="4">
        <f>IFERROR(__xludf.DUMMYFUNCTION("""COMPUTED_VALUE"""),9.31)</f>
        <v>9.31</v>
      </c>
      <c r="E454" s="4">
        <f>IFERROR(__xludf.DUMMYFUNCTION("""COMPUTED_VALUE"""),3.23)</f>
        <v>3.23</v>
      </c>
      <c r="F454" s="4">
        <f>IFERROR(__xludf.DUMMYFUNCTION("""COMPUTED_VALUE"""),2.82)</f>
        <v>2.82</v>
      </c>
      <c r="G454" s="4">
        <f>IFERROR(__xludf.DUMMYFUNCTION("""COMPUTED_VALUE"""),9.53)</f>
        <v>9.53</v>
      </c>
      <c r="H454" s="4">
        <f>IFERROR(__xludf.DUMMYFUNCTION("""COMPUTED_VALUE"""),0.0)</f>
        <v>0</v>
      </c>
      <c r="I454" s="4">
        <f>IFERROR(__xludf.DUMMYFUNCTION("""COMPUTED_VALUE"""),30.89)</f>
        <v>30.89</v>
      </c>
      <c r="J454" s="4">
        <f>IFERROR(__xludf.DUMMYFUNCTION("""COMPUTED_VALUE"""),0.0)</f>
        <v>0</v>
      </c>
      <c r="K454" s="4">
        <f>IFERROR(__xludf.DUMMYFUNCTION("""COMPUTED_VALUE"""),98.77329999999999)</f>
        <v>98.7733</v>
      </c>
      <c r="L454" s="4">
        <f>IFERROR(__xludf.DUMMYFUNCTION("""COMPUTED_VALUE"""),0.877525606616363)</f>
        <v>0.8775256066</v>
      </c>
    </row>
    <row r="455">
      <c r="A455" s="4" t="str">
        <f>IFERROR(__xludf.DUMMYFUNCTION("""COMPUTED_VALUE"""),"UGC07559")</f>
        <v>UGC07559</v>
      </c>
      <c r="B455" s="4">
        <f>IFERROR(__xludf.DUMMYFUNCTION("""COMPUTED_VALUE"""),4.97)</f>
        <v>4.97</v>
      </c>
      <c r="C455" s="4">
        <f>IFERROR(__xludf.DUMMYFUNCTION("""COMPUTED_VALUE"""),0.72)</f>
        <v>0.72</v>
      </c>
      <c r="D455" s="4">
        <f>IFERROR(__xludf.DUMMYFUNCTION("""COMPUTED_VALUE"""),15.9)</f>
        <v>15.9</v>
      </c>
      <c r="E455" s="4">
        <f>IFERROR(__xludf.DUMMYFUNCTION("""COMPUTED_VALUE"""),3.23)</f>
        <v>3.23</v>
      </c>
      <c r="F455" s="4">
        <f>IFERROR(__xludf.DUMMYFUNCTION("""COMPUTED_VALUE"""),5.91)</f>
        <v>5.91</v>
      </c>
      <c r="G455" s="4">
        <f>IFERROR(__xludf.DUMMYFUNCTION("""COMPUTED_VALUE"""),14.9)</f>
        <v>14.9</v>
      </c>
      <c r="H455" s="4">
        <f>IFERROR(__xludf.DUMMYFUNCTION("""COMPUTED_VALUE"""),0.0)</f>
        <v>0</v>
      </c>
      <c r="I455" s="4">
        <f>IFERROR(__xludf.DUMMYFUNCTION("""COMPUTED_VALUE"""),16.96)</f>
        <v>16.96</v>
      </c>
      <c r="J455" s="4">
        <f>IFERROR(__xludf.DUMMYFUNCTION("""COMPUTED_VALUE"""),0.0)</f>
        <v>0</v>
      </c>
      <c r="K455" s="4">
        <f>IFERROR(__xludf.DUMMYFUNCTION("""COMPUTED_VALUE"""),256.9381)</f>
        <v>256.9381</v>
      </c>
      <c r="L455" s="4">
        <f>IFERROR(__xludf.DUMMYFUNCTION("""COMPUTED_VALUE"""),0.983933484368414)</f>
        <v>0.9839334844</v>
      </c>
    </row>
    <row r="456">
      <c r="A456" s="4" t="str">
        <f>IFERROR(__xludf.DUMMYFUNCTION("""COMPUTED_VALUE"""),"UGC07559")</f>
        <v>UGC07559</v>
      </c>
      <c r="B456" s="4">
        <f>IFERROR(__xludf.DUMMYFUNCTION("""COMPUTED_VALUE"""),4.97)</f>
        <v>4.97</v>
      </c>
      <c r="C456" s="4">
        <f>IFERROR(__xludf.DUMMYFUNCTION("""COMPUTED_VALUE"""),1.08)</f>
        <v>1.08</v>
      </c>
      <c r="D456" s="4">
        <f>IFERROR(__xludf.DUMMYFUNCTION("""COMPUTED_VALUE"""),21.4)</f>
        <v>21.4</v>
      </c>
      <c r="E456" s="4">
        <f>IFERROR(__xludf.DUMMYFUNCTION("""COMPUTED_VALUE"""),3.23)</f>
        <v>3.23</v>
      </c>
      <c r="F456" s="4">
        <f>IFERROR(__xludf.DUMMYFUNCTION("""COMPUTED_VALUE"""),7.85)</f>
        <v>7.85</v>
      </c>
      <c r="G456" s="4">
        <f>IFERROR(__xludf.DUMMYFUNCTION("""COMPUTED_VALUE"""),16.55)</f>
        <v>16.55</v>
      </c>
      <c r="H456" s="4">
        <f>IFERROR(__xludf.DUMMYFUNCTION("""COMPUTED_VALUE"""),0.0)</f>
        <v>0</v>
      </c>
      <c r="I456" s="4">
        <f>IFERROR(__xludf.DUMMYFUNCTION("""COMPUTED_VALUE"""),9.0)</f>
        <v>9</v>
      </c>
      <c r="J456" s="4">
        <f>IFERROR(__xludf.DUMMYFUNCTION("""COMPUTED_VALUE"""),0.0)</f>
        <v>0</v>
      </c>
      <c r="K456" s="4">
        <f>IFERROR(__xludf.DUMMYFUNCTION("""COMPUTED_VALUE"""),335.52500000000003)</f>
        <v>335.525</v>
      </c>
      <c r="L456" s="4">
        <f>IFERROR(__xludf.DUMMYFUNCTION("""COMPUTED_VALUE"""),1.3649057447284103)</f>
        <v>1.364905745</v>
      </c>
    </row>
    <row r="457">
      <c r="A457" s="4" t="str">
        <f>IFERROR(__xludf.DUMMYFUNCTION("""COMPUTED_VALUE"""),"UGC07559")</f>
        <v>UGC07559</v>
      </c>
      <c r="B457" s="4">
        <f>IFERROR(__xludf.DUMMYFUNCTION("""COMPUTED_VALUE"""),4.97)</f>
        <v>4.97</v>
      </c>
      <c r="C457" s="4">
        <f>IFERROR(__xludf.DUMMYFUNCTION("""COMPUTED_VALUE"""),1.45)</f>
        <v>1.45</v>
      </c>
      <c r="D457" s="4">
        <f>IFERROR(__xludf.DUMMYFUNCTION("""COMPUTED_VALUE"""),26.1)</f>
        <v>26.1</v>
      </c>
      <c r="E457" s="4">
        <f>IFERROR(__xludf.DUMMYFUNCTION("""COMPUTED_VALUE"""),3.23)</f>
        <v>3.23</v>
      </c>
      <c r="F457" s="4">
        <f>IFERROR(__xludf.DUMMYFUNCTION("""COMPUTED_VALUE"""),9.57)</f>
        <v>9.57</v>
      </c>
      <c r="G457" s="4">
        <f>IFERROR(__xludf.DUMMYFUNCTION("""COMPUTED_VALUE"""),17.31)</f>
        <v>17.31</v>
      </c>
      <c r="H457" s="4">
        <f>IFERROR(__xludf.DUMMYFUNCTION("""COMPUTED_VALUE"""),0.0)</f>
        <v>0</v>
      </c>
      <c r="I457" s="4">
        <f>IFERROR(__xludf.DUMMYFUNCTION("""COMPUTED_VALUE"""),4.91)</f>
        <v>4.91</v>
      </c>
      <c r="J457" s="4">
        <f>IFERROR(__xludf.DUMMYFUNCTION("""COMPUTED_VALUE"""),0.0)</f>
        <v>0</v>
      </c>
      <c r="K457" s="4">
        <f>IFERROR(__xludf.DUMMYFUNCTION("""COMPUTED_VALUE"""),391.22099999999995)</f>
        <v>391.221</v>
      </c>
      <c r="L457" s="4">
        <f>IFERROR(__xludf.DUMMYFUNCTION("""COMPUTED_VALUE"""),1.741240884308358)</f>
        <v>1.741240884</v>
      </c>
    </row>
    <row r="458">
      <c r="A458" s="4" t="str">
        <f>IFERROR(__xludf.DUMMYFUNCTION("""COMPUTED_VALUE"""),"UGC07559")</f>
        <v>UGC07559</v>
      </c>
      <c r="B458" s="4">
        <f>IFERROR(__xludf.DUMMYFUNCTION("""COMPUTED_VALUE"""),4.97)</f>
        <v>4.97</v>
      </c>
      <c r="C458" s="4">
        <f>IFERROR(__xludf.DUMMYFUNCTION("""COMPUTED_VALUE"""),1.8)</f>
        <v>1.8</v>
      </c>
      <c r="D458" s="4">
        <f>IFERROR(__xludf.DUMMYFUNCTION("""COMPUTED_VALUE"""),29.7)</f>
        <v>29.7</v>
      </c>
      <c r="E458" s="4">
        <f>IFERROR(__xludf.DUMMYFUNCTION("""COMPUTED_VALUE"""),3.23)</f>
        <v>3.23</v>
      </c>
      <c r="F458" s="4">
        <f>IFERROR(__xludf.DUMMYFUNCTION("""COMPUTED_VALUE"""),11.59)</f>
        <v>11.59</v>
      </c>
      <c r="G458" s="4">
        <f>IFERROR(__xludf.DUMMYFUNCTION("""COMPUTED_VALUE"""),16.91)</f>
        <v>16.91</v>
      </c>
      <c r="H458" s="4">
        <f>IFERROR(__xludf.DUMMYFUNCTION("""COMPUTED_VALUE"""),0.0)</f>
        <v>0</v>
      </c>
      <c r="I458" s="4">
        <f>IFERROR(__xludf.DUMMYFUNCTION("""COMPUTED_VALUE"""),2.03)</f>
        <v>2.03</v>
      </c>
      <c r="J458" s="4">
        <f>IFERROR(__xludf.DUMMYFUNCTION("""COMPUTED_VALUE"""),0.0)</f>
        <v>0</v>
      </c>
      <c r="K458" s="4">
        <f>IFERROR(__xludf.DUMMYFUNCTION("""COMPUTED_VALUE"""),420.2762)</f>
        <v>420.2762</v>
      </c>
      <c r="L458" s="4">
        <f>IFERROR(__xludf.DUMMYFUNCTION("""COMPUTED_VALUE"""),2.098834052463594)</f>
        <v>2.098834052</v>
      </c>
    </row>
    <row r="459">
      <c r="A459" s="4" t="str">
        <f>IFERROR(__xludf.DUMMYFUNCTION("""COMPUTED_VALUE"""),"UGC07559")</f>
        <v>UGC07559</v>
      </c>
      <c r="B459" s="4">
        <f>IFERROR(__xludf.DUMMYFUNCTION("""COMPUTED_VALUE"""),4.97)</f>
        <v>4.97</v>
      </c>
      <c r="C459" s="4">
        <f>IFERROR(__xludf.DUMMYFUNCTION("""COMPUTED_VALUE"""),2.17)</f>
        <v>2.17</v>
      </c>
      <c r="D459" s="4">
        <f>IFERROR(__xludf.DUMMYFUNCTION("""COMPUTED_VALUE"""),31.1)</f>
        <v>31.1</v>
      </c>
      <c r="E459" s="4">
        <f>IFERROR(__xludf.DUMMYFUNCTION("""COMPUTED_VALUE"""),3.23)</f>
        <v>3.23</v>
      </c>
      <c r="F459" s="4">
        <f>IFERROR(__xludf.DUMMYFUNCTION("""COMPUTED_VALUE"""),14.33)</f>
        <v>14.33</v>
      </c>
      <c r="G459" s="4">
        <f>IFERROR(__xludf.DUMMYFUNCTION("""COMPUTED_VALUE"""),15.67)</f>
        <v>15.67</v>
      </c>
      <c r="H459" s="4">
        <f>IFERROR(__xludf.DUMMYFUNCTION("""COMPUTED_VALUE"""),0.0)</f>
        <v>0</v>
      </c>
      <c r="I459" s="4">
        <f>IFERROR(__xludf.DUMMYFUNCTION("""COMPUTED_VALUE"""),1.39)</f>
        <v>1.39</v>
      </c>
      <c r="J459" s="4">
        <f>IFERROR(__xludf.DUMMYFUNCTION("""COMPUTED_VALUE"""),0.0)</f>
        <v>0</v>
      </c>
      <c r="K459" s="4">
        <f>IFERROR(__xludf.DUMMYFUNCTION("""COMPUTED_VALUE"""),450.8978)</f>
        <v>450.8978</v>
      </c>
      <c r="L459" s="4">
        <f>IFERROR(__xludf.DUMMYFUNCTION("""COMPUTED_VALUE"""),2.1450758908116208)</f>
        <v>2.145075891</v>
      </c>
    </row>
    <row r="460">
      <c r="A460" s="5" t="str">
        <f>IFERROR(__xludf.DUMMYFUNCTION("""COMPUTED_VALUE"""),"UGC07559")</f>
        <v>UGC07559</v>
      </c>
      <c r="B460" s="5">
        <f>IFERROR(__xludf.DUMMYFUNCTION("""COMPUTED_VALUE"""),4.97)</f>
        <v>4.97</v>
      </c>
      <c r="C460" s="5">
        <f>IFERROR(__xludf.DUMMYFUNCTION("""COMPUTED_VALUE"""),2.53)</f>
        <v>2.53</v>
      </c>
      <c r="D460" s="5">
        <f>IFERROR(__xludf.DUMMYFUNCTION("""COMPUTED_VALUE"""),32.1)</f>
        <v>32.1</v>
      </c>
      <c r="E460" s="5">
        <f>IFERROR(__xludf.DUMMYFUNCTION("""COMPUTED_VALUE"""),3.23)</f>
        <v>3.23</v>
      </c>
      <c r="F460" s="5">
        <f>IFERROR(__xludf.DUMMYFUNCTION("""COMPUTED_VALUE"""),16.45)</f>
        <v>16.45</v>
      </c>
      <c r="G460" s="5">
        <f>IFERROR(__xludf.DUMMYFUNCTION("""COMPUTED_VALUE"""),15.47)</f>
        <v>15.47</v>
      </c>
      <c r="H460" s="5">
        <f>IFERROR(__xludf.DUMMYFUNCTION("""COMPUTED_VALUE"""),0.0)</f>
        <v>0</v>
      </c>
      <c r="I460" s="5">
        <f>IFERROR(__xludf.DUMMYFUNCTION("""COMPUTED_VALUE"""),0.0)</f>
        <v>0</v>
      </c>
      <c r="J460" s="5">
        <f>IFERROR(__xludf.DUMMYFUNCTION("""COMPUTED_VALUE"""),0.0)</f>
        <v>0</v>
      </c>
      <c r="K460" s="5">
        <f>IFERROR(__xludf.DUMMYFUNCTION("""COMPUTED_VALUE"""),509.9234)</f>
        <v>509.9234</v>
      </c>
      <c r="L460" s="5">
        <f>IFERROR(__xludf.DUMMYFUNCTION("""COMPUTED_VALUE"""),2.020715268214795)</f>
        <v>2.020715268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4" t="str">
        <f>IFERROR(__xludf.DUMMYFUNCTION("""COMPUTED_VALUE"""),"UGC07577")</f>
        <v>UGC07577</v>
      </c>
      <c r="B461" s="4">
        <f>IFERROR(__xludf.DUMMYFUNCTION("""COMPUTED_VALUE"""),2.59)</f>
        <v>2.59</v>
      </c>
      <c r="C461" s="4">
        <f>IFERROR(__xludf.DUMMYFUNCTION("""COMPUTED_VALUE"""),0.19)</f>
        <v>0.19</v>
      </c>
      <c r="D461" s="4">
        <f>IFERROR(__xludf.DUMMYFUNCTION("""COMPUTED_VALUE"""),3.74)</f>
        <v>3.74</v>
      </c>
      <c r="E461" s="4">
        <f>IFERROR(__xludf.DUMMYFUNCTION("""COMPUTED_VALUE"""),3.17)</f>
        <v>3.17</v>
      </c>
      <c r="F461" s="4">
        <f>IFERROR(__xludf.DUMMYFUNCTION("""COMPUTED_VALUE"""),-1.81)</f>
        <v>-1.81</v>
      </c>
      <c r="G461" s="4">
        <f>IFERROR(__xludf.DUMMYFUNCTION("""COMPUTED_VALUE"""),3.43)</f>
        <v>3.43</v>
      </c>
      <c r="H461" s="4">
        <f>IFERROR(__xludf.DUMMYFUNCTION("""COMPUTED_VALUE"""),0.0)</f>
        <v>0</v>
      </c>
      <c r="I461" s="4">
        <f>IFERROR(__xludf.DUMMYFUNCTION("""COMPUTED_VALUE"""),14.37)</f>
        <v>14.37</v>
      </c>
      <c r="J461" s="4">
        <f>IFERROR(__xludf.DUMMYFUNCTION("""COMPUTED_VALUE"""),0.0)</f>
        <v>0</v>
      </c>
      <c r="K461" s="4">
        <f>IFERROR(__xludf.DUMMYFUNCTION("""COMPUTED_VALUE"""),15.041)</f>
        <v>15.041</v>
      </c>
      <c r="L461" s="4">
        <f>IFERROR(__xludf.DUMMYFUNCTION("""COMPUTED_VALUE"""),0.9299647629811849)</f>
        <v>0.929964763</v>
      </c>
    </row>
    <row r="462">
      <c r="A462" s="4" t="str">
        <f>IFERROR(__xludf.DUMMYFUNCTION("""COMPUTED_VALUE"""),"UGC07577")</f>
        <v>UGC07577</v>
      </c>
      <c r="B462" s="4">
        <f>IFERROR(__xludf.DUMMYFUNCTION("""COMPUTED_VALUE"""),2.59)</f>
        <v>2.59</v>
      </c>
      <c r="C462" s="4">
        <f>IFERROR(__xludf.DUMMYFUNCTION("""COMPUTED_VALUE"""),0.38)</f>
        <v>0.38</v>
      </c>
      <c r="D462" s="4">
        <f>IFERROR(__xludf.DUMMYFUNCTION("""COMPUTED_VALUE"""),5.4)</f>
        <v>5.4</v>
      </c>
      <c r="E462" s="4">
        <f>IFERROR(__xludf.DUMMYFUNCTION("""COMPUTED_VALUE"""),3.17)</f>
        <v>3.17</v>
      </c>
      <c r="F462" s="4">
        <f>IFERROR(__xludf.DUMMYFUNCTION("""COMPUTED_VALUE"""),-1.88)</f>
        <v>-1.88</v>
      </c>
      <c r="G462" s="4">
        <f>IFERROR(__xludf.DUMMYFUNCTION("""COMPUTED_VALUE"""),6.16)</f>
        <v>6.16</v>
      </c>
      <c r="H462" s="4">
        <f>IFERROR(__xludf.DUMMYFUNCTION("""COMPUTED_VALUE"""),0.0)</f>
        <v>0</v>
      </c>
      <c r="I462" s="4">
        <f>IFERROR(__xludf.DUMMYFUNCTION("""COMPUTED_VALUE"""),13.48)</f>
        <v>13.48</v>
      </c>
      <c r="J462" s="4">
        <f>IFERROR(__xludf.DUMMYFUNCTION("""COMPUTED_VALUE"""),0.0)</f>
        <v>0</v>
      </c>
      <c r="K462" s="4">
        <f>IFERROR(__xludf.DUMMYFUNCTION("""COMPUTED_VALUE"""),41.48)</f>
        <v>41.48</v>
      </c>
      <c r="L462" s="4">
        <f>IFERROR(__xludf.DUMMYFUNCTION("""COMPUTED_VALUE"""),0.7029893924783029)</f>
        <v>0.7029893925</v>
      </c>
    </row>
    <row r="463">
      <c r="A463" s="4" t="str">
        <f>IFERROR(__xludf.DUMMYFUNCTION("""COMPUTED_VALUE"""),"UGC07577")</f>
        <v>UGC07577</v>
      </c>
      <c r="B463" s="4">
        <f>IFERROR(__xludf.DUMMYFUNCTION("""COMPUTED_VALUE"""),2.59)</f>
        <v>2.59</v>
      </c>
      <c r="C463" s="4">
        <f>IFERROR(__xludf.DUMMYFUNCTION("""COMPUTED_VALUE"""),0.57)</f>
        <v>0.57</v>
      </c>
      <c r="D463" s="4">
        <f>IFERROR(__xludf.DUMMYFUNCTION("""COMPUTED_VALUE"""),7.31)</f>
        <v>7.31</v>
      </c>
      <c r="E463" s="4">
        <f>IFERROR(__xludf.DUMMYFUNCTION("""COMPUTED_VALUE"""),3.17)</f>
        <v>3.17</v>
      </c>
      <c r="F463" s="4">
        <f>IFERROR(__xludf.DUMMYFUNCTION("""COMPUTED_VALUE"""),1.42)</f>
        <v>1.42</v>
      </c>
      <c r="G463" s="4">
        <f>IFERROR(__xludf.DUMMYFUNCTION("""COMPUTED_VALUE"""),8.66)</f>
        <v>8.66</v>
      </c>
      <c r="H463" s="4">
        <f>IFERROR(__xludf.DUMMYFUNCTION("""COMPUTED_VALUE"""),0.0)</f>
        <v>0</v>
      </c>
      <c r="I463" s="4">
        <f>IFERROR(__xludf.DUMMYFUNCTION("""COMPUTED_VALUE"""),11.74)</f>
        <v>11.74</v>
      </c>
      <c r="J463" s="4">
        <f>IFERROR(__xludf.DUMMYFUNCTION("""COMPUTED_VALUE"""),0.0)</f>
        <v>0</v>
      </c>
      <c r="K463" s="4">
        <f>IFERROR(__xludf.DUMMYFUNCTION("""COMPUTED_VALUE"""),77.012)</f>
        <v>77.012</v>
      </c>
      <c r="L463" s="4">
        <f>IFERROR(__xludf.DUMMYFUNCTION("""COMPUTED_VALUE"""),0.6938671895289046)</f>
        <v>0.6938671895</v>
      </c>
    </row>
    <row r="464">
      <c r="A464" s="4" t="str">
        <f>IFERROR(__xludf.DUMMYFUNCTION("""COMPUTED_VALUE"""),"UGC07577")</f>
        <v>UGC07577</v>
      </c>
      <c r="B464" s="4">
        <f>IFERROR(__xludf.DUMMYFUNCTION("""COMPUTED_VALUE"""),2.59)</f>
        <v>2.59</v>
      </c>
      <c r="C464" s="4">
        <f>IFERROR(__xludf.DUMMYFUNCTION("""COMPUTED_VALUE"""),0.75)</f>
        <v>0.75</v>
      </c>
      <c r="D464" s="4">
        <f>IFERROR(__xludf.DUMMYFUNCTION("""COMPUTED_VALUE"""),8.85)</f>
        <v>8.85</v>
      </c>
      <c r="E464" s="4">
        <f>IFERROR(__xludf.DUMMYFUNCTION("""COMPUTED_VALUE"""),3.17)</f>
        <v>3.17</v>
      </c>
      <c r="F464" s="4">
        <f>IFERROR(__xludf.DUMMYFUNCTION("""COMPUTED_VALUE"""),4.71)</f>
        <v>4.71</v>
      </c>
      <c r="G464" s="4">
        <f>IFERROR(__xludf.DUMMYFUNCTION("""COMPUTED_VALUE"""),10.45)</f>
        <v>10.45</v>
      </c>
      <c r="H464" s="4">
        <f>IFERROR(__xludf.DUMMYFUNCTION("""COMPUTED_VALUE"""),0.0)</f>
        <v>0</v>
      </c>
      <c r="I464" s="4">
        <f>IFERROR(__xludf.DUMMYFUNCTION("""COMPUTED_VALUE"""),8.8)</f>
        <v>8.8</v>
      </c>
      <c r="J464" s="4">
        <f>IFERROR(__xludf.DUMMYFUNCTION("""COMPUTED_VALUE"""),0.0)</f>
        <v>0</v>
      </c>
      <c r="K464" s="4">
        <f>IFERROR(__xludf.DUMMYFUNCTION("""COMPUTED_VALUE"""),131.3866)</f>
        <v>131.3866</v>
      </c>
      <c r="L464" s="4">
        <f>IFERROR(__xludf.DUMMYFUNCTION("""COMPUTED_VALUE"""),0.5961224356212886)</f>
        <v>0.5961224356</v>
      </c>
    </row>
    <row r="465">
      <c r="A465" s="4" t="str">
        <f>IFERROR(__xludf.DUMMYFUNCTION("""COMPUTED_VALUE"""),"UGC07577")</f>
        <v>UGC07577</v>
      </c>
      <c r="B465" s="4">
        <f>IFERROR(__xludf.DUMMYFUNCTION("""COMPUTED_VALUE"""),2.59)</f>
        <v>2.59</v>
      </c>
      <c r="C465" s="4">
        <f>IFERROR(__xludf.DUMMYFUNCTION("""COMPUTED_VALUE"""),0.94)</f>
        <v>0.94</v>
      </c>
      <c r="D465" s="4">
        <f>IFERROR(__xludf.DUMMYFUNCTION("""COMPUTED_VALUE"""),10.7)</f>
        <v>10.7</v>
      </c>
      <c r="E465" s="4">
        <f>IFERROR(__xludf.DUMMYFUNCTION("""COMPUTED_VALUE"""),3.17)</f>
        <v>3.17</v>
      </c>
      <c r="F465" s="4">
        <f>IFERROR(__xludf.DUMMYFUNCTION("""COMPUTED_VALUE"""),5.82)</f>
        <v>5.82</v>
      </c>
      <c r="G465" s="4">
        <f>IFERROR(__xludf.DUMMYFUNCTION("""COMPUTED_VALUE"""),11.68)</f>
        <v>11.68</v>
      </c>
      <c r="H465" s="4">
        <f>IFERROR(__xludf.DUMMYFUNCTION("""COMPUTED_VALUE"""),0.0)</f>
        <v>0</v>
      </c>
      <c r="I465" s="4">
        <f>IFERROR(__xludf.DUMMYFUNCTION("""COMPUTED_VALUE"""),6.16)</f>
        <v>6.16</v>
      </c>
      <c r="J465" s="4">
        <f>IFERROR(__xludf.DUMMYFUNCTION("""COMPUTED_VALUE"""),0.0)</f>
        <v>0</v>
      </c>
      <c r="K465" s="4">
        <f>IFERROR(__xludf.DUMMYFUNCTION("""COMPUTED_VALUE"""),170.29479999999998)</f>
        <v>170.2948</v>
      </c>
      <c r="L465" s="4">
        <f>IFERROR(__xludf.DUMMYFUNCTION("""COMPUTED_VALUE"""),0.6723047327340588)</f>
        <v>0.6723047327</v>
      </c>
    </row>
    <row r="466">
      <c r="A466" s="4" t="str">
        <f>IFERROR(__xludf.DUMMYFUNCTION("""COMPUTED_VALUE"""),"UGC07577")</f>
        <v>UGC07577</v>
      </c>
      <c r="B466" s="4">
        <f>IFERROR(__xludf.DUMMYFUNCTION("""COMPUTED_VALUE"""),2.59)</f>
        <v>2.59</v>
      </c>
      <c r="C466" s="4">
        <f>IFERROR(__xludf.DUMMYFUNCTION("""COMPUTED_VALUE"""),1.13)</f>
        <v>1.13</v>
      </c>
      <c r="D466" s="4">
        <f>IFERROR(__xludf.DUMMYFUNCTION("""COMPUTED_VALUE"""),12.4)</f>
        <v>12.4</v>
      </c>
      <c r="E466" s="4">
        <f>IFERROR(__xludf.DUMMYFUNCTION("""COMPUTED_VALUE"""),3.17)</f>
        <v>3.17</v>
      </c>
      <c r="F466" s="4">
        <f>IFERROR(__xludf.DUMMYFUNCTION("""COMPUTED_VALUE"""),6.52)</f>
        <v>6.52</v>
      </c>
      <c r="G466" s="4">
        <f>IFERROR(__xludf.DUMMYFUNCTION("""COMPUTED_VALUE"""),12.49)</f>
        <v>12.49</v>
      </c>
      <c r="H466" s="4">
        <f>IFERROR(__xludf.DUMMYFUNCTION("""COMPUTED_VALUE"""),0.0)</f>
        <v>0</v>
      </c>
      <c r="I466" s="4">
        <f>IFERROR(__xludf.DUMMYFUNCTION("""COMPUTED_VALUE"""),4.5)</f>
        <v>4.5</v>
      </c>
      <c r="J466" s="4">
        <f>IFERROR(__xludf.DUMMYFUNCTION("""COMPUTED_VALUE"""),0.0)</f>
        <v>0</v>
      </c>
      <c r="K466" s="4">
        <f>IFERROR(__xludf.DUMMYFUNCTION("""COMPUTED_VALUE"""),198.5105)</f>
        <v>198.5105</v>
      </c>
      <c r="L466" s="4">
        <f>IFERROR(__xludf.DUMMYFUNCTION("""COMPUTED_VALUE"""),0.7745685996458627)</f>
        <v>0.7745685996</v>
      </c>
    </row>
    <row r="467">
      <c r="A467" s="4" t="str">
        <f>IFERROR(__xludf.DUMMYFUNCTION("""COMPUTED_VALUE"""),"UGC07577")</f>
        <v>UGC07577</v>
      </c>
      <c r="B467" s="4">
        <f>IFERROR(__xludf.DUMMYFUNCTION("""COMPUTED_VALUE"""),2.59)</f>
        <v>2.59</v>
      </c>
      <c r="C467" s="4">
        <f>IFERROR(__xludf.DUMMYFUNCTION("""COMPUTED_VALUE"""),1.32)</f>
        <v>1.32</v>
      </c>
      <c r="D467" s="4">
        <f>IFERROR(__xludf.DUMMYFUNCTION("""COMPUTED_VALUE"""),14.1)</f>
        <v>14.1</v>
      </c>
      <c r="E467" s="4">
        <f>IFERROR(__xludf.DUMMYFUNCTION("""COMPUTED_VALUE"""),3.17)</f>
        <v>3.17</v>
      </c>
      <c r="F467" s="4">
        <f>IFERROR(__xludf.DUMMYFUNCTION("""COMPUTED_VALUE"""),7.99)</f>
        <v>7.99</v>
      </c>
      <c r="G467" s="4">
        <f>IFERROR(__xludf.DUMMYFUNCTION("""COMPUTED_VALUE"""),13.06)</f>
        <v>13.06</v>
      </c>
      <c r="H467" s="4">
        <f>IFERROR(__xludf.DUMMYFUNCTION("""COMPUTED_VALUE"""),0.0)</f>
        <v>0</v>
      </c>
      <c r="I467" s="4">
        <f>IFERROR(__xludf.DUMMYFUNCTION("""COMPUTED_VALUE"""),2.8)</f>
        <v>2.8</v>
      </c>
      <c r="J467" s="4">
        <f>IFERROR(__xludf.DUMMYFUNCTION("""COMPUTED_VALUE"""),0.0)</f>
        <v>0</v>
      </c>
      <c r="K467" s="4">
        <f>IFERROR(__xludf.DUMMYFUNCTION("""COMPUTED_VALUE"""),234.40370000000001)</f>
        <v>234.4037</v>
      </c>
      <c r="L467" s="4">
        <f>IFERROR(__xludf.DUMMYFUNCTION("""COMPUTED_VALUE"""),0.8481521409431677)</f>
        <v>0.8481521409</v>
      </c>
    </row>
    <row r="468">
      <c r="A468" s="4" t="str">
        <f>IFERROR(__xludf.DUMMYFUNCTION("""COMPUTED_VALUE"""),"UGC07577")</f>
        <v>UGC07577</v>
      </c>
      <c r="B468" s="4">
        <f>IFERROR(__xludf.DUMMYFUNCTION("""COMPUTED_VALUE"""),2.59)</f>
        <v>2.59</v>
      </c>
      <c r="C468" s="4">
        <f>IFERROR(__xludf.DUMMYFUNCTION("""COMPUTED_VALUE"""),1.51)</f>
        <v>1.51</v>
      </c>
      <c r="D468" s="4">
        <f>IFERROR(__xludf.DUMMYFUNCTION("""COMPUTED_VALUE"""),15.9)</f>
        <v>15.9</v>
      </c>
      <c r="E468" s="4">
        <f>IFERROR(__xludf.DUMMYFUNCTION("""COMPUTED_VALUE"""),3.17)</f>
        <v>3.17</v>
      </c>
      <c r="F468" s="4">
        <f>IFERROR(__xludf.DUMMYFUNCTION("""COMPUTED_VALUE"""),8.69)</f>
        <v>8.69</v>
      </c>
      <c r="G468" s="4">
        <f>IFERROR(__xludf.DUMMYFUNCTION("""COMPUTED_VALUE"""),12.91)</f>
        <v>12.91</v>
      </c>
      <c r="H468" s="4">
        <f>IFERROR(__xludf.DUMMYFUNCTION("""COMPUTED_VALUE"""),0.0)</f>
        <v>0</v>
      </c>
      <c r="I468" s="4">
        <f>IFERROR(__xludf.DUMMYFUNCTION("""COMPUTED_VALUE"""),1.01)</f>
        <v>1.01</v>
      </c>
      <c r="J468" s="4">
        <f>IFERROR(__xludf.DUMMYFUNCTION("""COMPUTED_VALUE"""),0.0)</f>
        <v>0</v>
      </c>
      <c r="K468" s="4">
        <f>IFERROR(__xludf.DUMMYFUNCTION("""COMPUTED_VALUE"""),242.1842)</f>
        <v>242.1842</v>
      </c>
      <c r="L468" s="4">
        <f>IFERROR(__xludf.DUMMYFUNCTION("""COMPUTED_VALUE"""),1.0438748687982122)</f>
        <v>1.043874869</v>
      </c>
    </row>
    <row r="469">
      <c r="A469" s="5" t="str">
        <f>IFERROR(__xludf.DUMMYFUNCTION("""COMPUTED_VALUE"""),"UGC07577")</f>
        <v>UGC07577</v>
      </c>
      <c r="B469" s="5">
        <f>IFERROR(__xludf.DUMMYFUNCTION("""COMPUTED_VALUE"""),2.59)</f>
        <v>2.59</v>
      </c>
      <c r="C469" s="5">
        <f>IFERROR(__xludf.DUMMYFUNCTION("""COMPUTED_VALUE"""),1.69)</f>
        <v>1.69</v>
      </c>
      <c r="D469" s="5">
        <f>IFERROR(__xludf.DUMMYFUNCTION("""COMPUTED_VALUE"""),17.8)</f>
        <v>17.8</v>
      </c>
      <c r="E469" s="5">
        <f>IFERROR(__xludf.DUMMYFUNCTION("""COMPUTED_VALUE"""),3.17)</f>
        <v>3.17</v>
      </c>
      <c r="F469" s="5">
        <f>IFERROR(__xludf.DUMMYFUNCTION("""COMPUTED_VALUE"""),9.12)</f>
        <v>9.12</v>
      </c>
      <c r="G469" s="5">
        <f>IFERROR(__xludf.DUMMYFUNCTION("""COMPUTED_VALUE"""),11.87)</f>
        <v>11.87</v>
      </c>
      <c r="H469" s="5">
        <f>IFERROR(__xludf.DUMMYFUNCTION("""COMPUTED_VALUE"""),0.0)</f>
        <v>0</v>
      </c>
      <c r="I469" s="5">
        <f>IFERROR(__xludf.DUMMYFUNCTION("""COMPUTED_VALUE"""),0.0)</f>
        <v>0</v>
      </c>
      <c r="J469" s="5">
        <f>IFERROR(__xludf.DUMMYFUNCTION("""COMPUTED_VALUE"""),0.0)</f>
        <v>0</v>
      </c>
      <c r="K469" s="5">
        <f>IFERROR(__xludf.DUMMYFUNCTION("""COMPUTED_VALUE"""),224.07129999999998)</f>
        <v>224.0713</v>
      </c>
      <c r="L469" s="5">
        <f>IFERROR(__xludf.DUMMYFUNCTION("""COMPUTED_VALUE"""),1.414014199944393)</f>
        <v>1.4140142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4" t="str">
        <f>IFERROR(__xludf.DUMMYFUNCTION("""COMPUTED_VALUE"""),"UGC07603")</f>
        <v>UGC07603</v>
      </c>
      <c r="B470" s="4">
        <f>IFERROR(__xludf.DUMMYFUNCTION("""COMPUTED_VALUE"""),4.7)</f>
        <v>4.7</v>
      </c>
      <c r="C470" s="4">
        <f>IFERROR(__xludf.DUMMYFUNCTION("""COMPUTED_VALUE"""),0.34)</f>
        <v>0.34</v>
      </c>
      <c r="D470" s="4">
        <f>IFERROR(__xludf.DUMMYFUNCTION("""COMPUTED_VALUE"""),19.6)</f>
        <v>19.6</v>
      </c>
      <c r="E470" s="4">
        <f>IFERROR(__xludf.DUMMYFUNCTION("""COMPUTED_VALUE"""),2.89)</f>
        <v>2.89</v>
      </c>
      <c r="F470" s="4">
        <f>IFERROR(__xludf.DUMMYFUNCTION("""COMPUTED_VALUE"""),4.29)</f>
        <v>4.29</v>
      </c>
      <c r="G470" s="4">
        <f>IFERROR(__xludf.DUMMYFUNCTION("""COMPUTED_VALUE"""),19.73)</f>
        <v>19.73</v>
      </c>
      <c r="H470" s="4">
        <f>IFERROR(__xludf.DUMMYFUNCTION("""COMPUTED_VALUE"""),0.0)</f>
        <v>0</v>
      </c>
      <c r="I470" s="4">
        <f>IFERROR(__xludf.DUMMYFUNCTION("""COMPUTED_VALUE"""),106.8)</f>
        <v>106.8</v>
      </c>
      <c r="J470" s="4">
        <f>IFERROR(__xludf.DUMMYFUNCTION("""COMPUTED_VALUE"""),0.0)</f>
        <v>0</v>
      </c>
      <c r="K470" s="4">
        <f>IFERROR(__xludf.DUMMYFUNCTION("""COMPUTED_VALUE"""),407.677)</f>
        <v>407.677</v>
      </c>
      <c r="L470" s="4">
        <f>IFERROR(__xludf.DUMMYFUNCTION("""COMPUTED_VALUE"""),0.9423146265303171)</f>
        <v>0.9423146265</v>
      </c>
    </row>
    <row r="471">
      <c r="A471" s="4" t="str">
        <f>IFERROR(__xludf.DUMMYFUNCTION("""COMPUTED_VALUE"""),"UGC07603")</f>
        <v>UGC07603</v>
      </c>
      <c r="B471" s="4">
        <f>IFERROR(__xludf.DUMMYFUNCTION("""COMPUTED_VALUE"""),4.7)</f>
        <v>4.7</v>
      </c>
      <c r="C471" s="4">
        <f>IFERROR(__xludf.DUMMYFUNCTION("""COMPUTED_VALUE"""),0.68)</f>
        <v>0.68</v>
      </c>
      <c r="D471" s="4">
        <f>IFERROR(__xludf.DUMMYFUNCTION("""COMPUTED_VALUE"""),32.5)</f>
        <v>32.5</v>
      </c>
      <c r="E471" s="4">
        <f>IFERROR(__xludf.DUMMYFUNCTION("""COMPUTED_VALUE"""),2.89)</f>
        <v>2.89</v>
      </c>
      <c r="F471" s="4">
        <f>IFERROR(__xludf.DUMMYFUNCTION("""COMPUTED_VALUE"""),6.17)</f>
        <v>6.17</v>
      </c>
      <c r="G471" s="4">
        <f>IFERROR(__xludf.DUMMYFUNCTION("""COMPUTED_VALUE"""),28.0)</f>
        <v>28</v>
      </c>
      <c r="H471" s="4">
        <f>IFERROR(__xludf.DUMMYFUNCTION("""COMPUTED_VALUE"""),0.0)</f>
        <v>0</v>
      </c>
      <c r="I471" s="4">
        <f>IFERROR(__xludf.DUMMYFUNCTION("""COMPUTED_VALUE"""),66.32)</f>
        <v>66.32</v>
      </c>
      <c r="J471" s="4">
        <f>IFERROR(__xludf.DUMMYFUNCTION("""COMPUTED_VALUE"""),0.0)</f>
        <v>0</v>
      </c>
      <c r="K471" s="4">
        <f>IFERROR(__xludf.DUMMYFUNCTION("""COMPUTED_VALUE"""),822.0689)</f>
        <v>822.0689</v>
      </c>
      <c r="L471" s="4">
        <f>IFERROR(__xludf.DUMMYFUNCTION("""COMPUTED_VALUE"""),1.284867971528907)</f>
        <v>1.284867972</v>
      </c>
    </row>
    <row r="472">
      <c r="A472" s="4" t="str">
        <f>IFERROR(__xludf.DUMMYFUNCTION("""COMPUTED_VALUE"""),"UGC07603")</f>
        <v>UGC07603</v>
      </c>
      <c r="B472" s="4">
        <f>IFERROR(__xludf.DUMMYFUNCTION("""COMPUTED_VALUE"""),4.7)</f>
        <v>4.7</v>
      </c>
      <c r="C472" s="4">
        <f>IFERROR(__xludf.DUMMYFUNCTION("""COMPUTED_VALUE"""),1.02)</f>
        <v>1.02</v>
      </c>
      <c r="D472" s="4">
        <f>IFERROR(__xludf.DUMMYFUNCTION("""COMPUTED_VALUE"""),41.9)</f>
        <v>41.9</v>
      </c>
      <c r="E472" s="4">
        <f>IFERROR(__xludf.DUMMYFUNCTION("""COMPUTED_VALUE"""),2.89)</f>
        <v>2.89</v>
      </c>
      <c r="F472" s="4">
        <f>IFERROR(__xludf.DUMMYFUNCTION("""COMPUTED_VALUE"""),5.94)</f>
        <v>5.94</v>
      </c>
      <c r="G472" s="4">
        <f>IFERROR(__xludf.DUMMYFUNCTION("""COMPUTED_VALUE"""),31.57)</f>
        <v>31.57</v>
      </c>
      <c r="H472" s="4">
        <f>IFERROR(__xludf.DUMMYFUNCTION("""COMPUTED_VALUE"""),0.0)</f>
        <v>0</v>
      </c>
      <c r="I472" s="4">
        <f>IFERROR(__xludf.DUMMYFUNCTION("""COMPUTED_VALUE"""),28.35)</f>
        <v>28.35</v>
      </c>
      <c r="J472" s="4">
        <f>IFERROR(__xludf.DUMMYFUNCTION("""COMPUTED_VALUE"""),0.0)</f>
        <v>0</v>
      </c>
      <c r="K472" s="4">
        <f>IFERROR(__xludf.DUMMYFUNCTION("""COMPUTED_VALUE"""),1031.9485)</f>
        <v>1031.9485</v>
      </c>
      <c r="L472" s="4">
        <f>IFERROR(__xludf.DUMMYFUNCTION("""COMPUTED_VALUE"""),1.7012573786385656)</f>
        <v>1.701257379</v>
      </c>
    </row>
    <row r="473">
      <c r="A473" s="4" t="str">
        <f>IFERROR(__xludf.DUMMYFUNCTION("""COMPUTED_VALUE"""),"UGC07603")</f>
        <v>UGC07603</v>
      </c>
      <c r="B473" s="4">
        <f>IFERROR(__xludf.DUMMYFUNCTION("""COMPUTED_VALUE"""),4.7)</f>
        <v>4.7</v>
      </c>
      <c r="C473" s="4">
        <f>IFERROR(__xludf.DUMMYFUNCTION("""COMPUTED_VALUE"""),1.37)</f>
        <v>1.37</v>
      </c>
      <c r="D473" s="4">
        <f>IFERROR(__xludf.DUMMYFUNCTION("""COMPUTED_VALUE"""),50.6)</f>
        <v>50.6</v>
      </c>
      <c r="E473" s="4">
        <f>IFERROR(__xludf.DUMMYFUNCTION("""COMPUTED_VALUE"""),2.89)</f>
        <v>2.89</v>
      </c>
      <c r="F473" s="4">
        <f>IFERROR(__xludf.DUMMYFUNCTION("""COMPUTED_VALUE"""),8.81)</f>
        <v>8.81</v>
      </c>
      <c r="G473" s="4">
        <f>IFERROR(__xludf.DUMMYFUNCTION("""COMPUTED_VALUE"""),31.98)</f>
        <v>31.98</v>
      </c>
      <c r="H473" s="4">
        <f>IFERROR(__xludf.DUMMYFUNCTION("""COMPUTED_VALUE"""),0.0)</f>
        <v>0</v>
      </c>
      <c r="I473" s="4">
        <f>IFERROR(__xludf.DUMMYFUNCTION("""COMPUTED_VALUE"""),17.64)</f>
        <v>17.64</v>
      </c>
      <c r="J473" s="4">
        <f>IFERROR(__xludf.DUMMYFUNCTION("""COMPUTED_VALUE"""),0.0)</f>
        <v>0</v>
      </c>
      <c r="K473" s="4">
        <f>IFERROR(__xludf.DUMMYFUNCTION("""COMPUTED_VALUE"""),1100.3365000000001)</f>
        <v>1100.3365</v>
      </c>
      <c r="L473" s="4">
        <f>IFERROR(__xludf.DUMMYFUNCTION("""COMPUTED_VALUE"""),2.3268881837510613)</f>
        <v>2.326888184</v>
      </c>
    </row>
    <row r="474">
      <c r="A474" s="4" t="str">
        <f>IFERROR(__xludf.DUMMYFUNCTION("""COMPUTED_VALUE"""),"UGC07603")</f>
        <v>UGC07603</v>
      </c>
      <c r="B474" s="4">
        <f>IFERROR(__xludf.DUMMYFUNCTION("""COMPUTED_VALUE"""),4.7)</f>
        <v>4.7</v>
      </c>
      <c r="C474" s="4">
        <f>IFERROR(__xludf.DUMMYFUNCTION("""COMPUTED_VALUE"""),1.71)</f>
        <v>1.71</v>
      </c>
      <c r="D474" s="4">
        <f>IFERROR(__xludf.DUMMYFUNCTION("""COMPUTED_VALUE"""),57.0)</f>
        <v>57</v>
      </c>
      <c r="E474" s="4">
        <f>IFERROR(__xludf.DUMMYFUNCTION("""COMPUTED_VALUE"""),2.89)</f>
        <v>2.89</v>
      </c>
      <c r="F474" s="4">
        <f>IFERROR(__xludf.DUMMYFUNCTION("""COMPUTED_VALUE"""),15.21)</f>
        <v>15.21</v>
      </c>
      <c r="G474" s="4">
        <f>IFERROR(__xludf.DUMMYFUNCTION("""COMPUTED_VALUE"""),31.44)</f>
        <v>31.44</v>
      </c>
      <c r="H474" s="4">
        <f>IFERROR(__xludf.DUMMYFUNCTION("""COMPUTED_VALUE"""),0.0)</f>
        <v>0</v>
      </c>
      <c r="I474" s="4">
        <f>IFERROR(__xludf.DUMMYFUNCTION("""COMPUTED_VALUE"""),8.3)</f>
        <v>8.3</v>
      </c>
      <c r="J474" s="4">
        <f>IFERROR(__xludf.DUMMYFUNCTION("""COMPUTED_VALUE"""),0.0)</f>
        <v>0</v>
      </c>
      <c r="K474" s="4">
        <f>IFERROR(__xludf.DUMMYFUNCTION("""COMPUTED_VALUE"""),1219.8177)</f>
        <v>1219.8177</v>
      </c>
      <c r="L474" s="4">
        <f>IFERROR(__xludf.DUMMYFUNCTION("""COMPUTED_VALUE"""),2.663512752766253)</f>
        <v>2.663512753</v>
      </c>
    </row>
    <row r="475">
      <c r="A475" s="4" t="str">
        <f>IFERROR(__xludf.DUMMYFUNCTION("""COMPUTED_VALUE"""),"UGC07603")</f>
        <v>UGC07603</v>
      </c>
      <c r="B475" s="4">
        <f>IFERROR(__xludf.DUMMYFUNCTION("""COMPUTED_VALUE"""),4.7)</f>
        <v>4.7</v>
      </c>
      <c r="C475" s="4">
        <f>IFERROR(__xludf.DUMMYFUNCTION("""COMPUTED_VALUE"""),2.05)</f>
        <v>2.05</v>
      </c>
      <c r="D475" s="4">
        <f>IFERROR(__xludf.DUMMYFUNCTION("""COMPUTED_VALUE"""),60.5)</f>
        <v>60.5</v>
      </c>
      <c r="E475" s="4">
        <f>IFERROR(__xludf.DUMMYFUNCTION("""COMPUTED_VALUE"""),2.89)</f>
        <v>2.89</v>
      </c>
      <c r="F475" s="4">
        <f>IFERROR(__xludf.DUMMYFUNCTION("""COMPUTED_VALUE"""),17.87)</f>
        <v>17.87</v>
      </c>
      <c r="G475" s="4">
        <f>IFERROR(__xludf.DUMMYFUNCTION("""COMPUTED_VALUE"""),29.65)</f>
        <v>29.65</v>
      </c>
      <c r="H475" s="4">
        <f>IFERROR(__xludf.DUMMYFUNCTION("""COMPUTED_VALUE"""),0.0)</f>
        <v>0</v>
      </c>
      <c r="I475" s="4">
        <f>IFERROR(__xludf.DUMMYFUNCTION("""COMPUTED_VALUE"""),4.37)</f>
        <v>4.37</v>
      </c>
      <c r="J475" s="4">
        <f>IFERROR(__xludf.DUMMYFUNCTION("""COMPUTED_VALUE"""),0.0)</f>
        <v>0</v>
      </c>
      <c r="K475" s="4">
        <f>IFERROR(__xludf.DUMMYFUNCTION("""COMPUTED_VALUE"""),1198.4594)</f>
        <v>1198.4594</v>
      </c>
      <c r="L475" s="4">
        <f>IFERROR(__xludf.DUMMYFUNCTION("""COMPUTED_VALUE"""),3.054129326366834)</f>
        <v>3.054129326</v>
      </c>
    </row>
    <row r="476">
      <c r="A476" s="4" t="str">
        <f>IFERROR(__xludf.DUMMYFUNCTION("""COMPUTED_VALUE"""),"UGC07603")</f>
        <v>UGC07603</v>
      </c>
      <c r="B476" s="4">
        <f>IFERROR(__xludf.DUMMYFUNCTION("""COMPUTED_VALUE"""),4.7)</f>
        <v>4.7</v>
      </c>
      <c r="C476" s="4">
        <f>IFERROR(__xludf.DUMMYFUNCTION("""COMPUTED_VALUE"""),2.39)</f>
        <v>2.39</v>
      </c>
      <c r="D476" s="4">
        <f>IFERROR(__xludf.DUMMYFUNCTION("""COMPUTED_VALUE"""),60.5)</f>
        <v>60.5</v>
      </c>
      <c r="E476" s="4">
        <f>IFERROR(__xludf.DUMMYFUNCTION("""COMPUTED_VALUE"""),2.89)</f>
        <v>2.89</v>
      </c>
      <c r="F476" s="4">
        <f>IFERROR(__xludf.DUMMYFUNCTION("""COMPUTED_VALUE"""),17.46)</f>
        <v>17.46</v>
      </c>
      <c r="G476" s="4">
        <f>IFERROR(__xludf.DUMMYFUNCTION("""COMPUTED_VALUE"""),27.89)</f>
        <v>27.89</v>
      </c>
      <c r="H476" s="4">
        <f>IFERROR(__xludf.DUMMYFUNCTION("""COMPUTED_VALUE"""),0.0)</f>
        <v>0</v>
      </c>
      <c r="I476" s="4">
        <f>IFERROR(__xludf.DUMMYFUNCTION("""COMPUTED_VALUE"""),2.3)</f>
        <v>2.3</v>
      </c>
      <c r="J476" s="4">
        <f>IFERROR(__xludf.DUMMYFUNCTION("""COMPUTED_VALUE"""),0.0)</f>
        <v>0</v>
      </c>
      <c r="K476" s="4">
        <f>IFERROR(__xludf.DUMMYFUNCTION("""COMPUTED_VALUE"""),1082.7037)</f>
        <v>1082.7037</v>
      </c>
      <c r="L476" s="4">
        <f>IFERROR(__xludf.DUMMYFUNCTION("""COMPUTED_VALUE"""),3.380657145625345)</f>
        <v>3.380657146</v>
      </c>
    </row>
    <row r="477">
      <c r="A477" s="4" t="str">
        <f>IFERROR(__xludf.DUMMYFUNCTION("""COMPUTED_VALUE"""),"UGC07603")</f>
        <v>UGC07603</v>
      </c>
      <c r="B477" s="4">
        <f>IFERROR(__xludf.DUMMYFUNCTION("""COMPUTED_VALUE"""),4.7)</f>
        <v>4.7</v>
      </c>
      <c r="C477" s="4">
        <f>IFERROR(__xludf.DUMMYFUNCTION("""COMPUTED_VALUE"""),2.74)</f>
        <v>2.74</v>
      </c>
      <c r="D477" s="4">
        <f>IFERROR(__xludf.DUMMYFUNCTION("""COMPUTED_VALUE"""),60.0)</f>
        <v>60</v>
      </c>
      <c r="E477" s="4">
        <f>IFERROR(__xludf.DUMMYFUNCTION("""COMPUTED_VALUE"""),2.89)</f>
        <v>2.89</v>
      </c>
      <c r="F477" s="4">
        <f>IFERROR(__xludf.DUMMYFUNCTION("""COMPUTED_VALUE"""),15.96)</f>
        <v>15.96</v>
      </c>
      <c r="G477" s="4">
        <f>IFERROR(__xludf.DUMMYFUNCTION("""COMPUTED_VALUE"""),26.14)</f>
        <v>26.14</v>
      </c>
      <c r="H477" s="4">
        <f>IFERROR(__xludf.DUMMYFUNCTION("""COMPUTED_VALUE"""),0.0)</f>
        <v>0</v>
      </c>
      <c r="I477" s="4">
        <f>IFERROR(__xludf.DUMMYFUNCTION("""COMPUTED_VALUE"""),1.18)</f>
        <v>1.18</v>
      </c>
      <c r="J477" s="4">
        <f>IFERROR(__xludf.DUMMYFUNCTION("""COMPUTED_VALUE"""),0.0)</f>
        <v>0</v>
      </c>
      <c r="K477" s="4">
        <f>IFERROR(__xludf.DUMMYFUNCTION("""COMPUTED_VALUE"""),938.0212000000001)</f>
        <v>938.0212</v>
      </c>
      <c r="L477" s="4">
        <f>IFERROR(__xludf.DUMMYFUNCTION("""COMPUTED_VALUE"""),3.8378663509950517)</f>
        <v>3.837866351</v>
      </c>
    </row>
    <row r="478">
      <c r="A478" s="4" t="str">
        <f>IFERROR(__xludf.DUMMYFUNCTION("""COMPUTED_VALUE"""),"UGC07603")</f>
        <v>UGC07603</v>
      </c>
      <c r="B478" s="4">
        <f>IFERROR(__xludf.DUMMYFUNCTION("""COMPUTED_VALUE"""),4.7)</f>
        <v>4.7</v>
      </c>
      <c r="C478" s="4">
        <f>IFERROR(__xludf.DUMMYFUNCTION("""COMPUTED_VALUE"""),3.08)</f>
        <v>3.08</v>
      </c>
      <c r="D478" s="4">
        <f>IFERROR(__xludf.DUMMYFUNCTION("""COMPUTED_VALUE"""),61.5)</f>
        <v>61.5</v>
      </c>
      <c r="E478" s="4">
        <f>IFERROR(__xludf.DUMMYFUNCTION("""COMPUTED_VALUE"""),2.89)</f>
        <v>2.89</v>
      </c>
      <c r="F478" s="4">
        <f>IFERROR(__xludf.DUMMYFUNCTION("""COMPUTED_VALUE"""),15.55)</f>
        <v>15.55</v>
      </c>
      <c r="G478" s="4">
        <f>IFERROR(__xludf.DUMMYFUNCTION("""COMPUTED_VALUE"""),24.58)</f>
        <v>24.58</v>
      </c>
      <c r="H478" s="4">
        <f>IFERROR(__xludf.DUMMYFUNCTION("""COMPUTED_VALUE"""),0.0)</f>
        <v>0</v>
      </c>
      <c r="I478" s="4">
        <f>IFERROR(__xludf.DUMMYFUNCTION("""COMPUTED_VALUE"""),0.62)</f>
        <v>0.62</v>
      </c>
      <c r="J478" s="4">
        <f>IFERROR(__xludf.DUMMYFUNCTION("""COMPUTED_VALUE"""),0.0)</f>
        <v>0</v>
      </c>
      <c r="K478" s="4">
        <f>IFERROR(__xludf.DUMMYFUNCTION("""COMPUTED_VALUE"""),845.9789)</f>
        <v>845.9789</v>
      </c>
      <c r="L478" s="4">
        <f>IFERROR(__xludf.DUMMYFUNCTION("""COMPUTED_VALUE"""),4.470856188020766)</f>
        <v>4.470856188</v>
      </c>
    </row>
    <row r="479">
      <c r="A479" s="4" t="str">
        <f>IFERROR(__xludf.DUMMYFUNCTION("""COMPUTED_VALUE"""),"UGC07603")</f>
        <v>UGC07603</v>
      </c>
      <c r="B479" s="4">
        <f>IFERROR(__xludf.DUMMYFUNCTION("""COMPUTED_VALUE"""),4.7)</f>
        <v>4.7</v>
      </c>
      <c r="C479" s="4">
        <f>IFERROR(__xludf.DUMMYFUNCTION("""COMPUTED_VALUE"""),3.42)</f>
        <v>3.42</v>
      </c>
      <c r="D479" s="4">
        <f>IFERROR(__xludf.DUMMYFUNCTION("""COMPUTED_VALUE"""),61.5)</f>
        <v>61.5</v>
      </c>
      <c r="E479" s="4">
        <f>IFERROR(__xludf.DUMMYFUNCTION("""COMPUTED_VALUE"""),2.89)</f>
        <v>2.89</v>
      </c>
      <c r="F479" s="4">
        <f>IFERROR(__xludf.DUMMYFUNCTION("""COMPUTED_VALUE"""),16.29)</f>
        <v>16.29</v>
      </c>
      <c r="G479" s="4">
        <f>IFERROR(__xludf.DUMMYFUNCTION("""COMPUTED_VALUE"""),23.19)</f>
        <v>23.19</v>
      </c>
      <c r="H479" s="4">
        <f>IFERROR(__xludf.DUMMYFUNCTION("""COMPUTED_VALUE"""),0.0)</f>
        <v>0</v>
      </c>
      <c r="I479" s="4">
        <f>IFERROR(__xludf.DUMMYFUNCTION("""COMPUTED_VALUE"""),0.33)</f>
        <v>0.33</v>
      </c>
      <c r="J479" s="4">
        <f>IFERROR(__xludf.DUMMYFUNCTION("""COMPUTED_VALUE"""),0.0)</f>
        <v>0</v>
      </c>
      <c r="K479" s="4">
        <f>IFERROR(__xludf.DUMMYFUNCTION("""COMPUTED_VALUE"""),803.1402)</f>
        <v>803.1402</v>
      </c>
      <c r="L479" s="4">
        <f>IFERROR(__xludf.DUMMYFUNCTION("""COMPUTED_VALUE"""),4.709327213355775)</f>
        <v>4.709327213</v>
      </c>
    </row>
    <row r="480">
      <c r="A480" s="4" t="str">
        <f>IFERROR(__xludf.DUMMYFUNCTION("""COMPUTED_VALUE"""),"UGC07603")</f>
        <v>UGC07603</v>
      </c>
      <c r="B480" s="4">
        <f>IFERROR(__xludf.DUMMYFUNCTION("""COMPUTED_VALUE"""),4.7)</f>
        <v>4.7</v>
      </c>
      <c r="C480" s="4">
        <f>IFERROR(__xludf.DUMMYFUNCTION("""COMPUTED_VALUE"""),3.76)</f>
        <v>3.76</v>
      </c>
      <c r="D480" s="4">
        <f>IFERROR(__xludf.DUMMYFUNCTION("""COMPUTED_VALUE"""),63.0)</f>
        <v>63</v>
      </c>
      <c r="E480" s="4">
        <f>IFERROR(__xludf.DUMMYFUNCTION("""COMPUTED_VALUE"""),2.89)</f>
        <v>2.89</v>
      </c>
      <c r="F480" s="4">
        <f>IFERROR(__xludf.DUMMYFUNCTION("""COMPUTED_VALUE"""),16.96)</f>
        <v>16.96</v>
      </c>
      <c r="G480" s="4">
        <f>IFERROR(__xludf.DUMMYFUNCTION("""COMPUTED_VALUE"""),21.99)</f>
        <v>21.99</v>
      </c>
      <c r="H480" s="4">
        <f>IFERROR(__xludf.DUMMYFUNCTION("""COMPUTED_VALUE"""),0.0)</f>
        <v>0</v>
      </c>
      <c r="I480" s="4">
        <f>IFERROR(__xludf.DUMMYFUNCTION("""COMPUTED_VALUE"""),0.17)</f>
        <v>0.17</v>
      </c>
      <c r="J480" s="4">
        <f>IFERROR(__xludf.DUMMYFUNCTION("""COMPUTED_VALUE"""),0.0)</f>
        <v>0</v>
      </c>
      <c r="K480" s="4">
        <f>IFERROR(__xludf.DUMMYFUNCTION("""COMPUTED_VALUE"""),771.2017)</f>
        <v>771.2017</v>
      </c>
      <c r="L480" s="4">
        <f>IFERROR(__xludf.DUMMYFUNCTION("""COMPUTED_VALUE"""),5.146513551513178)</f>
        <v>5.146513552</v>
      </c>
    </row>
    <row r="481">
      <c r="A481" s="5" t="str">
        <f>IFERROR(__xludf.DUMMYFUNCTION("""COMPUTED_VALUE"""),"UGC07603")</f>
        <v>UGC07603</v>
      </c>
      <c r="B481" s="5">
        <f>IFERROR(__xludf.DUMMYFUNCTION("""COMPUTED_VALUE"""),4.7)</f>
        <v>4.7</v>
      </c>
      <c r="C481" s="5">
        <f>IFERROR(__xludf.DUMMYFUNCTION("""COMPUTED_VALUE"""),4.11)</f>
        <v>4.11</v>
      </c>
      <c r="D481" s="5">
        <f>IFERROR(__xludf.DUMMYFUNCTION("""COMPUTED_VALUE"""),64.0)</f>
        <v>64</v>
      </c>
      <c r="E481" s="5">
        <f>IFERROR(__xludf.DUMMYFUNCTION("""COMPUTED_VALUE"""),2.89)</f>
        <v>2.89</v>
      </c>
      <c r="F481" s="5">
        <f>IFERROR(__xludf.DUMMYFUNCTION("""COMPUTED_VALUE"""),17.21)</f>
        <v>17.21</v>
      </c>
      <c r="G481" s="5">
        <f>IFERROR(__xludf.DUMMYFUNCTION("""COMPUTED_VALUE"""),20.84)</f>
        <v>20.84</v>
      </c>
      <c r="H481" s="5">
        <f>IFERROR(__xludf.DUMMYFUNCTION("""COMPUTED_VALUE"""),0.0)</f>
        <v>0</v>
      </c>
      <c r="I481" s="5">
        <f>IFERROR(__xludf.DUMMYFUNCTION("""COMPUTED_VALUE"""),0.0)</f>
        <v>0</v>
      </c>
      <c r="J481" s="5">
        <f>IFERROR(__xludf.DUMMYFUNCTION("""COMPUTED_VALUE"""),0.0)</f>
        <v>0</v>
      </c>
      <c r="K481" s="5">
        <f>IFERROR(__xludf.DUMMYFUNCTION("""COMPUTED_VALUE"""),730.4897000000001)</f>
        <v>730.4897</v>
      </c>
      <c r="L481" s="5">
        <f>IFERROR(__xludf.DUMMYFUNCTION("""COMPUTED_VALUE"""),5.607197473147123)</f>
        <v>5.607197473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4" t="str">
        <f>IFERROR(__xludf.DUMMYFUNCTION("""COMPUTED_VALUE"""),"UGC07608")</f>
        <v>UGC07608</v>
      </c>
      <c r="B482" s="4">
        <f>IFERROR(__xludf.DUMMYFUNCTION("""COMPUTED_VALUE"""),8.21)</f>
        <v>8.21</v>
      </c>
      <c r="C482" s="4">
        <f>IFERROR(__xludf.DUMMYFUNCTION("""COMPUTED_VALUE"""),0.6)</f>
        <v>0.6</v>
      </c>
      <c r="D482" s="4">
        <f>IFERROR(__xludf.DUMMYFUNCTION("""COMPUTED_VALUE"""),14.6)</f>
        <v>14.6</v>
      </c>
      <c r="E482" s="4">
        <f>IFERROR(__xludf.DUMMYFUNCTION("""COMPUTED_VALUE"""),6.69)</f>
        <v>6.69</v>
      </c>
      <c r="F482" s="4">
        <f>IFERROR(__xludf.DUMMYFUNCTION("""COMPUTED_VALUE"""),4.56)</f>
        <v>4.56</v>
      </c>
      <c r="G482" s="4">
        <f>IFERROR(__xludf.DUMMYFUNCTION("""COMPUTED_VALUE"""),9.68)</f>
        <v>9.68</v>
      </c>
      <c r="H482" s="4">
        <f>IFERROR(__xludf.DUMMYFUNCTION("""COMPUTED_VALUE"""),0.0)</f>
        <v>0</v>
      </c>
      <c r="I482" s="4">
        <f>IFERROR(__xludf.DUMMYFUNCTION("""COMPUTED_VALUE"""),17.85)</f>
        <v>17.85</v>
      </c>
      <c r="J482" s="4">
        <f>IFERROR(__xludf.DUMMYFUNCTION("""COMPUTED_VALUE"""),0.0)</f>
        <v>0</v>
      </c>
      <c r="K482" s="4">
        <f>IFERROR(__xludf.DUMMYFUNCTION("""COMPUTED_VALUE"""),114.496)</f>
        <v>114.496</v>
      </c>
      <c r="L482" s="4">
        <f>IFERROR(__xludf.DUMMYFUNCTION("""COMPUTED_VALUE"""),1.8617244270542204)</f>
        <v>1.861724427</v>
      </c>
    </row>
    <row r="483">
      <c r="A483" s="4" t="str">
        <f>IFERROR(__xludf.DUMMYFUNCTION("""COMPUTED_VALUE"""),"UGC07608")</f>
        <v>UGC07608</v>
      </c>
      <c r="B483" s="4">
        <f>IFERROR(__xludf.DUMMYFUNCTION("""COMPUTED_VALUE"""),8.21)</f>
        <v>8.21</v>
      </c>
      <c r="C483" s="4">
        <f>IFERROR(__xludf.DUMMYFUNCTION("""COMPUTED_VALUE"""),1.19)</f>
        <v>1.19</v>
      </c>
      <c r="D483" s="4">
        <f>IFERROR(__xludf.DUMMYFUNCTION("""COMPUTED_VALUE"""),31.5)</f>
        <v>31.5</v>
      </c>
      <c r="E483" s="4">
        <f>IFERROR(__xludf.DUMMYFUNCTION("""COMPUTED_VALUE"""),6.69)</f>
        <v>6.69</v>
      </c>
      <c r="F483" s="4">
        <f>IFERROR(__xludf.DUMMYFUNCTION("""COMPUTED_VALUE"""),6.39)</f>
        <v>6.39</v>
      </c>
      <c r="G483" s="4">
        <f>IFERROR(__xludf.DUMMYFUNCTION("""COMPUTED_VALUE"""),13.08)</f>
        <v>13.08</v>
      </c>
      <c r="H483" s="4">
        <f>IFERROR(__xludf.DUMMYFUNCTION("""COMPUTED_VALUE"""),0.0)</f>
        <v>0</v>
      </c>
      <c r="I483" s="4">
        <f>IFERROR(__xludf.DUMMYFUNCTION("""COMPUTED_VALUE"""),8.12)</f>
        <v>8.12</v>
      </c>
      <c r="J483" s="4">
        <f>IFERROR(__xludf.DUMMYFUNCTION("""COMPUTED_VALUE"""),0.0)</f>
        <v>0</v>
      </c>
      <c r="K483" s="4">
        <f>IFERROR(__xludf.DUMMYFUNCTION("""COMPUTED_VALUE"""),211.9185)</f>
        <v>211.9185</v>
      </c>
      <c r="L483" s="4">
        <f>IFERROR(__xludf.DUMMYFUNCTION("""COMPUTED_VALUE"""),4.682224534431869)</f>
        <v>4.682224534</v>
      </c>
    </row>
    <row r="484">
      <c r="A484" s="4" t="str">
        <f>IFERROR(__xludf.DUMMYFUNCTION("""COMPUTED_VALUE"""),"UGC07608")</f>
        <v>UGC07608</v>
      </c>
      <c r="B484" s="4">
        <f>IFERROR(__xludf.DUMMYFUNCTION("""COMPUTED_VALUE"""),8.21)</f>
        <v>8.21</v>
      </c>
      <c r="C484" s="4">
        <f>IFERROR(__xludf.DUMMYFUNCTION("""COMPUTED_VALUE"""),1.79)</f>
        <v>1.79</v>
      </c>
      <c r="D484" s="4">
        <f>IFERROR(__xludf.DUMMYFUNCTION("""COMPUTED_VALUE"""),44.8)</f>
        <v>44.8</v>
      </c>
      <c r="E484" s="4">
        <f>IFERROR(__xludf.DUMMYFUNCTION("""COMPUTED_VALUE"""),6.69)</f>
        <v>6.69</v>
      </c>
      <c r="F484" s="4">
        <f>IFERROR(__xludf.DUMMYFUNCTION("""COMPUTED_VALUE"""),9.63)</f>
        <v>9.63</v>
      </c>
      <c r="G484" s="4">
        <f>IFERROR(__xludf.DUMMYFUNCTION("""COMPUTED_VALUE"""),14.81)</f>
        <v>14.81</v>
      </c>
      <c r="H484" s="4">
        <f>IFERROR(__xludf.DUMMYFUNCTION("""COMPUTED_VALUE"""),0.0)</f>
        <v>0</v>
      </c>
      <c r="I484" s="4">
        <f>IFERROR(__xludf.DUMMYFUNCTION("""COMPUTED_VALUE"""),5.97)</f>
        <v>5.97</v>
      </c>
      <c r="J484" s="4">
        <f>IFERROR(__xludf.DUMMYFUNCTION("""COMPUTED_VALUE"""),0.0)</f>
        <v>0</v>
      </c>
      <c r="K484" s="4">
        <f>IFERROR(__xludf.DUMMYFUNCTION("""COMPUTED_VALUE"""),312.07300000000004)</f>
        <v>312.073</v>
      </c>
      <c r="L484" s="4">
        <f>IFERROR(__xludf.DUMMYFUNCTION("""COMPUTED_VALUE"""),6.43131574984058)</f>
        <v>6.43131575</v>
      </c>
    </row>
    <row r="485">
      <c r="A485" s="4" t="str">
        <f>IFERROR(__xludf.DUMMYFUNCTION("""COMPUTED_VALUE"""),"UGC07608")</f>
        <v>UGC07608</v>
      </c>
      <c r="B485" s="4">
        <f>IFERROR(__xludf.DUMMYFUNCTION("""COMPUTED_VALUE"""),8.21)</f>
        <v>8.21</v>
      </c>
      <c r="C485" s="4">
        <f>IFERROR(__xludf.DUMMYFUNCTION("""COMPUTED_VALUE"""),2.38)</f>
        <v>2.38</v>
      </c>
      <c r="D485" s="4">
        <f>IFERROR(__xludf.DUMMYFUNCTION("""COMPUTED_VALUE"""),50.6)</f>
        <v>50.6</v>
      </c>
      <c r="E485" s="4">
        <f>IFERROR(__xludf.DUMMYFUNCTION("""COMPUTED_VALUE"""),6.69)</f>
        <v>6.69</v>
      </c>
      <c r="F485" s="4">
        <f>IFERROR(__xludf.DUMMYFUNCTION("""COMPUTED_VALUE"""),13.15)</f>
        <v>13.15</v>
      </c>
      <c r="G485" s="4">
        <f>IFERROR(__xludf.DUMMYFUNCTION("""COMPUTED_VALUE"""),16.52)</f>
        <v>16.52</v>
      </c>
      <c r="H485" s="4">
        <f>IFERROR(__xludf.DUMMYFUNCTION("""COMPUTED_VALUE"""),0.0)</f>
        <v>0</v>
      </c>
      <c r="I485" s="4">
        <f>IFERROR(__xludf.DUMMYFUNCTION("""COMPUTED_VALUE"""),4.18)</f>
        <v>4.18</v>
      </c>
      <c r="J485" s="4">
        <f>IFERROR(__xludf.DUMMYFUNCTION("""COMPUTED_VALUE"""),0.0)</f>
        <v>0</v>
      </c>
      <c r="K485" s="4">
        <f>IFERROR(__xludf.DUMMYFUNCTION("""COMPUTED_VALUE"""),445.8329)</f>
        <v>445.8329</v>
      </c>
      <c r="L485" s="4">
        <f>IFERROR(__xludf.DUMMYFUNCTION("""COMPUTED_VALUE"""),5.74286913325598)</f>
        <v>5.742869133</v>
      </c>
    </row>
    <row r="486">
      <c r="A486" s="4" t="str">
        <f>IFERROR(__xludf.DUMMYFUNCTION("""COMPUTED_VALUE"""),"UGC07608")</f>
        <v>UGC07608</v>
      </c>
      <c r="B486" s="4">
        <f>IFERROR(__xludf.DUMMYFUNCTION("""COMPUTED_VALUE"""),8.21)</f>
        <v>8.21</v>
      </c>
      <c r="C486" s="4">
        <f>IFERROR(__xludf.DUMMYFUNCTION("""COMPUTED_VALUE"""),2.99)</f>
        <v>2.99</v>
      </c>
      <c r="D486" s="4">
        <f>IFERROR(__xludf.DUMMYFUNCTION("""COMPUTED_VALUE"""),55.6)</f>
        <v>55.6</v>
      </c>
      <c r="E486" s="4">
        <f>IFERROR(__xludf.DUMMYFUNCTION("""COMPUTED_VALUE"""),6.69)</f>
        <v>6.69</v>
      </c>
      <c r="F486" s="4">
        <f>IFERROR(__xludf.DUMMYFUNCTION("""COMPUTED_VALUE"""),14.93)</f>
        <v>14.93</v>
      </c>
      <c r="G486" s="4">
        <f>IFERROR(__xludf.DUMMYFUNCTION("""COMPUTED_VALUE"""),16.97)</f>
        <v>16.97</v>
      </c>
      <c r="H486" s="4">
        <f>IFERROR(__xludf.DUMMYFUNCTION("""COMPUTED_VALUE"""),0.0)</f>
        <v>0</v>
      </c>
      <c r="I486" s="4">
        <f>IFERROR(__xludf.DUMMYFUNCTION("""COMPUTED_VALUE"""),2.37)</f>
        <v>2.37</v>
      </c>
      <c r="J486" s="4">
        <f>IFERROR(__xludf.DUMMYFUNCTION("""COMPUTED_VALUE"""),0.0)</f>
        <v>0</v>
      </c>
      <c r="K486" s="4">
        <f>IFERROR(__xludf.DUMMYFUNCTION("""COMPUTED_VALUE"""),510.88579999999996)</f>
        <v>510.8858</v>
      </c>
      <c r="L486" s="4">
        <f>IFERROR(__xludf.DUMMYFUNCTION("""COMPUTED_VALUE"""),6.050980473522655)</f>
        <v>6.050980474</v>
      </c>
    </row>
    <row r="487">
      <c r="A487" s="4" t="str">
        <f>IFERROR(__xludf.DUMMYFUNCTION("""COMPUTED_VALUE"""),"UGC07608")</f>
        <v>UGC07608</v>
      </c>
      <c r="B487" s="4">
        <f>IFERROR(__xludf.DUMMYFUNCTION("""COMPUTED_VALUE"""),8.21)</f>
        <v>8.21</v>
      </c>
      <c r="C487" s="4">
        <f>IFERROR(__xludf.DUMMYFUNCTION("""COMPUTED_VALUE"""),3.59)</f>
        <v>3.59</v>
      </c>
      <c r="D487" s="4">
        <f>IFERROR(__xludf.DUMMYFUNCTION("""COMPUTED_VALUE"""),61.4)</f>
        <v>61.4</v>
      </c>
      <c r="E487" s="4">
        <f>IFERROR(__xludf.DUMMYFUNCTION("""COMPUTED_VALUE"""),6.69)</f>
        <v>6.69</v>
      </c>
      <c r="F487" s="4">
        <f>IFERROR(__xludf.DUMMYFUNCTION("""COMPUTED_VALUE"""),18.09)</f>
        <v>18.09</v>
      </c>
      <c r="G487" s="4">
        <f>IFERROR(__xludf.DUMMYFUNCTION("""COMPUTED_VALUE"""),16.51)</f>
        <v>16.51</v>
      </c>
      <c r="H487" s="4">
        <f>IFERROR(__xludf.DUMMYFUNCTION("""COMPUTED_VALUE"""),0.0)</f>
        <v>0</v>
      </c>
      <c r="I487" s="4">
        <f>IFERROR(__xludf.DUMMYFUNCTION("""COMPUTED_VALUE"""),1.63)</f>
        <v>1.63</v>
      </c>
      <c r="J487" s="4">
        <f>IFERROR(__xludf.DUMMYFUNCTION("""COMPUTED_VALUE"""),0.0)</f>
        <v>0</v>
      </c>
      <c r="K487" s="4">
        <f>IFERROR(__xludf.DUMMYFUNCTION("""COMPUTED_VALUE"""),599.8282000000002)</f>
        <v>599.8282</v>
      </c>
      <c r="L487" s="4">
        <f>IFERROR(__xludf.DUMMYFUNCTION("""COMPUTED_VALUE"""),6.285066290647888)</f>
        <v>6.285066291</v>
      </c>
    </row>
    <row r="488">
      <c r="A488" s="4" t="str">
        <f>IFERROR(__xludf.DUMMYFUNCTION("""COMPUTED_VALUE"""),"UGC07608")</f>
        <v>UGC07608</v>
      </c>
      <c r="B488" s="4">
        <f>IFERROR(__xludf.DUMMYFUNCTION("""COMPUTED_VALUE"""),8.21)</f>
        <v>8.21</v>
      </c>
      <c r="C488" s="4">
        <f>IFERROR(__xludf.DUMMYFUNCTION("""COMPUTED_VALUE"""),4.18)</f>
        <v>4.18</v>
      </c>
      <c r="D488" s="4">
        <f>IFERROR(__xludf.DUMMYFUNCTION("""COMPUTED_VALUE"""),66.0)</f>
        <v>66</v>
      </c>
      <c r="E488" s="4">
        <f>IFERROR(__xludf.DUMMYFUNCTION("""COMPUTED_VALUE"""),6.69)</f>
        <v>6.69</v>
      </c>
      <c r="F488" s="4">
        <f>IFERROR(__xludf.DUMMYFUNCTION("""COMPUTED_VALUE"""),21.26)</f>
        <v>21.26</v>
      </c>
      <c r="G488" s="4">
        <f>IFERROR(__xludf.DUMMYFUNCTION("""COMPUTED_VALUE"""),16.39)</f>
        <v>16.39</v>
      </c>
      <c r="H488" s="4">
        <f>IFERROR(__xludf.DUMMYFUNCTION("""COMPUTED_VALUE"""),0.0)</f>
        <v>0</v>
      </c>
      <c r="I488" s="4">
        <f>IFERROR(__xludf.DUMMYFUNCTION("""COMPUTED_VALUE"""),1.31)</f>
        <v>1.31</v>
      </c>
      <c r="J488" s="4">
        <f>IFERROR(__xludf.DUMMYFUNCTION("""COMPUTED_VALUE"""),0.0)</f>
        <v>0</v>
      </c>
      <c r="K488" s="4">
        <f>IFERROR(__xludf.DUMMYFUNCTION("""COMPUTED_VALUE"""),720.6197000000001)</f>
        <v>720.6197</v>
      </c>
      <c r="L488" s="4">
        <f>IFERROR(__xludf.DUMMYFUNCTION("""COMPUTED_VALUE"""),6.044797276566266)</f>
        <v>6.044797277</v>
      </c>
    </row>
    <row r="489">
      <c r="A489" s="5" t="str">
        <f>IFERROR(__xludf.DUMMYFUNCTION("""COMPUTED_VALUE"""),"UGC07608")</f>
        <v>UGC07608</v>
      </c>
      <c r="B489" s="5">
        <f>IFERROR(__xludf.DUMMYFUNCTION("""COMPUTED_VALUE"""),8.21)</f>
        <v>8.21</v>
      </c>
      <c r="C489" s="5">
        <f>IFERROR(__xludf.DUMMYFUNCTION("""COMPUTED_VALUE"""),4.78)</f>
        <v>4.78</v>
      </c>
      <c r="D489" s="5">
        <f>IFERROR(__xludf.DUMMYFUNCTION("""COMPUTED_VALUE"""),69.3)</f>
        <v>69.3</v>
      </c>
      <c r="E489" s="5">
        <f>IFERROR(__xludf.DUMMYFUNCTION("""COMPUTED_VALUE"""),6.69)</f>
        <v>6.69</v>
      </c>
      <c r="F489" s="5">
        <f>IFERROR(__xludf.DUMMYFUNCTION("""COMPUTED_VALUE"""),24.12)</f>
        <v>24.12</v>
      </c>
      <c r="G489" s="5">
        <f>IFERROR(__xludf.DUMMYFUNCTION("""COMPUTED_VALUE"""),16.26)</f>
        <v>16.26</v>
      </c>
      <c r="H489" s="5">
        <f>IFERROR(__xludf.DUMMYFUNCTION("""COMPUTED_VALUE"""),0.0)</f>
        <v>0</v>
      </c>
      <c r="I489" s="5">
        <f>IFERROR(__xludf.DUMMYFUNCTION("""COMPUTED_VALUE"""),1.09)</f>
        <v>1.09</v>
      </c>
      <c r="J489" s="5">
        <f>IFERROR(__xludf.DUMMYFUNCTION("""COMPUTED_VALUE"""),0.0)</f>
        <v>0</v>
      </c>
      <c r="K489" s="5">
        <f>IFERROR(__xludf.DUMMYFUNCTION("""COMPUTED_VALUE"""),846.162)</f>
        <v>846.162</v>
      </c>
      <c r="L489" s="5">
        <f>IFERROR(__xludf.DUMMYFUNCTION("""COMPUTED_VALUE"""),5.675615307707035)</f>
        <v>5.675615308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4" t="str">
        <f>IFERROR(__xludf.DUMMYFUNCTION("""COMPUTED_VALUE"""),"UGC07690")</f>
        <v>UGC07690</v>
      </c>
      <c r="B490" s="4">
        <f>IFERROR(__xludf.DUMMYFUNCTION("""COMPUTED_VALUE"""),8.11)</f>
        <v>8.11</v>
      </c>
      <c r="C490" s="4">
        <f>IFERROR(__xludf.DUMMYFUNCTION("""COMPUTED_VALUE"""),0.59)</f>
        <v>0.59</v>
      </c>
      <c r="D490" s="4">
        <f>IFERROR(__xludf.DUMMYFUNCTION("""COMPUTED_VALUE"""),45.3)</f>
        <v>45.3</v>
      </c>
      <c r="E490" s="4">
        <f>IFERROR(__xludf.DUMMYFUNCTION("""COMPUTED_VALUE"""),4.31)</f>
        <v>4.31</v>
      </c>
      <c r="F490" s="4">
        <f>IFERROR(__xludf.DUMMYFUNCTION("""COMPUTED_VALUE"""),4.24)</f>
        <v>4.24</v>
      </c>
      <c r="G490" s="4">
        <f>IFERROR(__xludf.DUMMYFUNCTION("""COMPUTED_VALUE"""),45.76)</f>
        <v>45.76</v>
      </c>
      <c r="H490" s="4">
        <f>IFERROR(__xludf.DUMMYFUNCTION("""COMPUTED_VALUE"""),0.0)</f>
        <v>0</v>
      </c>
      <c r="I490" s="4">
        <f>IFERROR(__xludf.DUMMYFUNCTION("""COMPUTED_VALUE"""),180.6)</f>
        <v>180.6</v>
      </c>
      <c r="J490" s="4">
        <f>IFERROR(__xludf.DUMMYFUNCTION("""COMPUTED_VALUE"""),0.0)</f>
        <v>0</v>
      </c>
      <c r="K490" s="4">
        <f>IFERROR(__xludf.DUMMYFUNCTION("""COMPUTED_VALUE"""),2111.9552)</f>
        <v>2111.9552</v>
      </c>
      <c r="L490" s="4">
        <f>IFERROR(__xludf.DUMMYFUNCTION("""COMPUTED_VALUE"""),0.9716541335725303)</f>
        <v>0.9716541336</v>
      </c>
    </row>
    <row r="491">
      <c r="A491" s="4" t="str">
        <f>IFERROR(__xludf.DUMMYFUNCTION("""COMPUTED_VALUE"""),"UGC07690")</f>
        <v>UGC07690</v>
      </c>
      <c r="B491" s="4">
        <f>IFERROR(__xludf.DUMMYFUNCTION("""COMPUTED_VALUE"""),8.11)</f>
        <v>8.11</v>
      </c>
      <c r="C491" s="4">
        <f>IFERROR(__xludf.DUMMYFUNCTION("""COMPUTED_VALUE"""),1.18)</f>
        <v>1.18</v>
      </c>
      <c r="D491" s="4">
        <f>IFERROR(__xludf.DUMMYFUNCTION("""COMPUTED_VALUE"""),59.8)</f>
        <v>59.8</v>
      </c>
      <c r="E491" s="4">
        <f>IFERROR(__xludf.DUMMYFUNCTION("""COMPUTED_VALUE"""),4.31)</f>
        <v>4.31</v>
      </c>
      <c r="F491" s="4">
        <f>IFERROR(__xludf.DUMMYFUNCTION("""COMPUTED_VALUE"""),11.75)</f>
        <v>11.75</v>
      </c>
      <c r="G491" s="4">
        <f>IFERROR(__xludf.DUMMYFUNCTION("""COMPUTED_VALUE"""),48.85)</f>
        <v>48.85</v>
      </c>
      <c r="H491" s="4">
        <f>IFERROR(__xludf.DUMMYFUNCTION("""COMPUTED_VALUE"""),0.0)</f>
        <v>0</v>
      </c>
      <c r="I491" s="4">
        <f>IFERROR(__xludf.DUMMYFUNCTION("""COMPUTED_VALUE"""),41.99)</f>
        <v>41.99</v>
      </c>
      <c r="J491" s="4">
        <f>IFERROR(__xludf.DUMMYFUNCTION("""COMPUTED_VALUE"""),0.0)</f>
        <v>0</v>
      </c>
      <c r="K491" s="4">
        <f>IFERROR(__xludf.DUMMYFUNCTION("""COMPUTED_VALUE"""),2524.385)</f>
        <v>2524.385</v>
      </c>
      <c r="L491" s="4">
        <f>IFERROR(__xludf.DUMMYFUNCTION("""COMPUTED_VALUE"""),1.416598498248088)</f>
        <v>1.416598498</v>
      </c>
    </row>
    <row r="492">
      <c r="A492" s="4" t="str">
        <f>IFERROR(__xludf.DUMMYFUNCTION("""COMPUTED_VALUE"""),"UGC07690")</f>
        <v>UGC07690</v>
      </c>
      <c r="B492" s="4">
        <f>IFERROR(__xludf.DUMMYFUNCTION("""COMPUTED_VALUE"""),8.11)</f>
        <v>8.11</v>
      </c>
      <c r="C492" s="4">
        <f>IFERROR(__xludf.DUMMYFUNCTION("""COMPUTED_VALUE"""),1.77)</f>
        <v>1.77</v>
      </c>
      <c r="D492" s="4">
        <f>IFERROR(__xludf.DUMMYFUNCTION("""COMPUTED_VALUE"""),60.7)</f>
        <v>60.7</v>
      </c>
      <c r="E492" s="4">
        <f>IFERROR(__xludf.DUMMYFUNCTION("""COMPUTED_VALUE"""),4.31)</f>
        <v>4.31</v>
      </c>
      <c r="F492" s="4">
        <f>IFERROR(__xludf.DUMMYFUNCTION("""COMPUTED_VALUE"""),15.81)</f>
        <v>15.81</v>
      </c>
      <c r="G492" s="4">
        <f>IFERROR(__xludf.DUMMYFUNCTION("""COMPUTED_VALUE"""),45.2)</f>
        <v>45.2</v>
      </c>
      <c r="H492" s="4">
        <f>IFERROR(__xludf.DUMMYFUNCTION("""COMPUTED_VALUE"""),0.0)</f>
        <v>0</v>
      </c>
      <c r="I492" s="4">
        <f>IFERROR(__xludf.DUMMYFUNCTION("""COMPUTED_VALUE"""),16.24)</f>
        <v>16.24</v>
      </c>
      <c r="J492" s="4">
        <f>IFERROR(__xludf.DUMMYFUNCTION("""COMPUTED_VALUE"""),0.0)</f>
        <v>0</v>
      </c>
      <c r="K492" s="4">
        <f>IFERROR(__xludf.DUMMYFUNCTION("""COMPUTED_VALUE"""),2292.9961000000003)</f>
        <v>2292.9961</v>
      </c>
      <c r="L492" s="4">
        <f>IFERROR(__xludf.DUMMYFUNCTION("""COMPUTED_VALUE"""),1.6068452972946616)</f>
        <v>1.606845297</v>
      </c>
    </row>
    <row r="493">
      <c r="A493" s="4" t="str">
        <f>IFERROR(__xludf.DUMMYFUNCTION("""COMPUTED_VALUE"""),"UGC07690")</f>
        <v>UGC07690</v>
      </c>
      <c r="B493" s="4">
        <f>IFERROR(__xludf.DUMMYFUNCTION("""COMPUTED_VALUE"""),8.11)</f>
        <v>8.11</v>
      </c>
      <c r="C493" s="4">
        <f>IFERROR(__xludf.DUMMYFUNCTION("""COMPUTED_VALUE"""),2.36)</f>
        <v>2.36</v>
      </c>
      <c r="D493" s="4">
        <f>IFERROR(__xludf.DUMMYFUNCTION("""COMPUTED_VALUE"""),58.8)</f>
        <v>58.8</v>
      </c>
      <c r="E493" s="4">
        <f>IFERROR(__xludf.DUMMYFUNCTION("""COMPUTED_VALUE"""),4.31)</f>
        <v>4.31</v>
      </c>
      <c r="F493" s="4">
        <f>IFERROR(__xludf.DUMMYFUNCTION("""COMPUTED_VALUE"""),19.15)</f>
        <v>19.15</v>
      </c>
      <c r="G493" s="4">
        <f>IFERROR(__xludf.DUMMYFUNCTION("""COMPUTED_VALUE"""),42.05)</f>
        <v>42.05</v>
      </c>
      <c r="H493" s="4">
        <f>IFERROR(__xludf.DUMMYFUNCTION("""COMPUTED_VALUE"""),0.0)</f>
        <v>0</v>
      </c>
      <c r="I493" s="4">
        <f>IFERROR(__xludf.DUMMYFUNCTION("""COMPUTED_VALUE"""),6.57)</f>
        <v>6.57</v>
      </c>
      <c r="J493" s="4">
        <f>IFERROR(__xludf.DUMMYFUNCTION("""COMPUTED_VALUE"""),0.0)</f>
        <v>0</v>
      </c>
      <c r="K493" s="4">
        <f>IFERROR(__xludf.DUMMYFUNCTION("""COMPUTED_VALUE"""),2134.9249999999997)</f>
        <v>2134.925</v>
      </c>
      <c r="L493" s="4">
        <f>IFERROR(__xludf.DUMMYFUNCTION("""COMPUTED_VALUE"""),1.6194667259974005)</f>
        <v>1.619466726</v>
      </c>
    </row>
    <row r="494">
      <c r="A494" s="4" t="str">
        <f>IFERROR(__xludf.DUMMYFUNCTION("""COMPUTED_VALUE"""),"UGC07690")</f>
        <v>UGC07690</v>
      </c>
      <c r="B494" s="4">
        <f>IFERROR(__xludf.DUMMYFUNCTION("""COMPUTED_VALUE"""),8.11)</f>
        <v>8.11</v>
      </c>
      <c r="C494" s="4">
        <f>IFERROR(__xludf.DUMMYFUNCTION("""COMPUTED_VALUE"""),2.95)</f>
        <v>2.95</v>
      </c>
      <c r="D494" s="4">
        <f>IFERROR(__xludf.DUMMYFUNCTION("""COMPUTED_VALUE"""),57.9)</f>
        <v>57.9</v>
      </c>
      <c r="E494" s="4">
        <f>IFERROR(__xludf.DUMMYFUNCTION("""COMPUTED_VALUE"""),4.31)</f>
        <v>4.31</v>
      </c>
      <c r="F494" s="4">
        <f>IFERROR(__xludf.DUMMYFUNCTION("""COMPUTED_VALUE"""),20.97)</f>
        <v>20.97</v>
      </c>
      <c r="G494" s="4">
        <f>IFERROR(__xludf.DUMMYFUNCTION("""COMPUTED_VALUE"""),38.14)</f>
        <v>38.14</v>
      </c>
      <c r="H494" s="4">
        <f>IFERROR(__xludf.DUMMYFUNCTION("""COMPUTED_VALUE"""),0.0)</f>
        <v>0</v>
      </c>
      <c r="I494" s="4">
        <f>IFERROR(__xludf.DUMMYFUNCTION("""COMPUTED_VALUE"""),2.06)</f>
        <v>2.06</v>
      </c>
      <c r="J494" s="4">
        <f>IFERROR(__xludf.DUMMYFUNCTION("""COMPUTED_VALUE"""),0.0)</f>
        <v>0</v>
      </c>
      <c r="K494" s="4">
        <f>IFERROR(__xludf.DUMMYFUNCTION("""COMPUTED_VALUE"""),1894.4005)</f>
        <v>1894.4005</v>
      </c>
      <c r="L494" s="4">
        <f>IFERROR(__xludf.DUMMYFUNCTION("""COMPUTED_VALUE"""),1.7696416359687404)</f>
        <v>1.769641636</v>
      </c>
    </row>
    <row r="495">
      <c r="A495" s="4" t="str">
        <f>IFERROR(__xludf.DUMMYFUNCTION("""COMPUTED_VALUE"""),"UGC07690")</f>
        <v>UGC07690</v>
      </c>
      <c r="B495" s="4">
        <f>IFERROR(__xludf.DUMMYFUNCTION("""COMPUTED_VALUE"""),8.11)</f>
        <v>8.11</v>
      </c>
      <c r="C495" s="4">
        <f>IFERROR(__xludf.DUMMYFUNCTION("""COMPUTED_VALUE"""),3.54)</f>
        <v>3.54</v>
      </c>
      <c r="D495" s="4">
        <f>IFERROR(__xludf.DUMMYFUNCTION("""COMPUTED_VALUE"""),56.9)</f>
        <v>56.9</v>
      </c>
      <c r="E495" s="4">
        <f>IFERROR(__xludf.DUMMYFUNCTION("""COMPUTED_VALUE"""),4.31)</f>
        <v>4.31</v>
      </c>
      <c r="F495" s="4">
        <f>IFERROR(__xludf.DUMMYFUNCTION("""COMPUTED_VALUE"""),21.99)</f>
        <v>21.99</v>
      </c>
      <c r="G495" s="4">
        <f>IFERROR(__xludf.DUMMYFUNCTION("""COMPUTED_VALUE"""),34.5)</f>
        <v>34.5</v>
      </c>
      <c r="H495" s="4">
        <f>IFERROR(__xludf.DUMMYFUNCTION("""COMPUTED_VALUE"""),0.0)</f>
        <v>0</v>
      </c>
      <c r="I495" s="4">
        <f>IFERROR(__xludf.DUMMYFUNCTION("""COMPUTED_VALUE"""),0.42)</f>
        <v>0.42</v>
      </c>
      <c r="J495" s="4">
        <f>IFERROR(__xludf.DUMMYFUNCTION("""COMPUTED_VALUE"""),0.0)</f>
        <v>0</v>
      </c>
      <c r="K495" s="4">
        <f>IFERROR(__xludf.DUMMYFUNCTION("""COMPUTED_VALUE"""),1673.8101)</f>
        <v>1673.8101</v>
      </c>
      <c r="L495" s="4">
        <f>IFERROR(__xludf.DUMMYFUNCTION("""COMPUTED_VALUE"""),1.934275578812674)</f>
        <v>1.934275579</v>
      </c>
    </row>
    <row r="496">
      <c r="A496" s="5" t="str">
        <f>IFERROR(__xludf.DUMMYFUNCTION("""COMPUTED_VALUE"""),"UGC07690")</f>
        <v>UGC07690</v>
      </c>
      <c r="B496" s="5">
        <f>IFERROR(__xludf.DUMMYFUNCTION("""COMPUTED_VALUE"""),8.11)</f>
        <v>8.11</v>
      </c>
      <c r="C496" s="5">
        <f>IFERROR(__xludf.DUMMYFUNCTION("""COMPUTED_VALUE"""),4.13)</f>
        <v>4.13</v>
      </c>
      <c r="D496" s="5">
        <f>IFERROR(__xludf.DUMMYFUNCTION("""COMPUTED_VALUE"""),55.9)</f>
        <v>55.9</v>
      </c>
      <c r="E496" s="5">
        <f>IFERROR(__xludf.DUMMYFUNCTION("""COMPUTED_VALUE"""),4.31)</f>
        <v>4.31</v>
      </c>
      <c r="F496" s="5">
        <f>IFERROR(__xludf.DUMMYFUNCTION("""COMPUTED_VALUE"""),22.39)</f>
        <v>22.39</v>
      </c>
      <c r="G496" s="5">
        <f>IFERROR(__xludf.DUMMYFUNCTION("""COMPUTED_VALUE"""),31.16)</f>
        <v>31.16</v>
      </c>
      <c r="H496" s="5">
        <f>IFERROR(__xludf.DUMMYFUNCTION("""COMPUTED_VALUE"""),0.0)</f>
        <v>0</v>
      </c>
      <c r="I496" s="5">
        <f>IFERROR(__xludf.DUMMYFUNCTION("""COMPUTED_VALUE"""),0.0)</f>
        <v>0</v>
      </c>
      <c r="J496" s="5">
        <f>IFERROR(__xludf.DUMMYFUNCTION("""COMPUTED_VALUE"""),0.0)</f>
        <v>0</v>
      </c>
      <c r="K496" s="5">
        <f>IFERROR(__xludf.DUMMYFUNCTION("""COMPUTED_VALUE"""),1472.2577)</f>
        <v>1472.2577</v>
      </c>
      <c r="L496" s="5">
        <f>IFERROR(__xludf.DUMMYFUNCTION("""COMPUTED_VALUE"""),2.1224613055173696)</f>
        <v>2.122461306</v>
      </c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4" t="str">
        <f>IFERROR(__xludf.DUMMYFUNCTION("""COMPUTED_VALUE"""),"UGC07866")</f>
        <v>UGC07866</v>
      </c>
      <c r="B497" s="4">
        <f>IFERROR(__xludf.DUMMYFUNCTION("""COMPUTED_VALUE"""),4.57)</f>
        <v>4.57</v>
      </c>
      <c r="C497" s="4">
        <f>IFERROR(__xludf.DUMMYFUNCTION("""COMPUTED_VALUE"""),0.33)</f>
        <v>0.33</v>
      </c>
      <c r="D497" s="4">
        <f>IFERROR(__xludf.DUMMYFUNCTION("""COMPUTED_VALUE"""),12.2)</f>
        <v>12.2</v>
      </c>
      <c r="E497" s="4">
        <f>IFERROR(__xludf.DUMMYFUNCTION("""COMPUTED_VALUE"""),4.07)</f>
        <v>4.07</v>
      </c>
      <c r="F497" s="4">
        <f>IFERROR(__xludf.DUMMYFUNCTION("""COMPUTED_VALUE"""),3.43)</f>
        <v>3.43</v>
      </c>
      <c r="G497" s="4">
        <f>IFERROR(__xludf.DUMMYFUNCTION("""COMPUTED_VALUE"""),9.04)</f>
        <v>9.04</v>
      </c>
      <c r="H497" s="4">
        <f>IFERROR(__xludf.DUMMYFUNCTION("""COMPUTED_VALUE"""),0.0)</f>
        <v>0</v>
      </c>
      <c r="I497" s="4">
        <f>IFERROR(__xludf.DUMMYFUNCTION("""COMPUTED_VALUE"""),34.04)</f>
        <v>34.04</v>
      </c>
      <c r="J497" s="4">
        <f>IFERROR(__xludf.DUMMYFUNCTION("""COMPUTED_VALUE"""),0.0)</f>
        <v>0</v>
      </c>
      <c r="K497" s="4">
        <f>IFERROR(__xludf.DUMMYFUNCTION("""COMPUTED_VALUE"""),93.48649999999998)</f>
        <v>93.4865</v>
      </c>
      <c r="L497" s="4">
        <f>IFERROR(__xludf.DUMMYFUNCTION("""COMPUTED_VALUE"""),1.592101533376477)</f>
        <v>1.592101533</v>
      </c>
    </row>
    <row r="498">
      <c r="A498" s="4" t="str">
        <f>IFERROR(__xludf.DUMMYFUNCTION("""COMPUTED_VALUE"""),"UGC07866")</f>
        <v>UGC07866</v>
      </c>
      <c r="B498" s="4">
        <f>IFERROR(__xludf.DUMMYFUNCTION("""COMPUTED_VALUE"""),4.57)</f>
        <v>4.57</v>
      </c>
      <c r="C498" s="4">
        <f>IFERROR(__xludf.DUMMYFUNCTION("""COMPUTED_VALUE"""),0.66)</f>
        <v>0.66</v>
      </c>
      <c r="D498" s="4">
        <f>IFERROR(__xludf.DUMMYFUNCTION("""COMPUTED_VALUE"""),19.4)</f>
        <v>19.4</v>
      </c>
      <c r="E498" s="4">
        <f>IFERROR(__xludf.DUMMYFUNCTION("""COMPUTED_VALUE"""),4.07)</f>
        <v>4.07</v>
      </c>
      <c r="F498" s="4">
        <f>IFERROR(__xludf.DUMMYFUNCTION("""COMPUTED_VALUE"""),3.44)</f>
        <v>3.44</v>
      </c>
      <c r="G498" s="4">
        <f>IFERROR(__xludf.DUMMYFUNCTION("""COMPUTED_VALUE"""),13.22)</f>
        <v>13.22</v>
      </c>
      <c r="H498" s="4">
        <f>IFERROR(__xludf.DUMMYFUNCTION("""COMPUTED_VALUE"""),0.0)</f>
        <v>0</v>
      </c>
      <c r="I498" s="4">
        <f>IFERROR(__xludf.DUMMYFUNCTION("""COMPUTED_VALUE"""),17.51)</f>
        <v>17.51</v>
      </c>
      <c r="J498" s="4">
        <f>IFERROR(__xludf.DUMMYFUNCTION("""COMPUTED_VALUE"""),0.0)</f>
        <v>0</v>
      </c>
      <c r="K498" s="4">
        <f>IFERROR(__xludf.DUMMYFUNCTION("""COMPUTED_VALUE"""),186.602)</f>
        <v>186.602</v>
      </c>
      <c r="L498" s="4">
        <f>IFERROR(__xludf.DUMMYFUNCTION("""COMPUTED_VALUE"""),2.0169130020042654)</f>
        <v>2.016913002</v>
      </c>
    </row>
    <row r="499">
      <c r="A499" s="4" t="str">
        <f>IFERROR(__xludf.DUMMYFUNCTION("""COMPUTED_VALUE"""),"UGC07866")</f>
        <v>UGC07866</v>
      </c>
      <c r="B499" s="4">
        <f>IFERROR(__xludf.DUMMYFUNCTION("""COMPUTED_VALUE"""),4.57)</f>
        <v>4.57</v>
      </c>
      <c r="C499" s="4">
        <f>IFERROR(__xludf.DUMMYFUNCTION("""COMPUTED_VALUE"""),1.0)</f>
        <v>1</v>
      </c>
      <c r="D499" s="4">
        <f>IFERROR(__xludf.DUMMYFUNCTION("""COMPUTED_VALUE"""),23.9)</f>
        <v>23.9</v>
      </c>
      <c r="E499" s="4">
        <f>IFERROR(__xludf.DUMMYFUNCTION("""COMPUTED_VALUE"""),4.07)</f>
        <v>4.07</v>
      </c>
      <c r="F499" s="4">
        <f>IFERROR(__xludf.DUMMYFUNCTION("""COMPUTED_VALUE"""),5.29)</f>
        <v>5.29</v>
      </c>
      <c r="G499" s="4">
        <f>IFERROR(__xludf.DUMMYFUNCTION("""COMPUTED_VALUE"""),17.22)</f>
        <v>17.22</v>
      </c>
      <c r="H499" s="4">
        <f>IFERROR(__xludf.DUMMYFUNCTION("""COMPUTED_VALUE"""),0.0)</f>
        <v>0</v>
      </c>
      <c r="I499" s="4">
        <f>IFERROR(__xludf.DUMMYFUNCTION("""COMPUTED_VALUE"""),11.44)</f>
        <v>11.44</v>
      </c>
      <c r="J499" s="4">
        <f>IFERROR(__xludf.DUMMYFUNCTION("""COMPUTED_VALUE"""),0.0)</f>
        <v>0</v>
      </c>
      <c r="K499" s="4">
        <f>IFERROR(__xludf.DUMMYFUNCTION("""COMPUTED_VALUE"""),324.5125)</f>
        <v>324.5125</v>
      </c>
      <c r="L499" s="4">
        <f>IFERROR(__xludf.DUMMYFUNCTION("""COMPUTED_VALUE"""),1.760209545086861)</f>
        <v>1.760209545</v>
      </c>
    </row>
    <row r="500">
      <c r="A500" s="4" t="str">
        <f>IFERROR(__xludf.DUMMYFUNCTION("""COMPUTED_VALUE"""),"UGC07866")</f>
        <v>UGC07866</v>
      </c>
      <c r="B500" s="4">
        <f>IFERROR(__xludf.DUMMYFUNCTION("""COMPUTED_VALUE"""),4.57)</f>
        <v>4.57</v>
      </c>
      <c r="C500" s="4">
        <f>IFERROR(__xludf.DUMMYFUNCTION("""COMPUTED_VALUE"""),1.33)</f>
        <v>1.33</v>
      </c>
      <c r="D500" s="4">
        <f>IFERROR(__xludf.DUMMYFUNCTION("""COMPUTED_VALUE"""),26.0)</f>
        <v>26</v>
      </c>
      <c r="E500" s="4">
        <f>IFERROR(__xludf.DUMMYFUNCTION("""COMPUTED_VALUE"""),4.07)</f>
        <v>4.07</v>
      </c>
      <c r="F500" s="4">
        <f>IFERROR(__xludf.DUMMYFUNCTION("""COMPUTED_VALUE"""),8.85)</f>
        <v>8.85</v>
      </c>
      <c r="G500" s="4">
        <f>IFERROR(__xludf.DUMMYFUNCTION("""COMPUTED_VALUE"""),17.5)</f>
        <v>17.5</v>
      </c>
      <c r="H500" s="4">
        <f>IFERROR(__xludf.DUMMYFUNCTION("""COMPUTED_VALUE"""),0.0)</f>
        <v>0</v>
      </c>
      <c r="I500" s="4">
        <f>IFERROR(__xludf.DUMMYFUNCTION("""COMPUTED_VALUE"""),5.83)</f>
        <v>5.83</v>
      </c>
      <c r="J500" s="4">
        <f>IFERROR(__xludf.DUMMYFUNCTION("""COMPUTED_VALUE"""),0.0)</f>
        <v>0</v>
      </c>
      <c r="K500" s="4">
        <f>IFERROR(__xludf.DUMMYFUNCTION("""COMPUTED_VALUE"""),384.5725)</f>
        <v>384.5725</v>
      </c>
      <c r="L500" s="4">
        <f>IFERROR(__xludf.DUMMYFUNCTION("""COMPUTED_VALUE"""),1.7577959942533592)</f>
        <v>1.757795994</v>
      </c>
    </row>
    <row r="501">
      <c r="A501" s="4" t="str">
        <f>IFERROR(__xludf.DUMMYFUNCTION("""COMPUTED_VALUE"""),"UGC07866")</f>
        <v>UGC07866</v>
      </c>
      <c r="B501" s="4">
        <f>IFERROR(__xludf.DUMMYFUNCTION("""COMPUTED_VALUE"""),4.57)</f>
        <v>4.57</v>
      </c>
      <c r="C501" s="4">
        <f>IFERROR(__xludf.DUMMYFUNCTION("""COMPUTED_VALUE"""),1.67)</f>
        <v>1.67</v>
      </c>
      <c r="D501" s="4">
        <f>IFERROR(__xludf.DUMMYFUNCTION("""COMPUTED_VALUE"""),28.2)</f>
        <v>28.2</v>
      </c>
      <c r="E501" s="4">
        <f>IFERROR(__xludf.DUMMYFUNCTION("""COMPUTED_VALUE"""),4.07)</f>
        <v>4.07</v>
      </c>
      <c r="F501" s="4">
        <f>IFERROR(__xludf.DUMMYFUNCTION("""COMPUTED_VALUE"""),11.12)</f>
        <v>11.12</v>
      </c>
      <c r="G501" s="4">
        <f>IFERROR(__xludf.DUMMYFUNCTION("""COMPUTED_VALUE"""),17.11)</f>
        <v>17.11</v>
      </c>
      <c r="H501" s="4">
        <f>IFERROR(__xludf.DUMMYFUNCTION("""COMPUTED_VALUE"""),0.0)</f>
        <v>0</v>
      </c>
      <c r="I501" s="4">
        <f>IFERROR(__xludf.DUMMYFUNCTION("""COMPUTED_VALUE"""),3.3)</f>
        <v>3.3</v>
      </c>
      <c r="J501" s="4">
        <f>IFERROR(__xludf.DUMMYFUNCTION("""COMPUTED_VALUE"""),0.0)</f>
        <v>0</v>
      </c>
      <c r="K501" s="4">
        <f>IFERROR(__xludf.DUMMYFUNCTION("""COMPUTED_VALUE"""),416.40649999999994)</f>
        <v>416.4065</v>
      </c>
      <c r="L501" s="4">
        <f>IFERROR(__xludf.DUMMYFUNCTION("""COMPUTED_VALUE"""),1.909768459426066)</f>
        <v>1.909768459</v>
      </c>
    </row>
    <row r="502">
      <c r="A502" s="4" t="str">
        <f>IFERROR(__xludf.DUMMYFUNCTION("""COMPUTED_VALUE"""),"UGC07866")</f>
        <v>UGC07866</v>
      </c>
      <c r="B502" s="4">
        <f>IFERROR(__xludf.DUMMYFUNCTION("""COMPUTED_VALUE"""),4.57)</f>
        <v>4.57</v>
      </c>
      <c r="C502" s="4">
        <f>IFERROR(__xludf.DUMMYFUNCTION("""COMPUTED_VALUE"""),2.0)</f>
        <v>2</v>
      </c>
      <c r="D502" s="4">
        <f>IFERROR(__xludf.DUMMYFUNCTION("""COMPUTED_VALUE"""),30.6)</f>
        <v>30.6</v>
      </c>
      <c r="E502" s="4">
        <f>IFERROR(__xludf.DUMMYFUNCTION("""COMPUTED_VALUE"""),4.07)</f>
        <v>4.07</v>
      </c>
      <c r="F502" s="4">
        <f>IFERROR(__xludf.DUMMYFUNCTION("""COMPUTED_VALUE"""),13.66)</f>
        <v>13.66</v>
      </c>
      <c r="G502" s="4">
        <f>IFERROR(__xludf.DUMMYFUNCTION("""COMPUTED_VALUE"""),16.29)</f>
        <v>16.29</v>
      </c>
      <c r="H502" s="4">
        <f>IFERROR(__xludf.DUMMYFUNCTION("""COMPUTED_VALUE"""),0.0)</f>
        <v>0</v>
      </c>
      <c r="I502" s="4">
        <f>IFERROR(__xludf.DUMMYFUNCTION("""COMPUTED_VALUE"""),2.18)</f>
        <v>2.18</v>
      </c>
      <c r="J502" s="4">
        <f>IFERROR(__xludf.DUMMYFUNCTION("""COMPUTED_VALUE"""),0.0)</f>
        <v>0</v>
      </c>
      <c r="K502" s="4">
        <f>IFERROR(__xludf.DUMMYFUNCTION("""COMPUTED_VALUE"""),451.95969999999994)</f>
        <v>451.9597</v>
      </c>
      <c r="L502" s="4">
        <f>IFERROR(__xludf.DUMMYFUNCTION("""COMPUTED_VALUE"""),2.0717776385814934)</f>
        <v>2.071777639</v>
      </c>
    </row>
    <row r="503">
      <c r="A503" s="5" t="str">
        <f>IFERROR(__xludf.DUMMYFUNCTION("""COMPUTED_VALUE"""),"UGC07866")</f>
        <v>UGC07866</v>
      </c>
      <c r="B503" s="5">
        <f>IFERROR(__xludf.DUMMYFUNCTION("""COMPUTED_VALUE"""),4.57)</f>
        <v>4.57</v>
      </c>
      <c r="C503" s="5">
        <f>IFERROR(__xludf.DUMMYFUNCTION("""COMPUTED_VALUE"""),2.32)</f>
        <v>2.32</v>
      </c>
      <c r="D503" s="5">
        <f>IFERROR(__xludf.DUMMYFUNCTION("""COMPUTED_VALUE"""),33.1)</f>
        <v>33.1</v>
      </c>
      <c r="E503" s="5">
        <f>IFERROR(__xludf.DUMMYFUNCTION("""COMPUTED_VALUE"""),4.07)</f>
        <v>4.07</v>
      </c>
      <c r="F503" s="5">
        <f>IFERROR(__xludf.DUMMYFUNCTION("""COMPUTED_VALUE"""),14.34)</f>
        <v>14.34</v>
      </c>
      <c r="G503" s="5">
        <f>IFERROR(__xludf.DUMMYFUNCTION("""COMPUTED_VALUE"""),16.35)</f>
        <v>16.35</v>
      </c>
      <c r="H503" s="5">
        <f>IFERROR(__xludf.DUMMYFUNCTION("""COMPUTED_VALUE"""),0.0)</f>
        <v>0</v>
      </c>
      <c r="I503" s="5">
        <f>IFERROR(__xludf.DUMMYFUNCTION("""COMPUTED_VALUE"""),1.63)</f>
        <v>1.63</v>
      </c>
      <c r="J503" s="5">
        <f>IFERROR(__xludf.DUMMYFUNCTION("""COMPUTED_VALUE"""),0.0)</f>
        <v>0</v>
      </c>
      <c r="K503" s="5">
        <f>IFERROR(__xludf.DUMMYFUNCTION("""COMPUTED_VALUE"""),472.95810000000006)</f>
        <v>472.9581</v>
      </c>
      <c r="L503" s="5">
        <f>IFERROR(__xludf.DUMMYFUNCTION("""COMPUTED_VALUE"""),2.3165054155960116)</f>
        <v>2.316505416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4" t="str">
        <f>IFERROR(__xludf.DUMMYFUNCTION("""COMPUTED_VALUE"""),"UGC08550")</f>
        <v>UGC08550</v>
      </c>
      <c r="B504" s="4">
        <f>IFERROR(__xludf.DUMMYFUNCTION("""COMPUTED_VALUE"""),6.7)</f>
        <v>6.7</v>
      </c>
      <c r="C504" s="4">
        <f>IFERROR(__xludf.DUMMYFUNCTION("""COMPUTED_VALUE"""),0.49)</f>
        <v>0.49</v>
      </c>
      <c r="D504" s="4">
        <f>IFERROR(__xludf.DUMMYFUNCTION("""COMPUTED_VALUE"""),25.0)</f>
        <v>25</v>
      </c>
      <c r="E504" s="4">
        <f>IFERROR(__xludf.DUMMYFUNCTION("""COMPUTED_VALUE"""),2.04)</f>
        <v>2.04</v>
      </c>
      <c r="F504" s="4">
        <f>IFERROR(__xludf.DUMMYFUNCTION("""COMPUTED_VALUE"""),3.42)</f>
        <v>3.42</v>
      </c>
      <c r="G504" s="4">
        <f>IFERROR(__xludf.DUMMYFUNCTION("""COMPUTED_VALUE"""),17.04)</f>
        <v>17.04</v>
      </c>
      <c r="H504" s="4">
        <f>IFERROR(__xludf.DUMMYFUNCTION("""COMPUTED_VALUE"""),0.0)</f>
        <v>0</v>
      </c>
      <c r="I504" s="4">
        <f>IFERROR(__xludf.DUMMYFUNCTION("""COMPUTED_VALUE"""),58.85)</f>
        <v>58.85</v>
      </c>
      <c r="J504" s="4">
        <f>IFERROR(__xludf.DUMMYFUNCTION("""COMPUTED_VALUE"""),0.0)</f>
        <v>0</v>
      </c>
      <c r="K504" s="4">
        <f>IFERROR(__xludf.DUMMYFUNCTION("""COMPUTED_VALUE"""),302.05799999999994)</f>
        <v>302.058</v>
      </c>
      <c r="L504" s="4">
        <f>IFERROR(__xludf.DUMMYFUNCTION("""COMPUTED_VALUE"""),2.0691390395222116)</f>
        <v>2.06913904</v>
      </c>
    </row>
    <row r="505">
      <c r="A505" s="4" t="str">
        <f>IFERROR(__xludf.DUMMYFUNCTION("""COMPUTED_VALUE"""),"UGC08550")</f>
        <v>UGC08550</v>
      </c>
      <c r="B505" s="4">
        <f>IFERROR(__xludf.DUMMYFUNCTION("""COMPUTED_VALUE"""),6.7)</f>
        <v>6.7</v>
      </c>
      <c r="C505" s="4">
        <f>IFERROR(__xludf.DUMMYFUNCTION("""COMPUTED_VALUE"""),0.97)</f>
        <v>0.97</v>
      </c>
      <c r="D505" s="4">
        <f>IFERROR(__xludf.DUMMYFUNCTION("""COMPUTED_VALUE"""),42.5)</f>
        <v>42.5</v>
      </c>
      <c r="E505" s="4">
        <f>IFERROR(__xludf.DUMMYFUNCTION("""COMPUTED_VALUE"""),2.7)</f>
        <v>2.7</v>
      </c>
      <c r="F505" s="4">
        <f>IFERROR(__xludf.DUMMYFUNCTION("""COMPUTED_VALUE"""),4.1)</f>
        <v>4.1</v>
      </c>
      <c r="G505" s="4">
        <f>IFERROR(__xludf.DUMMYFUNCTION("""COMPUTED_VALUE"""),26.7)</f>
        <v>26.7</v>
      </c>
      <c r="H505" s="4">
        <f>IFERROR(__xludf.DUMMYFUNCTION("""COMPUTED_VALUE"""),0.0)</f>
        <v>0</v>
      </c>
      <c r="I505" s="4">
        <f>IFERROR(__xludf.DUMMYFUNCTION("""COMPUTED_VALUE"""),34.44)</f>
        <v>34.44</v>
      </c>
      <c r="J505" s="4">
        <f>IFERROR(__xludf.DUMMYFUNCTION("""COMPUTED_VALUE"""),0.0)</f>
        <v>0</v>
      </c>
      <c r="K505" s="4">
        <f>IFERROR(__xludf.DUMMYFUNCTION("""COMPUTED_VALUE"""),729.6999999999999)</f>
        <v>729.7</v>
      </c>
      <c r="L505" s="4">
        <f>IFERROR(__xludf.DUMMYFUNCTION("""COMPUTED_VALUE"""),2.4753323283541184)</f>
        <v>2.475332328</v>
      </c>
    </row>
    <row r="506">
      <c r="A506" s="4" t="str">
        <f>IFERROR(__xludf.DUMMYFUNCTION("""COMPUTED_VALUE"""),"UGC08550")</f>
        <v>UGC08550</v>
      </c>
      <c r="B506" s="4">
        <f>IFERROR(__xludf.DUMMYFUNCTION("""COMPUTED_VALUE"""),6.7)</f>
        <v>6.7</v>
      </c>
      <c r="C506" s="4">
        <f>IFERROR(__xludf.DUMMYFUNCTION("""COMPUTED_VALUE"""),1.47)</f>
        <v>1.47</v>
      </c>
      <c r="D506" s="4">
        <f>IFERROR(__xludf.DUMMYFUNCTION("""COMPUTED_VALUE"""),48.0)</f>
        <v>48</v>
      </c>
      <c r="E506" s="4">
        <f>IFERROR(__xludf.DUMMYFUNCTION("""COMPUTED_VALUE"""),2.15)</f>
        <v>2.15</v>
      </c>
      <c r="F506" s="4">
        <f>IFERROR(__xludf.DUMMYFUNCTION("""COMPUTED_VALUE"""),10.21)</f>
        <v>10.21</v>
      </c>
      <c r="G506" s="4">
        <f>IFERROR(__xludf.DUMMYFUNCTION("""COMPUTED_VALUE"""),28.91)</f>
        <v>28.91</v>
      </c>
      <c r="H506" s="4">
        <f>IFERROR(__xludf.DUMMYFUNCTION("""COMPUTED_VALUE"""),0.0)</f>
        <v>0</v>
      </c>
      <c r="I506" s="4">
        <f>IFERROR(__xludf.DUMMYFUNCTION("""COMPUTED_VALUE"""),12.1)</f>
        <v>12.1</v>
      </c>
      <c r="J506" s="4">
        <f>IFERROR(__xludf.DUMMYFUNCTION("""COMPUTED_VALUE"""),0.0)</f>
        <v>0</v>
      </c>
      <c r="K506" s="4">
        <f>IFERROR(__xludf.DUMMYFUNCTION("""COMPUTED_VALUE"""),940.0322)</f>
        <v>940.0322</v>
      </c>
      <c r="L506" s="4">
        <f>IFERROR(__xludf.DUMMYFUNCTION("""COMPUTED_VALUE"""),2.450979870689536)</f>
        <v>2.450979871</v>
      </c>
    </row>
    <row r="507">
      <c r="A507" s="4" t="str">
        <f>IFERROR(__xludf.DUMMYFUNCTION("""COMPUTED_VALUE"""),"UGC08550")</f>
        <v>UGC08550</v>
      </c>
      <c r="B507" s="4">
        <f>IFERROR(__xludf.DUMMYFUNCTION("""COMPUTED_VALUE"""),6.7)</f>
        <v>6.7</v>
      </c>
      <c r="C507" s="4">
        <f>IFERROR(__xludf.DUMMYFUNCTION("""COMPUTED_VALUE"""),1.95)</f>
        <v>1.95</v>
      </c>
      <c r="D507" s="4">
        <f>IFERROR(__xludf.DUMMYFUNCTION("""COMPUTED_VALUE"""),49.2)</f>
        <v>49.2</v>
      </c>
      <c r="E507" s="4">
        <f>IFERROR(__xludf.DUMMYFUNCTION("""COMPUTED_VALUE"""),2.08)</f>
        <v>2.08</v>
      </c>
      <c r="F507" s="4">
        <f>IFERROR(__xludf.DUMMYFUNCTION("""COMPUTED_VALUE"""),12.59)</f>
        <v>12.59</v>
      </c>
      <c r="G507" s="4">
        <f>IFERROR(__xludf.DUMMYFUNCTION("""COMPUTED_VALUE"""),27.91)</f>
        <v>27.91</v>
      </c>
      <c r="H507" s="4">
        <f>IFERROR(__xludf.DUMMYFUNCTION("""COMPUTED_VALUE"""),0.0)</f>
        <v>0</v>
      </c>
      <c r="I507" s="4">
        <f>IFERROR(__xludf.DUMMYFUNCTION("""COMPUTED_VALUE"""),4.42)</f>
        <v>4.42</v>
      </c>
      <c r="J507" s="4">
        <f>IFERROR(__xludf.DUMMYFUNCTION("""COMPUTED_VALUE"""),0.0)</f>
        <v>0</v>
      </c>
      <c r="K507" s="4">
        <f>IFERROR(__xludf.DUMMYFUNCTION("""COMPUTED_VALUE"""),937.4762000000001)</f>
        <v>937.4762</v>
      </c>
      <c r="L507" s="4">
        <f>IFERROR(__xludf.DUMMYFUNCTION("""COMPUTED_VALUE"""),2.5820815504436276)</f>
        <v>2.58208155</v>
      </c>
    </row>
    <row r="508">
      <c r="A508" s="4" t="str">
        <f>IFERROR(__xludf.DUMMYFUNCTION("""COMPUTED_VALUE"""),"UGC08550")</f>
        <v>UGC08550</v>
      </c>
      <c r="B508" s="4">
        <f>IFERROR(__xludf.DUMMYFUNCTION("""COMPUTED_VALUE"""),6.7)</f>
        <v>6.7</v>
      </c>
      <c r="C508" s="4">
        <f>IFERROR(__xludf.DUMMYFUNCTION("""COMPUTED_VALUE"""),2.44)</f>
        <v>2.44</v>
      </c>
      <c r="D508" s="4">
        <f>IFERROR(__xludf.DUMMYFUNCTION("""COMPUTED_VALUE"""),50.4)</f>
        <v>50.4</v>
      </c>
      <c r="E508" s="4">
        <f>IFERROR(__xludf.DUMMYFUNCTION("""COMPUTED_VALUE"""),2.06)</f>
        <v>2.06</v>
      </c>
      <c r="F508" s="4">
        <f>IFERROR(__xludf.DUMMYFUNCTION("""COMPUTED_VALUE"""),13.04)</f>
        <v>13.04</v>
      </c>
      <c r="G508" s="4">
        <f>IFERROR(__xludf.DUMMYFUNCTION("""COMPUTED_VALUE"""),24.63)</f>
        <v>24.63</v>
      </c>
      <c r="H508" s="4">
        <f>IFERROR(__xludf.DUMMYFUNCTION("""COMPUTED_VALUE"""),0.0)</f>
        <v>0</v>
      </c>
      <c r="I508" s="4">
        <f>IFERROR(__xludf.DUMMYFUNCTION("""COMPUTED_VALUE"""),0.9)</f>
        <v>0.9</v>
      </c>
      <c r="J508" s="4">
        <f>IFERROR(__xludf.DUMMYFUNCTION("""COMPUTED_VALUE"""),0.0)</f>
        <v>0</v>
      </c>
      <c r="K508" s="4">
        <f>IFERROR(__xludf.DUMMYFUNCTION("""COMPUTED_VALUE"""),776.6785)</f>
        <v>776.6785</v>
      </c>
      <c r="L508" s="4">
        <f>IFERROR(__xludf.DUMMYFUNCTION("""COMPUTED_VALUE"""),3.270542444524987)</f>
        <v>3.270542445</v>
      </c>
    </row>
    <row r="509">
      <c r="A509" s="4" t="str">
        <f>IFERROR(__xludf.DUMMYFUNCTION("""COMPUTED_VALUE"""),"UGC08550")</f>
        <v>UGC08550</v>
      </c>
      <c r="B509" s="4">
        <f>IFERROR(__xludf.DUMMYFUNCTION("""COMPUTED_VALUE"""),6.7)</f>
        <v>6.7</v>
      </c>
      <c r="C509" s="4">
        <f>IFERROR(__xludf.DUMMYFUNCTION("""COMPUTED_VALUE"""),2.92)</f>
        <v>2.92</v>
      </c>
      <c r="D509" s="4">
        <f>IFERROR(__xludf.DUMMYFUNCTION("""COMPUTED_VALUE"""),51.6)</f>
        <v>51.6</v>
      </c>
      <c r="E509" s="4">
        <f>IFERROR(__xludf.DUMMYFUNCTION("""COMPUTED_VALUE"""),2.04)</f>
        <v>2.04</v>
      </c>
      <c r="F509" s="4">
        <f>IFERROR(__xludf.DUMMYFUNCTION("""COMPUTED_VALUE"""),12.14)</f>
        <v>12.14</v>
      </c>
      <c r="G509" s="4">
        <f>IFERROR(__xludf.DUMMYFUNCTION("""COMPUTED_VALUE"""),22.08)</f>
        <v>22.08</v>
      </c>
      <c r="H509" s="4">
        <f>IFERROR(__xludf.DUMMYFUNCTION("""COMPUTED_VALUE"""),0.0)</f>
        <v>0</v>
      </c>
      <c r="I509" s="4">
        <f>IFERROR(__xludf.DUMMYFUNCTION("""COMPUTED_VALUE"""),0.36)</f>
        <v>0.36</v>
      </c>
      <c r="J509" s="4">
        <f>IFERROR(__xludf.DUMMYFUNCTION("""COMPUTED_VALUE"""),0.0)</f>
        <v>0</v>
      </c>
      <c r="K509" s="4">
        <f>IFERROR(__xludf.DUMMYFUNCTION("""COMPUTED_VALUE"""),634.906)</f>
        <v>634.906</v>
      </c>
      <c r="L509" s="4">
        <f>IFERROR(__xludf.DUMMYFUNCTION("""COMPUTED_VALUE"""),4.193628663140686)</f>
        <v>4.193628663</v>
      </c>
    </row>
    <row r="510">
      <c r="A510" s="4" t="str">
        <f>IFERROR(__xludf.DUMMYFUNCTION("""COMPUTED_VALUE"""),"UGC08550")</f>
        <v>UGC08550</v>
      </c>
      <c r="B510" s="4">
        <f>IFERROR(__xludf.DUMMYFUNCTION("""COMPUTED_VALUE"""),6.7)</f>
        <v>6.7</v>
      </c>
      <c r="C510" s="4">
        <f>IFERROR(__xludf.DUMMYFUNCTION("""COMPUTED_VALUE"""),3.41)</f>
        <v>3.41</v>
      </c>
      <c r="D510" s="4">
        <f>IFERROR(__xludf.DUMMYFUNCTION("""COMPUTED_VALUE"""),53.2)</f>
        <v>53.2</v>
      </c>
      <c r="E510" s="4">
        <f>IFERROR(__xludf.DUMMYFUNCTION("""COMPUTED_VALUE"""),2.0)</f>
        <v>2</v>
      </c>
      <c r="F510" s="4">
        <f>IFERROR(__xludf.DUMMYFUNCTION("""COMPUTED_VALUE"""),13.38)</f>
        <v>13.38</v>
      </c>
      <c r="G510" s="4">
        <f>IFERROR(__xludf.DUMMYFUNCTION("""COMPUTED_VALUE"""),20.22)</f>
        <v>20.22</v>
      </c>
      <c r="H510" s="4">
        <f>IFERROR(__xludf.DUMMYFUNCTION("""COMPUTED_VALUE"""),0.0)</f>
        <v>0</v>
      </c>
      <c r="I510" s="4">
        <f>IFERROR(__xludf.DUMMYFUNCTION("""COMPUTED_VALUE"""),0.14)</f>
        <v>0.14</v>
      </c>
      <c r="J510" s="4">
        <f>IFERROR(__xludf.DUMMYFUNCTION("""COMPUTED_VALUE"""),0.0)</f>
        <v>0</v>
      </c>
      <c r="K510" s="4">
        <f>IFERROR(__xludf.DUMMYFUNCTION("""COMPUTED_VALUE"""),587.8728)</f>
        <v>587.8728</v>
      </c>
      <c r="L510" s="4">
        <f>IFERROR(__xludf.DUMMYFUNCTION("""COMPUTED_VALUE"""),4.8143748103331205)</f>
        <v>4.81437481</v>
      </c>
    </row>
    <row r="511">
      <c r="A511" s="4" t="str">
        <f>IFERROR(__xludf.DUMMYFUNCTION("""COMPUTED_VALUE"""),"UGC08550")</f>
        <v>UGC08550</v>
      </c>
      <c r="B511" s="4">
        <f>IFERROR(__xludf.DUMMYFUNCTION("""COMPUTED_VALUE"""),6.7)</f>
        <v>6.7</v>
      </c>
      <c r="C511" s="4">
        <f>IFERROR(__xludf.DUMMYFUNCTION("""COMPUTED_VALUE"""),3.89)</f>
        <v>3.89</v>
      </c>
      <c r="D511" s="4">
        <f>IFERROR(__xludf.DUMMYFUNCTION("""COMPUTED_VALUE"""),55.1)</f>
        <v>55.1</v>
      </c>
      <c r="E511" s="4">
        <f>IFERROR(__xludf.DUMMYFUNCTION("""COMPUTED_VALUE"""),2.05)</f>
        <v>2.05</v>
      </c>
      <c r="F511" s="4">
        <f>IFERROR(__xludf.DUMMYFUNCTION("""COMPUTED_VALUE"""),14.95)</f>
        <v>14.95</v>
      </c>
      <c r="G511" s="4">
        <f>IFERROR(__xludf.DUMMYFUNCTION("""COMPUTED_VALUE"""),18.69)</f>
        <v>18.69</v>
      </c>
      <c r="H511" s="4">
        <f>IFERROR(__xludf.DUMMYFUNCTION("""COMPUTED_VALUE"""),0.0)</f>
        <v>0</v>
      </c>
      <c r="I511" s="4">
        <f>IFERROR(__xludf.DUMMYFUNCTION("""COMPUTED_VALUE"""),0.05)</f>
        <v>0.05</v>
      </c>
      <c r="J511" s="4">
        <f>IFERROR(__xludf.DUMMYFUNCTION("""COMPUTED_VALUE"""),0.0)</f>
        <v>0</v>
      </c>
      <c r="K511" s="4">
        <f>IFERROR(__xludf.DUMMYFUNCTION("""COMPUTED_VALUE"""),572.8186000000001)</f>
        <v>572.8186</v>
      </c>
      <c r="L511" s="4">
        <f>IFERROR(__xludf.DUMMYFUNCTION("""COMPUTED_VALUE"""),5.300124681705517)</f>
        <v>5.300124682</v>
      </c>
    </row>
    <row r="512">
      <c r="A512" s="4" t="str">
        <f>IFERROR(__xludf.DUMMYFUNCTION("""COMPUTED_VALUE"""),"UGC08550")</f>
        <v>UGC08550</v>
      </c>
      <c r="B512" s="4">
        <f>IFERROR(__xludf.DUMMYFUNCTION("""COMPUTED_VALUE"""),6.7)</f>
        <v>6.7</v>
      </c>
      <c r="C512" s="4">
        <f>IFERROR(__xludf.DUMMYFUNCTION("""COMPUTED_VALUE"""),4.39)</f>
        <v>4.39</v>
      </c>
      <c r="D512" s="4">
        <f>IFERROR(__xludf.DUMMYFUNCTION("""COMPUTED_VALUE"""),57.8)</f>
        <v>57.8</v>
      </c>
      <c r="E512" s="4">
        <f>IFERROR(__xludf.DUMMYFUNCTION("""COMPUTED_VALUE"""),2.24)</f>
        <v>2.24</v>
      </c>
      <c r="F512" s="4">
        <f>IFERROR(__xludf.DUMMYFUNCTION("""COMPUTED_VALUE"""),18.33)</f>
        <v>18.33</v>
      </c>
      <c r="G512" s="4">
        <f>IFERROR(__xludf.DUMMYFUNCTION("""COMPUTED_VALUE"""),17.42)</f>
        <v>17.42</v>
      </c>
      <c r="H512" s="4">
        <f>IFERROR(__xludf.DUMMYFUNCTION("""COMPUTED_VALUE"""),0.0)</f>
        <v>0</v>
      </c>
      <c r="I512" s="4">
        <f>IFERROR(__xludf.DUMMYFUNCTION("""COMPUTED_VALUE"""),0.02)</f>
        <v>0.02</v>
      </c>
      <c r="J512" s="4">
        <f>IFERROR(__xludf.DUMMYFUNCTION("""COMPUTED_VALUE"""),0.0)</f>
        <v>0</v>
      </c>
      <c r="K512" s="4">
        <f>IFERROR(__xludf.DUMMYFUNCTION("""COMPUTED_VALUE"""),639.4453000000001)</f>
        <v>639.4453</v>
      </c>
      <c r="L512" s="4">
        <f>IFERROR(__xludf.DUMMYFUNCTION("""COMPUTED_VALUE"""),5.224590750764763)</f>
        <v>5.224590751</v>
      </c>
    </row>
    <row r="513">
      <c r="A513" s="4" t="str">
        <f>IFERROR(__xludf.DUMMYFUNCTION("""COMPUTED_VALUE"""),"UGC08550")</f>
        <v>UGC08550</v>
      </c>
      <c r="B513" s="4">
        <f>IFERROR(__xludf.DUMMYFUNCTION("""COMPUTED_VALUE"""),6.7)</f>
        <v>6.7</v>
      </c>
      <c r="C513" s="4">
        <f>IFERROR(__xludf.DUMMYFUNCTION("""COMPUTED_VALUE"""),4.88)</f>
        <v>4.88</v>
      </c>
      <c r="D513" s="4">
        <f>IFERROR(__xludf.DUMMYFUNCTION("""COMPUTED_VALUE"""),57.3)</f>
        <v>57.3</v>
      </c>
      <c r="E513" s="4">
        <f>IFERROR(__xludf.DUMMYFUNCTION("""COMPUTED_VALUE"""),2.0)</f>
        <v>2</v>
      </c>
      <c r="F513" s="4">
        <f>IFERROR(__xludf.DUMMYFUNCTION("""COMPUTED_VALUE"""),21.25)</f>
        <v>21.25</v>
      </c>
      <c r="G513" s="4">
        <f>IFERROR(__xludf.DUMMYFUNCTION("""COMPUTED_VALUE"""),16.4)</f>
        <v>16.4</v>
      </c>
      <c r="H513" s="4">
        <f>IFERROR(__xludf.DUMMYFUNCTION("""COMPUTED_VALUE"""),0.0)</f>
        <v>0</v>
      </c>
      <c r="I513" s="4">
        <f>IFERROR(__xludf.DUMMYFUNCTION("""COMPUTED_VALUE"""),0.01)</f>
        <v>0.01</v>
      </c>
      <c r="J513" s="4">
        <f>IFERROR(__xludf.DUMMYFUNCTION("""COMPUTED_VALUE"""),0.0)</f>
        <v>0</v>
      </c>
      <c r="K513" s="4">
        <f>IFERROR(__xludf.DUMMYFUNCTION("""COMPUTED_VALUE"""),720.5225)</f>
        <v>720.5225</v>
      </c>
      <c r="L513" s="4">
        <f>IFERROR(__xludf.DUMMYFUNCTION("""COMPUTED_VALUE"""),4.556818142389723)</f>
        <v>4.556818142</v>
      </c>
    </row>
    <row r="514">
      <c r="A514" s="5" t="str">
        <f>IFERROR(__xludf.DUMMYFUNCTION("""COMPUTED_VALUE"""),"UGC08550")</f>
        <v>UGC08550</v>
      </c>
      <c r="B514" s="5">
        <f>IFERROR(__xludf.DUMMYFUNCTION("""COMPUTED_VALUE"""),6.7)</f>
        <v>6.7</v>
      </c>
      <c r="C514" s="5">
        <f>IFERROR(__xludf.DUMMYFUNCTION("""COMPUTED_VALUE"""),5.36)</f>
        <v>5.36</v>
      </c>
      <c r="D514" s="5">
        <f>IFERROR(__xludf.DUMMYFUNCTION("""COMPUTED_VALUE"""),57.5)</f>
        <v>57.5</v>
      </c>
      <c r="E514" s="5">
        <f>IFERROR(__xludf.DUMMYFUNCTION("""COMPUTED_VALUE"""),2.0)</f>
        <v>2</v>
      </c>
      <c r="F514" s="5">
        <f>IFERROR(__xludf.DUMMYFUNCTION("""COMPUTED_VALUE"""),22.04)</f>
        <v>22.04</v>
      </c>
      <c r="G514" s="5">
        <f>IFERROR(__xludf.DUMMYFUNCTION("""COMPUTED_VALUE"""),15.57)</f>
        <v>15.57</v>
      </c>
      <c r="H514" s="5">
        <f>IFERROR(__xludf.DUMMYFUNCTION("""COMPUTED_VALUE"""),0.0)</f>
        <v>0</v>
      </c>
      <c r="I514" s="5">
        <f>IFERROR(__xludf.DUMMYFUNCTION("""COMPUTED_VALUE"""),0.0)</f>
        <v>0</v>
      </c>
      <c r="J514" s="5">
        <f>IFERROR(__xludf.DUMMYFUNCTION("""COMPUTED_VALUE"""),0.0)</f>
        <v>0</v>
      </c>
      <c r="K514" s="5">
        <f>IFERROR(__xludf.DUMMYFUNCTION("""COMPUTED_VALUE"""),728.1865)</f>
        <v>728.1865</v>
      </c>
      <c r="L514" s="5">
        <f>IFERROR(__xludf.DUMMYFUNCTION("""COMPUTED_VALUE"""),4.540389034951898)</f>
        <v>4.540389035</v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4" t="str">
        <f>IFERROR(__xludf.DUMMYFUNCTION("""COMPUTED_VALUE"""),"UGC08837")</f>
        <v>UGC08837</v>
      </c>
      <c r="B515" s="4">
        <f>IFERROR(__xludf.DUMMYFUNCTION("""COMPUTED_VALUE"""),7.21)</f>
        <v>7.21</v>
      </c>
      <c r="C515" s="4">
        <f>IFERROR(__xludf.DUMMYFUNCTION("""COMPUTED_VALUE"""),0.52)</f>
        <v>0.52</v>
      </c>
      <c r="D515" s="4">
        <f>IFERROR(__xludf.DUMMYFUNCTION("""COMPUTED_VALUE"""),7.31)</f>
        <v>7.31</v>
      </c>
      <c r="E515" s="4">
        <f>IFERROR(__xludf.DUMMYFUNCTION("""COMPUTED_VALUE"""),2.12)</f>
        <v>2.12</v>
      </c>
      <c r="F515" s="4">
        <f>IFERROR(__xludf.DUMMYFUNCTION("""COMPUTED_VALUE"""),-3.67)</f>
        <v>-3.67</v>
      </c>
      <c r="G515" s="4">
        <f>IFERROR(__xludf.DUMMYFUNCTION("""COMPUTED_VALUE"""),11.19)</f>
        <v>11.19</v>
      </c>
      <c r="H515" s="4">
        <f>IFERROR(__xludf.DUMMYFUNCTION("""COMPUTED_VALUE"""),0.0)</f>
        <v>0</v>
      </c>
      <c r="I515" s="4">
        <f>IFERROR(__xludf.DUMMYFUNCTION("""COMPUTED_VALUE"""),32.26)</f>
        <v>32.26</v>
      </c>
      <c r="J515" s="4">
        <f>IFERROR(__xludf.DUMMYFUNCTION("""COMPUTED_VALUE"""),0.0)</f>
        <v>0</v>
      </c>
      <c r="K515" s="4">
        <f>IFERROR(__xludf.DUMMYFUNCTION("""COMPUTED_VALUE"""),138.68499999999997)</f>
        <v>138.685</v>
      </c>
      <c r="L515" s="4">
        <f>IFERROR(__xludf.DUMMYFUNCTION("""COMPUTED_VALUE"""),0.3853055485452645)</f>
        <v>0.3853055485</v>
      </c>
    </row>
    <row r="516">
      <c r="A516" s="4" t="str">
        <f>IFERROR(__xludf.DUMMYFUNCTION("""COMPUTED_VALUE"""),"UGC08837")</f>
        <v>UGC08837</v>
      </c>
      <c r="B516" s="4">
        <f>IFERROR(__xludf.DUMMYFUNCTION("""COMPUTED_VALUE"""),7.21)</f>
        <v>7.21</v>
      </c>
      <c r="C516" s="4">
        <f>IFERROR(__xludf.DUMMYFUNCTION("""COMPUTED_VALUE"""),1.05)</f>
        <v>1.05</v>
      </c>
      <c r="D516" s="4">
        <f>IFERROR(__xludf.DUMMYFUNCTION("""COMPUTED_VALUE"""),14.6)</f>
        <v>14.6</v>
      </c>
      <c r="E516" s="4">
        <f>IFERROR(__xludf.DUMMYFUNCTION("""COMPUTED_VALUE"""),2.05)</f>
        <v>2.05</v>
      </c>
      <c r="F516" s="4">
        <f>IFERROR(__xludf.DUMMYFUNCTION("""COMPUTED_VALUE"""),-4.64)</f>
        <v>-4.64</v>
      </c>
      <c r="G516" s="4">
        <f>IFERROR(__xludf.DUMMYFUNCTION("""COMPUTED_VALUE"""),16.58)</f>
        <v>16.58</v>
      </c>
      <c r="H516" s="4">
        <f>IFERROR(__xludf.DUMMYFUNCTION("""COMPUTED_VALUE"""),0.0)</f>
        <v>0</v>
      </c>
      <c r="I516" s="4">
        <f>IFERROR(__xludf.DUMMYFUNCTION("""COMPUTED_VALUE"""),21.96)</f>
        <v>21.96</v>
      </c>
      <c r="J516" s="4">
        <f>IFERROR(__xludf.DUMMYFUNCTION("""COMPUTED_VALUE"""),0.0)</f>
        <v>0</v>
      </c>
      <c r="K516" s="4">
        <f>IFERROR(__xludf.DUMMYFUNCTION("""COMPUTED_VALUE"""),296.426)</f>
        <v>296.426</v>
      </c>
      <c r="L516" s="4">
        <f>IFERROR(__xludf.DUMMYFUNCTION("""COMPUTED_VALUE"""),0.7191002138813735)</f>
        <v>0.7191002139</v>
      </c>
    </row>
    <row r="517">
      <c r="A517" s="4" t="str">
        <f>IFERROR(__xludf.DUMMYFUNCTION("""COMPUTED_VALUE"""),"UGC08837")</f>
        <v>UGC08837</v>
      </c>
      <c r="B517" s="4">
        <f>IFERROR(__xludf.DUMMYFUNCTION("""COMPUTED_VALUE"""),7.21)</f>
        <v>7.21</v>
      </c>
      <c r="C517" s="4">
        <f>IFERROR(__xludf.DUMMYFUNCTION("""COMPUTED_VALUE"""),1.57)</f>
        <v>1.57</v>
      </c>
      <c r="D517" s="4">
        <f>IFERROR(__xludf.DUMMYFUNCTION("""COMPUTED_VALUE"""),21.0)</f>
        <v>21</v>
      </c>
      <c r="E517" s="4">
        <f>IFERROR(__xludf.DUMMYFUNCTION("""COMPUTED_VALUE"""),2.05)</f>
        <v>2.05</v>
      </c>
      <c r="F517" s="4">
        <f>IFERROR(__xludf.DUMMYFUNCTION("""COMPUTED_VALUE"""),2.4)</f>
        <v>2.4</v>
      </c>
      <c r="G517" s="4">
        <f>IFERROR(__xludf.DUMMYFUNCTION("""COMPUTED_VALUE"""),20.63)</f>
        <v>20.63</v>
      </c>
      <c r="H517" s="4">
        <f>IFERROR(__xludf.DUMMYFUNCTION("""COMPUTED_VALUE"""),0.0)</f>
        <v>0</v>
      </c>
      <c r="I517" s="4">
        <f>IFERROR(__xludf.DUMMYFUNCTION("""COMPUTED_VALUE"""),16.46)</f>
        <v>16.46</v>
      </c>
      <c r="J517" s="4">
        <f>IFERROR(__xludf.DUMMYFUNCTION("""COMPUTED_VALUE"""),0.0)</f>
        <v>0</v>
      </c>
      <c r="K517" s="4">
        <f>IFERROR(__xludf.DUMMYFUNCTION("""COMPUTED_VALUE"""),431.35689999999994)</f>
        <v>431.3569</v>
      </c>
      <c r="L517" s="4">
        <f>IFERROR(__xludf.DUMMYFUNCTION("""COMPUTED_VALUE"""),1.0223552700791387)</f>
        <v>1.02235527</v>
      </c>
    </row>
    <row r="518">
      <c r="A518" s="4" t="str">
        <f>IFERROR(__xludf.DUMMYFUNCTION("""COMPUTED_VALUE"""),"UGC08837")</f>
        <v>UGC08837</v>
      </c>
      <c r="B518" s="4">
        <f>IFERROR(__xludf.DUMMYFUNCTION("""COMPUTED_VALUE"""),7.21)</f>
        <v>7.21</v>
      </c>
      <c r="C518" s="4">
        <f>IFERROR(__xludf.DUMMYFUNCTION("""COMPUTED_VALUE"""),2.09)</f>
        <v>2.09</v>
      </c>
      <c r="D518" s="4">
        <f>IFERROR(__xludf.DUMMYFUNCTION("""COMPUTED_VALUE"""),28.1)</f>
        <v>28.1</v>
      </c>
      <c r="E518" s="4">
        <f>IFERROR(__xludf.DUMMYFUNCTION("""COMPUTED_VALUE"""),2.06)</f>
        <v>2.06</v>
      </c>
      <c r="F518" s="4">
        <f>IFERROR(__xludf.DUMMYFUNCTION("""COMPUTED_VALUE"""),12.6)</f>
        <v>12.6</v>
      </c>
      <c r="G518" s="4">
        <f>IFERROR(__xludf.DUMMYFUNCTION("""COMPUTED_VALUE"""),23.82)</f>
        <v>23.82</v>
      </c>
      <c r="H518" s="4">
        <f>IFERROR(__xludf.DUMMYFUNCTION("""COMPUTED_VALUE"""),0.0)</f>
        <v>0</v>
      </c>
      <c r="I518" s="4">
        <f>IFERROR(__xludf.DUMMYFUNCTION("""COMPUTED_VALUE"""),11.7)</f>
        <v>11.7</v>
      </c>
      <c r="J518" s="4">
        <f>IFERROR(__xludf.DUMMYFUNCTION("""COMPUTED_VALUE"""),0.0)</f>
        <v>0</v>
      </c>
      <c r="K518" s="4">
        <f>IFERROR(__xludf.DUMMYFUNCTION("""COMPUTED_VALUE"""),726.1524000000001)</f>
        <v>726.1524</v>
      </c>
      <c r="L518" s="4">
        <f>IFERROR(__xludf.DUMMYFUNCTION("""COMPUTED_VALUE"""),1.0873888181048497)</f>
        <v>1.087388818</v>
      </c>
    </row>
    <row r="519">
      <c r="A519" s="4" t="str">
        <f>IFERROR(__xludf.DUMMYFUNCTION("""COMPUTED_VALUE"""),"UGC08837")</f>
        <v>UGC08837</v>
      </c>
      <c r="B519" s="4">
        <f>IFERROR(__xludf.DUMMYFUNCTION("""COMPUTED_VALUE"""),7.21)</f>
        <v>7.21</v>
      </c>
      <c r="C519" s="4">
        <f>IFERROR(__xludf.DUMMYFUNCTION("""COMPUTED_VALUE"""),2.63)</f>
        <v>2.63</v>
      </c>
      <c r="D519" s="4">
        <f>IFERROR(__xludf.DUMMYFUNCTION("""COMPUTED_VALUE"""),35.3)</f>
        <v>35.3</v>
      </c>
      <c r="E519" s="4">
        <f>IFERROR(__xludf.DUMMYFUNCTION("""COMPUTED_VALUE"""),2.5)</f>
        <v>2.5</v>
      </c>
      <c r="F519" s="4">
        <f>IFERROR(__xludf.DUMMYFUNCTION("""COMPUTED_VALUE"""),16.76)</f>
        <v>16.76</v>
      </c>
      <c r="G519" s="4">
        <f>IFERROR(__xludf.DUMMYFUNCTION("""COMPUTED_VALUE"""),25.79)</f>
        <v>25.79</v>
      </c>
      <c r="H519" s="4">
        <f>IFERROR(__xludf.DUMMYFUNCTION("""COMPUTED_VALUE"""),0.0)</f>
        <v>0</v>
      </c>
      <c r="I519" s="4">
        <f>IFERROR(__xludf.DUMMYFUNCTION("""COMPUTED_VALUE"""),8.74)</f>
        <v>8.74</v>
      </c>
      <c r="J519" s="4">
        <f>IFERROR(__xludf.DUMMYFUNCTION("""COMPUTED_VALUE"""),0.0)</f>
        <v>0</v>
      </c>
      <c r="K519" s="4">
        <f>IFERROR(__xludf.DUMMYFUNCTION("""COMPUTED_VALUE"""),946.0217)</f>
        <v>946.0217</v>
      </c>
      <c r="L519" s="4">
        <f>IFERROR(__xludf.DUMMYFUNCTION("""COMPUTED_VALUE"""),1.317189658545887)</f>
        <v>1.317189659</v>
      </c>
    </row>
    <row r="520">
      <c r="A520" s="4" t="str">
        <f>IFERROR(__xludf.DUMMYFUNCTION("""COMPUTED_VALUE"""),"UGC08837")</f>
        <v>UGC08837</v>
      </c>
      <c r="B520" s="4">
        <f>IFERROR(__xludf.DUMMYFUNCTION("""COMPUTED_VALUE"""),7.21)</f>
        <v>7.21</v>
      </c>
      <c r="C520" s="4">
        <f>IFERROR(__xludf.DUMMYFUNCTION("""COMPUTED_VALUE"""),3.15)</f>
        <v>3.15</v>
      </c>
      <c r="D520" s="4">
        <f>IFERROR(__xludf.DUMMYFUNCTION("""COMPUTED_VALUE"""),43.0)</f>
        <v>43</v>
      </c>
      <c r="E520" s="4">
        <f>IFERROR(__xludf.DUMMYFUNCTION("""COMPUTED_VALUE"""),3.38)</f>
        <v>3.38</v>
      </c>
      <c r="F520" s="4">
        <f>IFERROR(__xludf.DUMMYFUNCTION("""COMPUTED_VALUE"""),17.12)</f>
        <v>17.12</v>
      </c>
      <c r="G520" s="4">
        <f>IFERROR(__xludf.DUMMYFUNCTION("""COMPUTED_VALUE"""),27.83)</f>
        <v>27.83</v>
      </c>
      <c r="H520" s="4">
        <f>IFERROR(__xludf.DUMMYFUNCTION("""COMPUTED_VALUE"""),0.0)</f>
        <v>0</v>
      </c>
      <c r="I520" s="4">
        <f>IFERROR(__xludf.DUMMYFUNCTION("""COMPUTED_VALUE"""),5.69)</f>
        <v>5.69</v>
      </c>
      <c r="J520" s="4">
        <f>IFERROR(__xludf.DUMMYFUNCTION("""COMPUTED_VALUE"""),0.0)</f>
        <v>0</v>
      </c>
      <c r="K520" s="4">
        <f>IFERROR(__xludf.DUMMYFUNCTION("""COMPUTED_VALUE"""),1067.6033)</f>
        <v>1067.6033</v>
      </c>
      <c r="L520" s="4">
        <f>IFERROR(__xludf.DUMMYFUNCTION("""COMPUTED_VALUE"""),1.7319167147572512)</f>
        <v>1.731916715</v>
      </c>
    </row>
    <row r="521">
      <c r="A521" s="4" t="str">
        <f>IFERROR(__xludf.DUMMYFUNCTION("""COMPUTED_VALUE"""),"UGC08837")</f>
        <v>UGC08837</v>
      </c>
      <c r="B521" s="4">
        <f>IFERROR(__xludf.DUMMYFUNCTION("""COMPUTED_VALUE"""),7.21)</f>
        <v>7.21</v>
      </c>
      <c r="C521" s="4">
        <f>IFERROR(__xludf.DUMMYFUNCTION("""COMPUTED_VALUE"""),3.68)</f>
        <v>3.68</v>
      </c>
      <c r="D521" s="4">
        <f>IFERROR(__xludf.DUMMYFUNCTION("""COMPUTED_VALUE"""),46.6)</f>
        <v>46.6</v>
      </c>
      <c r="E521" s="4">
        <f>IFERROR(__xludf.DUMMYFUNCTION("""COMPUTED_VALUE"""),3.15)</f>
        <v>3.15</v>
      </c>
      <c r="F521" s="4">
        <f>IFERROR(__xludf.DUMMYFUNCTION("""COMPUTED_VALUE"""),20.09)</f>
        <v>20.09</v>
      </c>
      <c r="G521" s="4">
        <f>IFERROR(__xludf.DUMMYFUNCTION("""COMPUTED_VALUE"""),26.92)</f>
        <v>26.92</v>
      </c>
      <c r="H521" s="4">
        <f>IFERROR(__xludf.DUMMYFUNCTION("""COMPUTED_VALUE"""),0.0)</f>
        <v>0</v>
      </c>
      <c r="I521" s="4">
        <f>IFERROR(__xludf.DUMMYFUNCTION("""COMPUTED_VALUE"""),2.58)</f>
        <v>2.58</v>
      </c>
      <c r="J521" s="4">
        <f>IFERROR(__xludf.DUMMYFUNCTION("""COMPUTED_VALUE"""),0.0)</f>
        <v>0</v>
      </c>
      <c r="K521" s="4">
        <f>IFERROR(__xludf.DUMMYFUNCTION("""COMPUTED_VALUE"""),1128.2945)</f>
        <v>1128.2945</v>
      </c>
      <c r="L521" s="4">
        <f>IFERROR(__xludf.DUMMYFUNCTION("""COMPUTED_VALUE"""),1.9246393561255506)</f>
        <v>1.924639356</v>
      </c>
    </row>
    <row r="522">
      <c r="A522" s="5" t="str">
        <f>IFERROR(__xludf.DUMMYFUNCTION("""COMPUTED_VALUE"""),"UGC08837")</f>
        <v>UGC08837</v>
      </c>
      <c r="B522" s="5">
        <f>IFERROR(__xludf.DUMMYFUNCTION("""COMPUTED_VALUE"""),7.21)</f>
        <v>7.21</v>
      </c>
      <c r="C522" s="5">
        <f>IFERROR(__xludf.DUMMYFUNCTION("""COMPUTED_VALUE"""),4.2)</f>
        <v>4.2</v>
      </c>
      <c r="D522" s="5">
        <f>IFERROR(__xludf.DUMMYFUNCTION("""COMPUTED_VALUE"""),48.0)</f>
        <v>48</v>
      </c>
      <c r="E522" s="5">
        <f>IFERROR(__xludf.DUMMYFUNCTION("""COMPUTED_VALUE"""),3.0)</f>
        <v>3</v>
      </c>
      <c r="F522" s="5">
        <f>IFERROR(__xludf.DUMMYFUNCTION("""COMPUTED_VALUE"""),22.95)</f>
        <v>22.95</v>
      </c>
      <c r="G522" s="5">
        <f>IFERROR(__xludf.DUMMYFUNCTION("""COMPUTED_VALUE"""),25.81)</f>
        <v>25.81</v>
      </c>
      <c r="H522" s="5">
        <f>IFERROR(__xludf.DUMMYFUNCTION("""COMPUTED_VALUE"""),0.0)</f>
        <v>0</v>
      </c>
      <c r="I522" s="5">
        <f>IFERROR(__xludf.DUMMYFUNCTION("""COMPUTED_VALUE"""),1.25)</f>
        <v>1.25</v>
      </c>
      <c r="J522" s="5">
        <f>IFERROR(__xludf.DUMMYFUNCTION("""COMPUTED_VALUE"""),0.0)</f>
        <v>0</v>
      </c>
      <c r="K522" s="5">
        <f>IFERROR(__xludf.DUMMYFUNCTION("""COMPUTED_VALUE"""),1192.8586)</f>
        <v>1192.8586</v>
      </c>
      <c r="L522" s="5">
        <f>IFERROR(__xludf.DUMMYFUNCTION("""COMPUTED_VALUE"""),1.9314946465574376)</f>
        <v>1.931494647</v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4" t="str">
        <f>IFERROR(__xludf.DUMMYFUNCTION("""COMPUTED_VALUE"""),"UGC09992")</f>
        <v>UGC09992</v>
      </c>
      <c r="B523" s="4">
        <f>IFERROR(__xludf.DUMMYFUNCTION("""COMPUTED_VALUE"""),10.7)</f>
        <v>10.7</v>
      </c>
      <c r="C523" s="4">
        <f>IFERROR(__xludf.DUMMYFUNCTION("""COMPUTED_VALUE"""),0.78)</f>
        <v>0.78</v>
      </c>
      <c r="D523" s="4">
        <f>IFERROR(__xludf.DUMMYFUNCTION("""COMPUTED_VALUE"""),28.1)</f>
        <v>28.1</v>
      </c>
      <c r="E523" s="4">
        <f>IFERROR(__xludf.DUMMYFUNCTION("""COMPUTED_VALUE"""),5.66)</f>
        <v>5.66</v>
      </c>
      <c r="F523" s="4">
        <f>IFERROR(__xludf.DUMMYFUNCTION("""COMPUTED_VALUE"""),6.39)</f>
        <v>6.39</v>
      </c>
      <c r="G523" s="4">
        <f>IFERROR(__xludf.DUMMYFUNCTION("""COMPUTED_VALUE"""),20.31)</f>
        <v>20.31</v>
      </c>
      <c r="H523" s="4">
        <f>IFERROR(__xludf.DUMMYFUNCTION("""COMPUTED_VALUE"""),0.0)</f>
        <v>0</v>
      </c>
      <c r="I523" s="4">
        <f>IFERROR(__xludf.DUMMYFUNCTION("""COMPUTED_VALUE"""),36.38)</f>
        <v>36.38</v>
      </c>
      <c r="J523" s="4">
        <f>IFERROR(__xludf.DUMMYFUNCTION("""COMPUTED_VALUE"""),0.0)</f>
        <v>0</v>
      </c>
      <c r="K523" s="4">
        <f>IFERROR(__xludf.DUMMYFUNCTION("""COMPUTED_VALUE"""),453.3281999999999)</f>
        <v>453.3282</v>
      </c>
      <c r="L523" s="4">
        <f>IFERROR(__xludf.DUMMYFUNCTION("""COMPUTED_VALUE"""),1.7418064881028805)</f>
        <v>1.741806488</v>
      </c>
    </row>
    <row r="524">
      <c r="A524" s="4" t="str">
        <f>IFERROR(__xludf.DUMMYFUNCTION("""COMPUTED_VALUE"""),"UGC09992")</f>
        <v>UGC09992</v>
      </c>
      <c r="B524" s="4">
        <f>IFERROR(__xludf.DUMMYFUNCTION("""COMPUTED_VALUE"""),10.7)</f>
        <v>10.7</v>
      </c>
      <c r="C524" s="4">
        <f>IFERROR(__xludf.DUMMYFUNCTION("""COMPUTED_VALUE"""),1.55)</f>
        <v>1.55</v>
      </c>
      <c r="D524" s="4">
        <f>IFERROR(__xludf.DUMMYFUNCTION("""COMPUTED_VALUE"""),31.3)</f>
        <v>31.3</v>
      </c>
      <c r="E524" s="4">
        <f>IFERROR(__xludf.DUMMYFUNCTION("""COMPUTED_VALUE"""),5.66)</f>
        <v>5.66</v>
      </c>
      <c r="F524" s="4">
        <f>IFERROR(__xludf.DUMMYFUNCTION("""COMPUTED_VALUE"""),10.35)</f>
        <v>10.35</v>
      </c>
      <c r="G524" s="4">
        <f>IFERROR(__xludf.DUMMYFUNCTION("""COMPUTED_VALUE"""),23.49)</f>
        <v>23.49</v>
      </c>
      <c r="H524" s="4">
        <f>IFERROR(__xludf.DUMMYFUNCTION("""COMPUTED_VALUE"""),0.0)</f>
        <v>0</v>
      </c>
      <c r="I524" s="4">
        <f>IFERROR(__xludf.DUMMYFUNCTION("""COMPUTED_VALUE"""),10.22)</f>
        <v>10.22</v>
      </c>
      <c r="J524" s="4">
        <f>IFERROR(__xludf.DUMMYFUNCTION("""COMPUTED_VALUE"""),0.0)</f>
        <v>0</v>
      </c>
      <c r="K524" s="4">
        <f>IFERROR(__xludf.DUMMYFUNCTION("""COMPUTED_VALUE"""),658.9025999999999)</f>
        <v>658.9026</v>
      </c>
      <c r="L524" s="4">
        <f>IFERROR(__xludf.DUMMYFUNCTION("""COMPUTED_VALUE"""),1.48685101561293)</f>
        <v>1.486851016</v>
      </c>
    </row>
    <row r="525">
      <c r="A525" s="4" t="str">
        <f>IFERROR(__xludf.DUMMYFUNCTION("""COMPUTED_VALUE"""),"UGC09992")</f>
        <v>UGC09992</v>
      </c>
      <c r="B525" s="4">
        <f>IFERROR(__xludf.DUMMYFUNCTION("""COMPUTED_VALUE"""),10.7)</f>
        <v>10.7</v>
      </c>
      <c r="C525" s="4">
        <f>IFERROR(__xludf.DUMMYFUNCTION("""COMPUTED_VALUE"""),2.34)</f>
        <v>2.34</v>
      </c>
      <c r="D525" s="4">
        <f>IFERROR(__xludf.DUMMYFUNCTION("""COMPUTED_VALUE"""),33.0)</f>
        <v>33</v>
      </c>
      <c r="E525" s="4">
        <f>IFERROR(__xludf.DUMMYFUNCTION("""COMPUTED_VALUE"""),5.66)</f>
        <v>5.66</v>
      </c>
      <c r="F525" s="4">
        <f>IFERROR(__xludf.DUMMYFUNCTION("""COMPUTED_VALUE"""),14.5)</f>
        <v>14.5</v>
      </c>
      <c r="G525" s="4">
        <f>IFERROR(__xludf.DUMMYFUNCTION("""COMPUTED_VALUE"""),22.94)</f>
        <v>22.94</v>
      </c>
      <c r="H525" s="4">
        <f>IFERROR(__xludf.DUMMYFUNCTION("""COMPUTED_VALUE"""),0.0)</f>
        <v>0</v>
      </c>
      <c r="I525" s="4">
        <f>IFERROR(__xludf.DUMMYFUNCTION("""COMPUTED_VALUE"""),4.68)</f>
        <v>4.68</v>
      </c>
      <c r="J525" s="4">
        <f>IFERROR(__xludf.DUMMYFUNCTION("""COMPUTED_VALUE"""),0.0)</f>
        <v>0</v>
      </c>
      <c r="K525" s="4">
        <f>IFERROR(__xludf.DUMMYFUNCTION("""COMPUTED_VALUE"""),736.4936)</f>
        <v>736.4936</v>
      </c>
      <c r="L525" s="4">
        <f>IFERROR(__xludf.DUMMYFUNCTION("""COMPUTED_VALUE"""),1.4786279201883084)</f>
        <v>1.47862792</v>
      </c>
    </row>
    <row r="526">
      <c r="A526" s="4" t="str">
        <f>IFERROR(__xludf.DUMMYFUNCTION("""COMPUTED_VALUE"""),"UGC09992")</f>
        <v>UGC09992</v>
      </c>
      <c r="B526" s="4">
        <f>IFERROR(__xludf.DUMMYFUNCTION("""COMPUTED_VALUE"""),10.7)</f>
        <v>10.7</v>
      </c>
      <c r="C526" s="4">
        <f>IFERROR(__xludf.DUMMYFUNCTION("""COMPUTED_VALUE"""),3.12)</f>
        <v>3.12</v>
      </c>
      <c r="D526" s="4">
        <f>IFERROR(__xludf.DUMMYFUNCTION("""COMPUTED_VALUE"""),33.4)</f>
        <v>33.4</v>
      </c>
      <c r="E526" s="4">
        <f>IFERROR(__xludf.DUMMYFUNCTION("""COMPUTED_VALUE"""),5.66)</f>
        <v>5.66</v>
      </c>
      <c r="F526" s="4">
        <f>IFERROR(__xludf.DUMMYFUNCTION("""COMPUTED_VALUE"""),17.55)</f>
        <v>17.55</v>
      </c>
      <c r="G526" s="4">
        <f>IFERROR(__xludf.DUMMYFUNCTION("""COMPUTED_VALUE"""),22.52)</f>
        <v>22.52</v>
      </c>
      <c r="H526" s="4">
        <f>IFERROR(__xludf.DUMMYFUNCTION("""COMPUTED_VALUE"""),0.0)</f>
        <v>0</v>
      </c>
      <c r="I526" s="4">
        <f>IFERROR(__xludf.DUMMYFUNCTION("""COMPUTED_VALUE"""),2.51)</f>
        <v>2.51</v>
      </c>
      <c r="J526" s="4">
        <f>IFERROR(__xludf.DUMMYFUNCTION("""COMPUTED_VALUE"""),0.0)</f>
        <v>0</v>
      </c>
      <c r="K526" s="4">
        <f>IFERROR(__xludf.DUMMYFUNCTION("""COMPUTED_VALUE"""),815.1529)</f>
        <v>815.1529</v>
      </c>
      <c r="L526" s="4">
        <f>IFERROR(__xludf.DUMMYFUNCTION("""COMPUTED_VALUE"""),1.3685285300463261)</f>
        <v>1.36852853</v>
      </c>
    </row>
    <row r="527">
      <c r="A527" s="5" t="str">
        <f>IFERROR(__xludf.DUMMYFUNCTION("""COMPUTED_VALUE"""),"UGC09992")</f>
        <v>UGC09992</v>
      </c>
      <c r="B527" s="5">
        <f>IFERROR(__xludf.DUMMYFUNCTION("""COMPUTED_VALUE"""),10.7)</f>
        <v>10.7</v>
      </c>
      <c r="C527" s="5">
        <f>IFERROR(__xludf.DUMMYFUNCTION("""COMPUTED_VALUE"""),3.89)</f>
        <v>3.89</v>
      </c>
      <c r="D527" s="5">
        <f>IFERROR(__xludf.DUMMYFUNCTION("""COMPUTED_VALUE"""),34.3)</f>
        <v>34.3</v>
      </c>
      <c r="E527" s="5">
        <f>IFERROR(__xludf.DUMMYFUNCTION("""COMPUTED_VALUE"""),5.66)</f>
        <v>5.66</v>
      </c>
      <c r="F527" s="5">
        <f>IFERROR(__xludf.DUMMYFUNCTION("""COMPUTED_VALUE"""),17.55)</f>
        <v>17.55</v>
      </c>
      <c r="G527" s="5">
        <f>IFERROR(__xludf.DUMMYFUNCTION("""COMPUTED_VALUE"""),22.05)</f>
        <v>22.05</v>
      </c>
      <c r="H527" s="5">
        <f>IFERROR(__xludf.DUMMYFUNCTION("""COMPUTED_VALUE"""),0.0)</f>
        <v>0</v>
      </c>
      <c r="I527" s="5">
        <f>IFERROR(__xludf.DUMMYFUNCTION("""COMPUTED_VALUE"""),1.24)</f>
        <v>1.24</v>
      </c>
      <c r="J527" s="5">
        <f>IFERROR(__xludf.DUMMYFUNCTION("""COMPUTED_VALUE"""),0.0)</f>
        <v>0</v>
      </c>
      <c r="K527" s="5">
        <f>IFERROR(__xludf.DUMMYFUNCTION("""COMPUTED_VALUE"""),794.205)</f>
        <v>794.205</v>
      </c>
      <c r="L527" s="5">
        <f>IFERROR(__xludf.DUMMYFUNCTION("""COMPUTED_VALUE"""),1.4813429781983238)</f>
        <v>1.481342978</v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4" t="str">
        <f>IFERROR(__xludf.DUMMYFUNCTION("""COMPUTED_VALUE"""),"UGC11820")</f>
        <v>UGC11820</v>
      </c>
      <c r="B528" s="4">
        <f>IFERROR(__xludf.DUMMYFUNCTION("""COMPUTED_VALUE"""),18.1)</f>
        <v>18.1</v>
      </c>
      <c r="C528" s="4">
        <f>IFERROR(__xludf.DUMMYFUNCTION("""COMPUTED_VALUE"""),0.26)</f>
        <v>0.26</v>
      </c>
      <c r="D528" s="4">
        <f>IFERROR(__xludf.DUMMYFUNCTION("""COMPUTED_VALUE"""),16.0)</f>
        <v>16</v>
      </c>
      <c r="E528" s="4">
        <f>IFERROR(__xludf.DUMMYFUNCTION("""COMPUTED_VALUE"""),5.09)</f>
        <v>5.09</v>
      </c>
      <c r="F528" s="4">
        <f>IFERROR(__xludf.DUMMYFUNCTION("""COMPUTED_VALUE"""),-0.43)</f>
        <v>-0.43</v>
      </c>
      <c r="G528" s="4">
        <f>IFERROR(__xludf.DUMMYFUNCTION("""COMPUTED_VALUE"""),8.55)</f>
        <v>8.55</v>
      </c>
      <c r="H528" s="4">
        <f>IFERROR(__xludf.DUMMYFUNCTION("""COMPUTED_VALUE"""),0.0)</f>
        <v>0</v>
      </c>
      <c r="I528" s="4">
        <f>IFERROR(__xludf.DUMMYFUNCTION("""COMPUTED_VALUE"""),76.79)</f>
        <v>76.79</v>
      </c>
      <c r="J528" s="4">
        <f>IFERROR(__xludf.DUMMYFUNCTION("""COMPUTED_VALUE"""),0.0)</f>
        <v>0</v>
      </c>
      <c r="K528" s="4">
        <f>IFERROR(__xludf.DUMMYFUNCTION("""COMPUTED_VALUE"""),73.2874)</f>
        <v>73.2874</v>
      </c>
      <c r="L528" s="4">
        <f>IFERROR(__xludf.DUMMYFUNCTION("""COMPUTED_VALUE"""),3.4930970398731565)</f>
        <v>3.49309704</v>
      </c>
    </row>
    <row r="529">
      <c r="A529" s="4" t="str">
        <f>IFERROR(__xludf.DUMMYFUNCTION("""COMPUTED_VALUE"""),"UGC11820")</f>
        <v>UGC11820</v>
      </c>
      <c r="B529" s="4">
        <f>IFERROR(__xludf.DUMMYFUNCTION("""COMPUTED_VALUE"""),18.1)</f>
        <v>18.1</v>
      </c>
      <c r="C529" s="4">
        <f>IFERROR(__xludf.DUMMYFUNCTION("""COMPUTED_VALUE"""),0.44)</f>
        <v>0.44</v>
      </c>
      <c r="D529" s="4">
        <f>IFERROR(__xludf.DUMMYFUNCTION("""COMPUTED_VALUE"""),18.9)</f>
        <v>18.9</v>
      </c>
      <c r="E529" s="4">
        <f>IFERROR(__xludf.DUMMYFUNCTION("""COMPUTED_VALUE"""),4.44)</f>
        <v>4.44</v>
      </c>
      <c r="F529" s="4">
        <f>IFERROR(__xludf.DUMMYFUNCTION("""COMPUTED_VALUE"""),1.29)</f>
        <v>1.29</v>
      </c>
      <c r="G529" s="4">
        <f>IFERROR(__xludf.DUMMYFUNCTION("""COMPUTED_VALUE"""),13.84)</f>
        <v>13.84</v>
      </c>
      <c r="H529" s="4">
        <f>IFERROR(__xludf.DUMMYFUNCTION("""COMPUTED_VALUE"""),0.0)</f>
        <v>0</v>
      </c>
      <c r="I529" s="4">
        <f>IFERROR(__xludf.DUMMYFUNCTION("""COMPUTED_VALUE"""),73.61)</f>
        <v>73.61</v>
      </c>
      <c r="J529" s="4">
        <f>IFERROR(__xludf.DUMMYFUNCTION("""COMPUTED_VALUE"""),0.0)</f>
        <v>0</v>
      </c>
      <c r="K529" s="4">
        <f>IFERROR(__xludf.DUMMYFUNCTION("""COMPUTED_VALUE"""),193.2097)</f>
        <v>193.2097</v>
      </c>
      <c r="L529" s="4">
        <f>IFERROR(__xludf.DUMMYFUNCTION("""COMPUTED_VALUE"""),1.8488202196887626)</f>
        <v>1.84882022</v>
      </c>
    </row>
    <row r="530">
      <c r="A530" s="4" t="str">
        <f>IFERROR(__xludf.DUMMYFUNCTION("""COMPUTED_VALUE"""),"UGC11820")</f>
        <v>UGC11820</v>
      </c>
      <c r="B530" s="4">
        <f>IFERROR(__xludf.DUMMYFUNCTION("""COMPUTED_VALUE"""),18.1)</f>
        <v>18.1</v>
      </c>
      <c r="C530" s="4">
        <f>IFERROR(__xludf.DUMMYFUNCTION("""COMPUTED_VALUE"""),0.61)</f>
        <v>0.61</v>
      </c>
      <c r="D530" s="4">
        <f>IFERROR(__xludf.DUMMYFUNCTION("""COMPUTED_VALUE"""),25.8)</f>
        <v>25.8</v>
      </c>
      <c r="E530" s="4">
        <f>IFERROR(__xludf.DUMMYFUNCTION("""COMPUTED_VALUE"""),3.36)</f>
        <v>3.36</v>
      </c>
      <c r="F530" s="4">
        <f>IFERROR(__xludf.DUMMYFUNCTION("""COMPUTED_VALUE"""),1.97)</f>
        <v>1.97</v>
      </c>
      <c r="G530" s="4">
        <f>IFERROR(__xludf.DUMMYFUNCTION("""COMPUTED_VALUE"""),18.2)</f>
        <v>18.2</v>
      </c>
      <c r="H530" s="4">
        <f>IFERROR(__xludf.DUMMYFUNCTION("""COMPUTED_VALUE"""),0.0)</f>
        <v>0</v>
      </c>
      <c r="I530" s="4">
        <f>IFERROR(__xludf.DUMMYFUNCTION("""COMPUTED_VALUE"""),57.73)</f>
        <v>57.73</v>
      </c>
      <c r="J530" s="4">
        <f>IFERROR(__xludf.DUMMYFUNCTION("""COMPUTED_VALUE"""),0.0)</f>
        <v>0</v>
      </c>
      <c r="K530" s="4">
        <f>IFERROR(__xludf.DUMMYFUNCTION("""COMPUTED_VALUE"""),335.12089999999995)</f>
        <v>335.1209</v>
      </c>
      <c r="L530" s="4">
        <f>IFERROR(__xludf.DUMMYFUNCTION("""COMPUTED_VALUE"""),1.9862682393130362)</f>
        <v>1.986268239</v>
      </c>
    </row>
    <row r="531">
      <c r="A531" s="4" t="str">
        <f>IFERROR(__xludf.DUMMYFUNCTION("""COMPUTED_VALUE"""),"UGC11820")</f>
        <v>UGC11820</v>
      </c>
      <c r="B531" s="4">
        <f>IFERROR(__xludf.DUMMYFUNCTION("""COMPUTED_VALUE"""),18.1)</f>
        <v>18.1</v>
      </c>
      <c r="C531" s="4">
        <f>IFERROR(__xludf.DUMMYFUNCTION("""COMPUTED_VALUE"""),0.79)</f>
        <v>0.79</v>
      </c>
      <c r="D531" s="4">
        <f>IFERROR(__xludf.DUMMYFUNCTION("""COMPUTED_VALUE"""),35.8)</f>
        <v>35.8</v>
      </c>
      <c r="E531" s="4">
        <f>IFERROR(__xludf.DUMMYFUNCTION("""COMPUTED_VALUE"""),3.79)</f>
        <v>3.79</v>
      </c>
      <c r="F531" s="4">
        <f>IFERROR(__xludf.DUMMYFUNCTION("""COMPUTED_VALUE"""),2.55)</f>
        <v>2.55</v>
      </c>
      <c r="G531" s="4">
        <f>IFERROR(__xludf.DUMMYFUNCTION("""COMPUTED_VALUE"""),21.35)</f>
        <v>21.35</v>
      </c>
      <c r="H531" s="4">
        <f>IFERROR(__xludf.DUMMYFUNCTION("""COMPUTED_VALUE"""),0.0)</f>
        <v>0</v>
      </c>
      <c r="I531" s="4">
        <f>IFERROR(__xludf.DUMMYFUNCTION("""COMPUTED_VALUE"""),46.68)</f>
        <v>46.68</v>
      </c>
      <c r="J531" s="4">
        <f>IFERROR(__xludf.DUMMYFUNCTION("""COMPUTED_VALUE"""),0.0)</f>
        <v>0</v>
      </c>
      <c r="K531" s="4">
        <f>IFERROR(__xludf.DUMMYFUNCTION("""COMPUTED_VALUE"""),462.32500000000005)</f>
        <v>462.325</v>
      </c>
      <c r="L531" s="4">
        <f>IFERROR(__xludf.DUMMYFUNCTION("""COMPUTED_VALUE"""),2.772162439842102)</f>
        <v>2.77216244</v>
      </c>
    </row>
    <row r="532">
      <c r="A532" s="4" t="str">
        <f>IFERROR(__xludf.DUMMYFUNCTION("""COMPUTED_VALUE"""),"UGC11820")</f>
        <v>UGC11820</v>
      </c>
      <c r="B532" s="4">
        <f>IFERROR(__xludf.DUMMYFUNCTION("""COMPUTED_VALUE"""),18.1)</f>
        <v>18.1</v>
      </c>
      <c r="C532" s="4">
        <f>IFERROR(__xludf.DUMMYFUNCTION("""COMPUTED_VALUE"""),1.01)</f>
        <v>1.01</v>
      </c>
      <c r="D532" s="4">
        <f>IFERROR(__xludf.DUMMYFUNCTION("""COMPUTED_VALUE"""),44.1)</f>
        <v>44.1</v>
      </c>
      <c r="E532" s="4">
        <f>IFERROR(__xludf.DUMMYFUNCTION("""COMPUTED_VALUE"""),7.91)</f>
        <v>7.91</v>
      </c>
      <c r="F532" s="4">
        <f>IFERROR(__xludf.DUMMYFUNCTION("""COMPUTED_VALUE"""),3.22)</f>
        <v>3.22</v>
      </c>
      <c r="G532" s="4">
        <f>IFERROR(__xludf.DUMMYFUNCTION("""COMPUTED_VALUE"""),24.45)</f>
        <v>24.45</v>
      </c>
      <c r="H532" s="4">
        <f>IFERROR(__xludf.DUMMYFUNCTION("""COMPUTED_VALUE"""),0.0)</f>
        <v>0</v>
      </c>
      <c r="I532" s="4">
        <f>IFERROR(__xludf.DUMMYFUNCTION("""COMPUTED_VALUE"""),34.99)</f>
        <v>34.99</v>
      </c>
      <c r="J532" s="4">
        <f>IFERROR(__xludf.DUMMYFUNCTION("""COMPUTED_VALUE"""),0.0)</f>
        <v>0</v>
      </c>
      <c r="K532" s="4">
        <f>IFERROR(__xludf.DUMMYFUNCTION("""COMPUTED_VALUE"""),608.1709)</f>
        <v>608.1709</v>
      </c>
      <c r="L532" s="4">
        <f>IFERROR(__xludf.DUMMYFUNCTION("""COMPUTED_VALUE"""),3.1978018020921426)</f>
        <v>3.197801802</v>
      </c>
    </row>
    <row r="533">
      <c r="A533" s="4" t="str">
        <f>IFERROR(__xludf.DUMMYFUNCTION("""COMPUTED_VALUE"""),"UGC11820")</f>
        <v>UGC11820</v>
      </c>
      <c r="B533" s="4">
        <f>IFERROR(__xludf.DUMMYFUNCTION("""COMPUTED_VALUE"""),18.1)</f>
        <v>18.1</v>
      </c>
      <c r="C533" s="4">
        <f>IFERROR(__xludf.DUMMYFUNCTION("""COMPUTED_VALUE"""),5.26)</f>
        <v>5.26</v>
      </c>
      <c r="D533" s="4">
        <f>IFERROR(__xludf.DUMMYFUNCTION("""COMPUTED_VALUE"""),59.65)</f>
        <v>59.65</v>
      </c>
      <c r="E533" s="4">
        <f>IFERROR(__xludf.DUMMYFUNCTION("""COMPUTED_VALUE"""),0.98)</f>
        <v>0.98</v>
      </c>
      <c r="F533" s="4">
        <f>IFERROR(__xludf.DUMMYFUNCTION("""COMPUTED_VALUE"""),17.11)</f>
        <v>17.11</v>
      </c>
      <c r="G533" s="4">
        <f>IFERROR(__xludf.DUMMYFUNCTION("""COMPUTED_VALUE"""),26.68)</f>
        <v>26.68</v>
      </c>
      <c r="H533" s="4">
        <f>IFERROR(__xludf.DUMMYFUNCTION("""COMPUTED_VALUE"""),0.0)</f>
        <v>0</v>
      </c>
      <c r="I533" s="4">
        <f>IFERROR(__xludf.DUMMYFUNCTION("""COMPUTED_VALUE"""),1.91)</f>
        <v>1.91</v>
      </c>
      <c r="J533" s="4">
        <f>IFERROR(__xludf.DUMMYFUNCTION("""COMPUTED_VALUE"""),0.0)</f>
        <v>0</v>
      </c>
      <c r="K533" s="4">
        <f>IFERROR(__xludf.DUMMYFUNCTION("""COMPUTED_VALUE"""),1004.5745)</f>
        <v>1004.5745</v>
      </c>
      <c r="L533" s="4">
        <f>IFERROR(__xludf.DUMMYFUNCTION("""COMPUTED_VALUE"""),3.54191998701938)</f>
        <v>3.541919987</v>
      </c>
    </row>
    <row r="534">
      <c r="A534" s="4" t="str">
        <f>IFERROR(__xludf.DUMMYFUNCTION("""COMPUTED_VALUE"""),"UGC11820")</f>
        <v>UGC11820</v>
      </c>
      <c r="B534" s="4">
        <f>IFERROR(__xludf.DUMMYFUNCTION("""COMPUTED_VALUE"""),18.1)</f>
        <v>18.1</v>
      </c>
      <c r="C534" s="4">
        <f>IFERROR(__xludf.DUMMYFUNCTION("""COMPUTED_VALUE"""),7.91)</f>
        <v>7.91</v>
      </c>
      <c r="D534" s="4">
        <f>IFERROR(__xludf.DUMMYFUNCTION("""COMPUTED_VALUE"""),69.15)</f>
        <v>69.15</v>
      </c>
      <c r="E534" s="4">
        <f>IFERROR(__xludf.DUMMYFUNCTION("""COMPUTED_VALUE"""),1.23)</f>
        <v>1.23</v>
      </c>
      <c r="F534" s="4">
        <f>IFERROR(__xludf.DUMMYFUNCTION("""COMPUTED_VALUE"""),28.49)</f>
        <v>28.49</v>
      </c>
      <c r="G534" s="4">
        <f>IFERROR(__xludf.DUMMYFUNCTION("""COMPUTED_VALUE"""),24.35)</f>
        <v>24.35</v>
      </c>
      <c r="H534" s="4">
        <f>IFERROR(__xludf.DUMMYFUNCTION("""COMPUTED_VALUE"""),0.0)</f>
        <v>0</v>
      </c>
      <c r="I534" s="4">
        <f>IFERROR(__xludf.DUMMYFUNCTION("""COMPUTED_VALUE"""),0.98)</f>
        <v>0.98</v>
      </c>
      <c r="J534" s="4">
        <f>IFERROR(__xludf.DUMMYFUNCTION("""COMPUTED_VALUE"""),0.0)</f>
        <v>0</v>
      </c>
      <c r="K534" s="4">
        <f>IFERROR(__xludf.DUMMYFUNCTION("""COMPUTED_VALUE"""),1404.6026)</f>
        <v>1404.6026</v>
      </c>
      <c r="L534" s="4">
        <f>IFERROR(__xludf.DUMMYFUNCTION("""COMPUTED_VALUE"""),3.404324112741925)</f>
        <v>3.404324113</v>
      </c>
    </row>
    <row r="535">
      <c r="A535" s="4" t="str">
        <f>IFERROR(__xludf.DUMMYFUNCTION("""COMPUTED_VALUE"""),"UGC11820")</f>
        <v>UGC11820</v>
      </c>
      <c r="B535" s="4">
        <f>IFERROR(__xludf.DUMMYFUNCTION("""COMPUTED_VALUE"""),18.1)</f>
        <v>18.1</v>
      </c>
      <c r="C535" s="4">
        <f>IFERROR(__xludf.DUMMYFUNCTION("""COMPUTED_VALUE"""),10.52)</f>
        <v>10.52</v>
      </c>
      <c r="D535" s="4">
        <f>IFERROR(__xludf.DUMMYFUNCTION("""COMPUTED_VALUE"""),76.95)</f>
        <v>76.95</v>
      </c>
      <c r="E535" s="4">
        <f>IFERROR(__xludf.DUMMYFUNCTION("""COMPUTED_VALUE"""),0.54)</f>
        <v>0.54</v>
      </c>
      <c r="F535" s="4">
        <f>IFERROR(__xludf.DUMMYFUNCTION("""COMPUTED_VALUE"""),35.7)</f>
        <v>35.7</v>
      </c>
      <c r="G535" s="4">
        <f>IFERROR(__xludf.DUMMYFUNCTION("""COMPUTED_VALUE"""),21.4)</f>
        <v>21.4</v>
      </c>
      <c r="H535" s="4">
        <f>IFERROR(__xludf.DUMMYFUNCTION("""COMPUTED_VALUE"""),0.0)</f>
        <v>0</v>
      </c>
      <c r="I535" s="4">
        <f>IFERROR(__xludf.DUMMYFUNCTION("""COMPUTED_VALUE"""),0.18)</f>
        <v>0.18</v>
      </c>
      <c r="J535" s="4">
        <f>IFERROR(__xludf.DUMMYFUNCTION("""COMPUTED_VALUE"""),0.0)</f>
        <v>0</v>
      </c>
      <c r="K535" s="4">
        <f>IFERROR(__xludf.DUMMYFUNCTION("""COMPUTED_VALUE"""),1732.4500000000003)</f>
        <v>1732.45</v>
      </c>
      <c r="L535" s="4">
        <f>IFERROR(__xludf.DUMMYFUNCTION("""COMPUTED_VALUE"""),3.4178778608329243)</f>
        <v>3.417877861</v>
      </c>
    </row>
    <row r="536">
      <c r="A536" s="4" t="str">
        <f>IFERROR(__xludf.DUMMYFUNCTION("""COMPUTED_VALUE"""),"UGC11820")</f>
        <v>UGC11820</v>
      </c>
      <c r="B536" s="4">
        <f>IFERROR(__xludf.DUMMYFUNCTION("""COMPUTED_VALUE"""),18.1)</f>
        <v>18.1</v>
      </c>
      <c r="C536" s="4">
        <f>IFERROR(__xludf.DUMMYFUNCTION("""COMPUTED_VALUE"""),13.14)</f>
        <v>13.14</v>
      </c>
      <c r="D536" s="4">
        <f>IFERROR(__xludf.DUMMYFUNCTION("""COMPUTED_VALUE"""),81.25)</f>
        <v>81.25</v>
      </c>
      <c r="E536" s="4">
        <f>IFERROR(__xludf.DUMMYFUNCTION("""COMPUTED_VALUE"""),0.73)</f>
        <v>0.73</v>
      </c>
      <c r="F536" s="4">
        <f>IFERROR(__xludf.DUMMYFUNCTION("""COMPUTED_VALUE"""),35.45)</f>
        <v>35.45</v>
      </c>
      <c r="G536" s="4">
        <f>IFERROR(__xludf.DUMMYFUNCTION("""COMPUTED_VALUE"""),18.93)</f>
        <v>18.93</v>
      </c>
      <c r="H536" s="4">
        <f>IFERROR(__xludf.DUMMYFUNCTION("""COMPUTED_VALUE"""),0.0)</f>
        <v>0</v>
      </c>
      <c r="I536" s="4">
        <f>IFERROR(__xludf.DUMMYFUNCTION("""COMPUTED_VALUE"""),0.05)</f>
        <v>0.05</v>
      </c>
      <c r="J536" s="4">
        <f>IFERROR(__xludf.DUMMYFUNCTION("""COMPUTED_VALUE"""),0.0)</f>
        <v>0</v>
      </c>
      <c r="K536" s="4">
        <f>IFERROR(__xludf.DUMMYFUNCTION("""COMPUTED_VALUE"""),1615.0474000000002)</f>
        <v>1615.0474</v>
      </c>
      <c r="L536" s="4">
        <f>IFERROR(__xludf.DUMMYFUNCTION("""COMPUTED_VALUE"""),4.087534830247087)</f>
        <v>4.08753483</v>
      </c>
    </row>
    <row r="537">
      <c r="A537" s="5" t="str">
        <f>IFERROR(__xludf.DUMMYFUNCTION("""COMPUTED_VALUE"""),"UGC11820")</f>
        <v>UGC11820</v>
      </c>
      <c r="B537" s="5">
        <f>IFERROR(__xludf.DUMMYFUNCTION("""COMPUTED_VALUE"""),18.1)</f>
        <v>18.1</v>
      </c>
      <c r="C537" s="5">
        <f>IFERROR(__xludf.DUMMYFUNCTION("""COMPUTED_VALUE"""),15.82)</f>
        <v>15.82</v>
      </c>
      <c r="D537" s="5">
        <f>IFERROR(__xludf.DUMMYFUNCTION("""COMPUTED_VALUE"""),84.45)</f>
        <v>84.45</v>
      </c>
      <c r="E537" s="5">
        <f>IFERROR(__xludf.DUMMYFUNCTION("""COMPUTED_VALUE"""),1.31)</f>
        <v>1.31</v>
      </c>
      <c r="F537" s="5">
        <f>IFERROR(__xludf.DUMMYFUNCTION("""COMPUTED_VALUE"""),35.37)</f>
        <v>35.37</v>
      </c>
      <c r="G537" s="5">
        <f>IFERROR(__xludf.DUMMYFUNCTION("""COMPUTED_VALUE"""),17.02)</f>
        <v>17.02</v>
      </c>
      <c r="H537" s="5">
        <f>IFERROR(__xludf.DUMMYFUNCTION("""COMPUTED_VALUE"""),0.0)</f>
        <v>0</v>
      </c>
      <c r="I537" s="5">
        <f>IFERROR(__xludf.DUMMYFUNCTION("""COMPUTED_VALUE"""),0.0)</f>
        <v>0</v>
      </c>
      <c r="J537" s="5">
        <f>IFERROR(__xludf.DUMMYFUNCTION("""COMPUTED_VALUE"""),0.0)</f>
        <v>0</v>
      </c>
      <c r="K537" s="5">
        <f>IFERROR(__xludf.DUMMYFUNCTION("""COMPUTED_VALUE"""),1540.7172999999998)</f>
        <v>1540.7173</v>
      </c>
      <c r="L537" s="5">
        <f>IFERROR(__xludf.DUMMYFUNCTION("""COMPUTED_VALUE"""),4.62888454617859)</f>
        <v>4.628884546</v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4" t="str">
        <f>IFERROR(__xludf.DUMMYFUNCTION("""COMPUTED_VALUE"""),"UGCA281")</f>
        <v>UGCA281</v>
      </c>
      <c r="B538" s="4">
        <f>IFERROR(__xludf.DUMMYFUNCTION("""COMPUTED_VALUE"""),5.68)</f>
        <v>5.68</v>
      </c>
      <c r="C538" s="4">
        <f>IFERROR(__xludf.DUMMYFUNCTION("""COMPUTED_VALUE"""),0.09)</f>
        <v>0.09</v>
      </c>
      <c r="D538" s="4">
        <f>IFERROR(__xludf.DUMMYFUNCTION("""COMPUTED_VALUE"""),7.0)</f>
        <v>7</v>
      </c>
      <c r="E538" s="4">
        <f>IFERROR(__xludf.DUMMYFUNCTION("""COMPUTED_VALUE"""),2.49)</f>
        <v>2.49</v>
      </c>
      <c r="F538" s="4">
        <f>IFERROR(__xludf.DUMMYFUNCTION("""COMPUTED_VALUE"""),1.74)</f>
        <v>1.74</v>
      </c>
      <c r="G538" s="4">
        <f>IFERROR(__xludf.DUMMYFUNCTION("""COMPUTED_VALUE"""),3.78)</f>
        <v>3.78</v>
      </c>
      <c r="H538" s="4">
        <f>IFERROR(__xludf.DUMMYFUNCTION("""COMPUTED_VALUE"""),0.0)</f>
        <v>0</v>
      </c>
      <c r="I538" s="4">
        <f>IFERROR(__xludf.DUMMYFUNCTION("""COMPUTED_VALUE"""),85.81)</f>
        <v>85.81</v>
      </c>
      <c r="J538" s="4">
        <f>IFERROR(__xludf.DUMMYFUNCTION("""COMPUTED_VALUE"""),0.0)</f>
        <v>0</v>
      </c>
      <c r="K538" s="4">
        <f>IFERROR(__xludf.DUMMYFUNCTION("""COMPUTED_VALUE"""),17.316)</f>
        <v>17.316</v>
      </c>
      <c r="L538" s="4">
        <f>IFERROR(__xludf.DUMMYFUNCTION("""COMPUTED_VALUE"""),2.82975282975283)</f>
        <v>2.82975283</v>
      </c>
    </row>
    <row r="539">
      <c r="A539" s="4" t="str">
        <f>IFERROR(__xludf.DUMMYFUNCTION("""COMPUTED_VALUE"""),"UGCA281")</f>
        <v>UGCA281</v>
      </c>
      <c r="B539" s="4">
        <f>IFERROR(__xludf.DUMMYFUNCTION("""COMPUTED_VALUE"""),5.68)</f>
        <v>5.68</v>
      </c>
      <c r="C539" s="4">
        <f>IFERROR(__xludf.DUMMYFUNCTION("""COMPUTED_VALUE"""),0.25)</f>
        <v>0.25</v>
      </c>
      <c r="D539" s="4">
        <f>IFERROR(__xludf.DUMMYFUNCTION("""COMPUTED_VALUE"""),14.9)</f>
        <v>14.9</v>
      </c>
      <c r="E539" s="4">
        <f>IFERROR(__xludf.DUMMYFUNCTION("""COMPUTED_VALUE"""),1.35)</f>
        <v>1.35</v>
      </c>
      <c r="F539" s="4">
        <f>IFERROR(__xludf.DUMMYFUNCTION("""COMPUTED_VALUE"""),4.38)</f>
        <v>4.38</v>
      </c>
      <c r="G539" s="4">
        <f>IFERROR(__xludf.DUMMYFUNCTION("""COMPUTED_VALUE"""),11.32)</f>
        <v>11.32</v>
      </c>
      <c r="H539" s="4">
        <f>IFERROR(__xludf.DUMMYFUNCTION("""COMPUTED_VALUE"""),0.0)</f>
        <v>0</v>
      </c>
      <c r="I539" s="4">
        <f>IFERROR(__xludf.DUMMYFUNCTION("""COMPUTED_VALUE"""),82.32)</f>
        <v>82.32</v>
      </c>
      <c r="J539" s="4">
        <f>IFERROR(__xludf.DUMMYFUNCTION("""COMPUTED_VALUE"""),0.0)</f>
        <v>0</v>
      </c>
      <c r="K539" s="4">
        <f>IFERROR(__xludf.DUMMYFUNCTION("""COMPUTED_VALUE"""),147.32680000000002)</f>
        <v>147.3268</v>
      </c>
      <c r="L539" s="4">
        <f>IFERROR(__xludf.DUMMYFUNCTION("""COMPUTED_VALUE"""),1.5069220264066008)</f>
        <v>1.506922026</v>
      </c>
    </row>
    <row r="540">
      <c r="A540" s="4" t="str">
        <f>IFERROR(__xludf.DUMMYFUNCTION("""COMPUTED_VALUE"""),"UGCA281")</f>
        <v>UGCA281</v>
      </c>
      <c r="B540" s="4">
        <f>IFERROR(__xludf.DUMMYFUNCTION("""COMPUTED_VALUE"""),5.68)</f>
        <v>5.68</v>
      </c>
      <c r="C540" s="4">
        <f>IFERROR(__xludf.DUMMYFUNCTION("""COMPUTED_VALUE"""),0.41)</f>
        <v>0.41</v>
      </c>
      <c r="D540" s="4">
        <f>IFERROR(__xludf.DUMMYFUNCTION("""COMPUTED_VALUE"""),21.1)</f>
        <v>21.1</v>
      </c>
      <c r="E540" s="4">
        <f>IFERROR(__xludf.DUMMYFUNCTION("""COMPUTED_VALUE"""),1.37)</f>
        <v>1.37</v>
      </c>
      <c r="F540" s="4">
        <f>IFERROR(__xludf.DUMMYFUNCTION("""COMPUTED_VALUE"""),6.41)</f>
        <v>6.41</v>
      </c>
      <c r="G540" s="4">
        <f>IFERROR(__xludf.DUMMYFUNCTION("""COMPUTED_VALUE"""),15.94)</f>
        <v>15.94</v>
      </c>
      <c r="H540" s="4">
        <f>IFERROR(__xludf.DUMMYFUNCTION("""COMPUTED_VALUE"""),0.0)</f>
        <v>0</v>
      </c>
      <c r="I540" s="4">
        <f>IFERROR(__xludf.DUMMYFUNCTION("""COMPUTED_VALUE"""),43.75)</f>
        <v>43.75</v>
      </c>
      <c r="J540" s="4">
        <f>IFERROR(__xludf.DUMMYFUNCTION("""COMPUTED_VALUE"""),0.0)</f>
        <v>0</v>
      </c>
      <c r="K540" s="4">
        <f>IFERROR(__xludf.DUMMYFUNCTION("""COMPUTED_VALUE"""),295.1717)</f>
        <v>295.1717</v>
      </c>
      <c r="L540" s="4">
        <f>IFERROR(__xludf.DUMMYFUNCTION("""COMPUTED_VALUE"""),1.508308553970452)</f>
        <v>1.508308554</v>
      </c>
    </row>
    <row r="541">
      <c r="A541" s="4" t="str">
        <f>IFERROR(__xludf.DUMMYFUNCTION("""COMPUTED_VALUE"""),"UGCA281")</f>
        <v>UGCA281</v>
      </c>
      <c r="B541" s="4">
        <f>IFERROR(__xludf.DUMMYFUNCTION("""COMPUTED_VALUE"""),5.68)</f>
        <v>5.68</v>
      </c>
      <c r="C541" s="4">
        <f>IFERROR(__xludf.DUMMYFUNCTION("""COMPUTED_VALUE"""),0.58)</f>
        <v>0.58</v>
      </c>
      <c r="D541" s="4">
        <f>IFERROR(__xludf.DUMMYFUNCTION("""COMPUTED_VALUE"""),26.0)</f>
        <v>26</v>
      </c>
      <c r="E541" s="4">
        <f>IFERROR(__xludf.DUMMYFUNCTION("""COMPUTED_VALUE"""),1.24)</f>
        <v>1.24</v>
      </c>
      <c r="F541" s="4">
        <f>IFERROR(__xludf.DUMMYFUNCTION("""COMPUTED_VALUE"""),7.97)</f>
        <v>7.97</v>
      </c>
      <c r="G541" s="4">
        <f>IFERROR(__xludf.DUMMYFUNCTION("""COMPUTED_VALUE"""),17.47)</f>
        <v>17.47</v>
      </c>
      <c r="H541" s="4">
        <f>IFERROR(__xludf.DUMMYFUNCTION("""COMPUTED_VALUE"""),0.0)</f>
        <v>0</v>
      </c>
      <c r="I541" s="4">
        <f>IFERROR(__xludf.DUMMYFUNCTION("""COMPUTED_VALUE"""),20.85)</f>
        <v>20.85</v>
      </c>
      <c r="J541" s="4">
        <f>IFERROR(__xludf.DUMMYFUNCTION("""COMPUTED_VALUE"""),0.0)</f>
        <v>0</v>
      </c>
      <c r="K541" s="4">
        <f>IFERROR(__xludf.DUMMYFUNCTION("""COMPUTED_VALUE"""),368.7217999999999)</f>
        <v>368.7218</v>
      </c>
      <c r="L541" s="4">
        <f>IFERROR(__xludf.DUMMYFUNCTION("""COMPUTED_VALUE"""),1.8333605444538408)</f>
        <v>1.833360544</v>
      </c>
    </row>
    <row r="542">
      <c r="A542" s="4" t="str">
        <f>IFERROR(__xludf.DUMMYFUNCTION("""COMPUTED_VALUE"""),"UGCA281")</f>
        <v>UGCA281</v>
      </c>
      <c r="B542" s="4">
        <f>IFERROR(__xludf.DUMMYFUNCTION("""COMPUTED_VALUE"""),5.68)</f>
        <v>5.68</v>
      </c>
      <c r="C542" s="4">
        <f>IFERROR(__xludf.DUMMYFUNCTION("""COMPUTED_VALUE"""),0.74)</f>
        <v>0.74</v>
      </c>
      <c r="D542" s="4">
        <f>IFERROR(__xludf.DUMMYFUNCTION("""COMPUTED_VALUE"""),27.5)</f>
        <v>27.5</v>
      </c>
      <c r="E542" s="4">
        <f>IFERROR(__xludf.DUMMYFUNCTION("""COMPUTED_VALUE"""),1.59)</f>
        <v>1.59</v>
      </c>
      <c r="F542" s="4">
        <f>IFERROR(__xludf.DUMMYFUNCTION("""COMPUTED_VALUE"""),9.12)</f>
        <v>9.12</v>
      </c>
      <c r="G542" s="4">
        <f>IFERROR(__xludf.DUMMYFUNCTION("""COMPUTED_VALUE"""),17.72)</f>
        <v>17.72</v>
      </c>
      <c r="H542" s="4">
        <f>IFERROR(__xludf.DUMMYFUNCTION("""COMPUTED_VALUE"""),0.0)</f>
        <v>0</v>
      </c>
      <c r="I542" s="4">
        <f>IFERROR(__xludf.DUMMYFUNCTION("""COMPUTED_VALUE"""),11.43)</f>
        <v>11.43</v>
      </c>
      <c r="J542" s="4">
        <f>IFERROR(__xludf.DUMMYFUNCTION("""COMPUTED_VALUE"""),0.0)</f>
        <v>0</v>
      </c>
      <c r="K542" s="4">
        <f>IFERROR(__xludf.DUMMYFUNCTION("""COMPUTED_VALUE"""),397.17279999999994)</f>
        <v>397.1728</v>
      </c>
      <c r="L542" s="4">
        <f>IFERROR(__xludf.DUMMYFUNCTION("""COMPUTED_VALUE"""),1.9040830590614466)</f>
        <v>1.904083059</v>
      </c>
    </row>
    <row r="543">
      <c r="A543" s="4" t="str">
        <f>IFERROR(__xludf.DUMMYFUNCTION("""COMPUTED_VALUE"""),"UGCA281")</f>
        <v>UGCA281</v>
      </c>
      <c r="B543" s="4">
        <f>IFERROR(__xludf.DUMMYFUNCTION("""COMPUTED_VALUE"""),5.68)</f>
        <v>5.68</v>
      </c>
      <c r="C543" s="4">
        <f>IFERROR(__xludf.DUMMYFUNCTION("""COMPUTED_VALUE"""),0.9)</f>
        <v>0.9</v>
      </c>
      <c r="D543" s="4">
        <f>IFERROR(__xludf.DUMMYFUNCTION("""COMPUTED_VALUE"""),28.8)</f>
        <v>28.8</v>
      </c>
      <c r="E543" s="4">
        <f>IFERROR(__xludf.DUMMYFUNCTION("""COMPUTED_VALUE"""),2.57)</f>
        <v>2.57</v>
      </c>
      <c r="F543" s="4">
        <f>IFERROR(__xludf.DUMMYFUNCTION("""COMPUTED_VALUE"""),9.81)</f>
        <v>9.81</v>
      </c>
      <c r="G543" s="4">
        <f>IFERROR(__xludf.DUMMYFUNCTION("""COMPUTED_VALUE"""),17.18)</f>
        <v>17.18</v>
      </c>
      <c r="H543" s="4">
        <f>IFERROR(__xludf.DUMMYFUNCTION("""COMPUTED_VALUE"""),0.0)</f>
        <v>0</v>
      </c>
      <c r="I543" s="4">
        <f>IFERROR(__xludf.DUMMYFUNCTION("""COMPUTED_VALUE"""),7.49)</f>
        <v>7.49</v>
      </c>
      <c r="J543" s="4">
        <f>IFERROR(__xludf.DUMMYFUNCTION("""COMPUTED_VALUE"""),0.0)</f>
        <v>0</v>
      </c>
      <c r="K543" s="4">
        <f>IFERROR(__xludf.DUMMYFUNCTION("""COMPUTED_VALUE"""),391.3885)</f>
        <v>391.3885</v>
      </c>
      <c r="L543" s="4">
        <f>IFERROR(__xludf.DUMMYFUNCTION("""COMPUTED_VALUE"""),2.1192242490517734)</f>
        <v>2.119224249</v>
      </c>
    </row>
    <row r="544">
      <c r="A544" s="5" t="str">
        <f>IFERROR(__xludf.DUMMYFUNCTION("""COMPUTED_VALUE"""),"UGCA281")</f>
        <v>UGCA281</v>
      </c>
      <c r="B544" s="5">
        <f>IFERROR(__xludf.DUMMYFUNCTION("""COMPUTED_VALUE"""),5.68)</f>
        <v>5.68</v>
      </c>
      <c r="C544" s="5">
        <f>IFERROR(__xludf.DUMMYFUNCTION("""COMPUTED_VALUE"""),1.08)</f>
        <v>1.08</v>
      </c>
      <c r="D544" s="5">
        <f>IFERROR(__xludf.DUMMYFUNCTION("""COMPUTED_VALUE"""),29.5)</f>
        <v>29.5</v>
      </c>
      <c r="E544" s="5">
        <f>IFERROR(__xludf.DUMMYFUNCTION("""COMPUTED_VALUE"""),1.85)</f>
        <v>1.85</v>
      </c>
      <c r="F544" s="5">
        <f>IFERROR(__xludf.DUMMYFUNCTION("""COMPUTED_VALUE"""),10.01)</f>
        <v>10.01</v>
      </c>
      <c r="G544" s="5">
        <f>IFERROR(__xludf.DUMMYFUNCTION("""COMPUTED_VALUE"""),16.66)</f>
        <v>16.66</v>
      </c>
      <c r="H544" s="5">
        <f>IFERROR(__xludf.DUMMYFUNCTION("""COMPUTED_VALUE"""),0.0)</f>
        <v>0</v>
      </c>
      <c r="I544" s="5">
        <f>IFERROR(__xludf.DUMMYFUNCTION("""COMPUTED_VALUE"""),5.51)</f>
        <v>5.51</v>
      </c>
      <c r="J544" s="5">
        <f>IFERROR(__xludf.DUMMYFUNCTION("""COMPUTED_VALUE"""),0.0)</f>
        <v>0</v>
      </c>
      <c r="K544" s="5">
        <f>IFERROR(__xludf.DUMMYFUNCTION("""COMPUTED_VALUE"""),377.75570000000005)</f>
        <v>377.7557</v>
      </c>
      <c r="L544" s="5">
        <f>IFERROR(__xludf.DUMMYFUNCTION("""COMPUTED_VALUE"""),2.3037375743105923)</f>
        <v>2.303737574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4" t="str">
        <f>IFERROR(__xludf.DUMMYFUNCTION("""COMPUTED_VALUE"""),"UGCA442")</f>
        <v>UGCA442</v>
      </c>
      <c r="B545" s="4">
        <f>IFERROR(__xludf.DUMMYFUNCTION("""COMPUTED_VALUE"""),4.35)</f>
        <v>4.35</v>
      </c>
      <c r="C545" s="4">
        <f>IFERROR(__xludf.DUMMYFUNCTION("""COMPUTED_VALUE"""),0.42)</f>
        <v>0.42</v>
      </c>
      <c r="D545" s="4">
        <f>IFERROR(__xludf.DUMMYFUNCTION("""COMPUTED_VALUE"""),14.2)</f>
        <v>14.2</v>
      </c>
      <c r="E545" s="4">
        <f>IFERROR(__xludf.DUMMYFUNCTION("""COMPUTED_VALUE"""),1.91)</f>
        <v>1.91</v>
      </c>
      <c r="F545" s="4">
        <f>IFERROR(__xludf.DUMMYFUNCTION("""COMPUTED_VALUE"""),4.87)</f>
        <v>4.87</v>
      </c>
      <c r="G545" s="4">
        <f>IFERROR(__xludf.DUMMYFUNCTION("""COMPUTED_VALUE"""),4.78)</f>
        <v>4.78</v>
      </c>
      <c r="H545" s="4">
        <f>IFERROR(__xludf.DUMMYFUNCTION("""COMPUTED_VALUE"""),0.0)</f>
        <v>0</v>
      </c>
      <c r="I545" s="4">
        <f>IFERROR(__xludf.DUMMYFUNCTION("""COMPUTED_VALUE"""),11.05)</f>
        <v>11.05</v>
      </c>
      <c r="J545" s="4">
        <f>IFERROR(__xludf.DUMMYFUNCTION("""COMPUTED_VALUE"""),0.0)</f>
        <v>0</v>
      </c>
      <c r="K545" s="4">
        <f>IFERROR(__xludf.DUMMYFUNCTION("""COMPUTED_VALUE"""),46.56530000000001)</f>
        <v>46.5653</v>
      </c>
      <c r="L545" s="4">
        <f>IFERROR(__xludf.DUMMYFUNCTION("""COMPUTED_VALUE"""),4.330263092903943)</f>
        <v>4.330263093</v>
      </c>
    </row>
    <row r="546">
      <c r="A546" s="4" t="str">
        <f>IFERROR(__xludf.DUMMYFUNCTION("""COMPUTED_VALUE"""),"UGCA442")</f>
        <v>UGCA442</v>
      </c>
      <c r="B546" s="4">
        <f>IFERROR(__xludf.DUMMYFUNCTION("""COMPUTED_VALUE"""),4.35)</f>
        <v>4.35</v>
      </c>
      <c r="C546" s="4">
        <f>IFERROR(__xludf.DUMMYFUNCTION("""COMPUTED_VALUE"""),1.26)</f>
        <v>1.26</v>
      </c>
      <c r="D546" s="4">
        <f>IFERROR(__xludf.DUMMYFUNCTION("""COMPUTED_VALUE"""),28.6)</f>
        <v>28.6</v>
      </c>
      <c r="E546" s="4">
        <f>IFERROR(__xludf.DUMMYFUNCTION("""COMPUTED_VALUE"""),1.82)</f>
        <v>1.82</v>
      </c>
      <c r="F546" s="4">
        <f>IFERROR(__xludf.DUMMYFUNCTION("""COMPUTED_VALUE"""),13.14)</f>
        <v>13.14</v>
      </c>
      <c r="G546" s="4">
        <f>IFERROR(__xludf.DUMMYFUNCTION("""COMPUTED_VALUE"""),10.76)</f>
        <v>10.76</v>
      </c>
      <c r="H546" s="4">
        <f>IFERROR(__xludf.DUMMYFUNCTION("""COMPUTED_VALUE"""),0.0)</f>
        <v>0</v>
      </c>
      <c r="I546" s="4">
        <f>IFERROR(__xludf.DUMMYFUNCTION("""COMPUTED_VALUE"""),5.81)</f>
        <v>5.81</v>
      </c>
      <c r="J546" s="4">
        <f>IFERROR(__xludf.DUMMYFUNCTION("""COMPUTED_VALUE"""),0.0)</f>
        <v>0</v>
      </c>
      <c r="K546" s="4">
        <f>IFERROR(__xludf.DUMMYFUNCTION("""COMPUTED_VALUE"""),288.4372)</f>
        <v>288.4372</v>
      </c>
      <c r="L546" s="4">
        <f>IFERROR(__xludf.DUMMYFUNCTION("""COMPUTED_VALUE"""),2.8358339354285786)</f>
        <v>2.835833935</v>
      </c>
    </row>
    <row r="547">
      <c r="A547" s="4" t="str">
        <f>IFERROR(__xludf.DUMMYFUNCTION("""COMPUTED_VALUE"""),"UGCA442")</f>
        <v>UGCA442</v>
      </c>
      <c r="B547" s="4">
        <f>IFERROR(__xludf.DUMMYFUNCTION("""COMPUTED_VALUE"""),4.35)</f>
        <v>4.35</v>
      </c>
      <c r="C547" s="4">
        <f>IFERROR(__xludf.DUMMYFUNCTION("""COMPUTED_VALUE"""),2.11)</f>
        <v>2.11</v>
      </c>
      <c r="D547" s="4">
        <f>IFERROR(__xludf.DUMMYFUNCTION("""COMPUTED_VALUE"""),41.0)</f>
        <v>41</v>
      </c>
      <c r="E547" s="4">
        <f>IFERROR(__xludf.DUMMYFUNCTION("""COMPUTED_VALUE"""),1.74)</f>
        <v>1.74</v>
      </c>
      <c r="F547" s="4">
        <f>IFERROR(__xludf.DUMMYFUNCTION("""COMPUTED_VALUE"""),19.65)</f>
        <v>19.65</v>
      </c>
      <c r="G547" s="4">
        <f>IFERROR(__xludf.DUMMYFUNCTION("""COMPUTED_VALUE"""),13.6)</f>
        <v>13.6</v>
      </c>
      <c r="H547" s="4">
        <f>IFERROR(__xludf.DUMMYFUNCTION("""COMPUTED_VALUE"""),0.0)</f>
        <v>0</v>
      </c>
      <c r="I547" s="4">
        <f>IFERROR(__xludf.DUMMYFUNCTION("""COMPUTED_VALUE"""),2.75)</f>
        <v>2.75</v>
      </c>
      <c r="J547" s="4">
        <f>IFERROR(__xludf.DUMMYFUNCTION("""COMPUTED_VALUE"""),0.0)</f>
        <v>0</v>
      </c>
      <c r="K547" s="4">
        <f>IFERROR(__xludf.DUMMYFUNCTION("""COMPUTED_VALUE"""),571.0825)</f>
        <v>571.0825</v>
      </c>
      <c r="L547" s="4">
        <f>IFERROR(__xludf.DUMMYFUNCTION("""COMPUTED_VALUE"""),2.9435326769774948)</f>
        <v>2.943532677</v>
      </c>
    </row>
    <row r="548">
      <c r="A548" s="4" t="str">
        <f>IFERROR(__xludf.DUMMYFUNCTION("""COMPUTED_VALUE"""),"UGCA442")</f>
        <v>UGCA442</v>
      </c>
      <c r="B548" s="4">
        <f>IFERROR(__xludf.DUMMYFUNCTION("""COMPUTED_VALUE"""),4.35)</f>
        <v>4.35</v>
      </c>
      <c r="C548" s="4">
        <f>IFERROR(__xludf.DUMMYFUNCTION("""COMPUTED_VALUE"""),2.96)</f>
        <v>2.96</v>
      </c>
      <c r="D548" s="4">
        <f>IFERROR(__xludf.DUMMYFUNCTION("""COMPUTED_VALUE"""),49.0)</f>
        <v>49</v>
      </c>
      <c r="E548" s="4">
        <f>IFERROR(__xludf.DUMMYFUNCTION("""COMPUTED_VALUE"""),1.91)</f>
        <v>1.91</v>
      </c>
      <c r="F548" s="4">
        <f>IFERROR(__xludf.DUMMYFUNCTION("""COMPUTED_VALUE"""),22.42)</f>
        <v>22.42</v>
      </c>
      <c r="G548" s="4">
        <f>IFERROR(__xludf.DUMMYFUNCTION("""COMPUTED_VALUE"""),13.29)</f>
        <v>13.29</v>
      </c>
      <c r="H548" s="4">
        <f>IFERROR(__xludf.DUMMYFUNCTION("""COMPUTED_VALUE"""),0.0)</f>
        <v>0</v>
      </c>
      <c r="I548" s="4">
        <f>IFERROR(__xludf.DUMMYFUNCTION("""COMPUTED_VALUE"""),1.0)</f>
        <v>1</v>
      </c>
      <c r="J548" s="4">
        <f>IFERROR(__xludf.DUMMYFUNCTION("""COMPUTED_VALUE"""),0.0)</f>
        <v>0</v>
      </c>
      <c r="K548" s="4">
        <f>IFERROR(__xludf.DUMMYFUNCTION("""COMPUTED_VALUE"""),679.2805000000001)</f>
        <v>679.2805</v>
      </c>
      <c r="L548" s="4">
        <f>IFERROR(__xludf.DUMMYFUNCTION("""COMPUTED_VALUE"""),3.534622295207944)</f>
        <v>3.534622295</v>
      </c>
    </row>
    <row r="549">
      <c r="A549" s="4" t="str">
        <f>IFERROR(__xludf.DUMMYFUNCTION("""COMPUTED_VALUE"""),"UGCA442")</f>
        <v>UGCA442</v>
      </c>
      <c r="B549" s="4">
        <f>IFERROR(__xludf.DUMMYFUNCTION("""COMPUTED_VALUE"""),4.35)</f>
        <v>4.35</v>
      </c>
      <c r="C549" s="4">
        <f>IFERROR(__xludf.DUMMYFUNCTION("""COMPUTED_VALUE"""),3.79)</f>
        <v>3.79</v>
      </c>
      <c r="D549" s="4">
        <f>IFERROR(__xludf.DUMMYFUNCTION("""COMPUTED_VALUE"""),54.8)</f>
        <v>54.8</v>
      </c>
      <c r="E549" s="4">
        <f>IFERROR(__xludf.DUMMYFUNCTION("""COMPUTED_VALUE"""),2.05)</f>
        <v>2.05</v>
      </c>
      <c r="F549" s="4">
        <f>IFERROR(__xludf.DUMMYFUNCTION("""COMPUTED_VALUE"""),22.82)</f>
        <v>22.82</v>
      </c>
      <c r="G549" s="4">
        <f>IFERROR(__xludf.DUMMYFUNCTION("""COMPUTED_VALUE"""),12.56)</f>
        <v>12.56</v>
      </c>
      <c r="H549" s="4">
        <f>IFERROR(__xludf.DUMMYFUNCTION("""COMPUTED_VALUE"""),0.0)</f>
        <v>0</v>
      </c>
      <c r="I549" s="4">
        <f>IFERROR(__xludf.DUMMYFUNCTION("""COMPUTED_VALUE"""),0.72)</f>
        <v>0.72</v>
      </c>
      <c r="J549" s="4">
        <f>IFERROR(__xludf.DUMMYFUNCTION("""COMPUTED_VALUE"""),0.0)</f>
        <v>0</v>
      </c>
      <c r="K549" s="4">
        <f>IFERROR(__xludf.DUMMYFUNCTION("""COMPUTED_VALUE"""),678.506)</f>
        <v>678.506</v>
      </c>
      <c r="L549" s="4">
        <f>IFERROR(__xludf.DUMMYFUNCTION("""COMPUTED_VALUE"""),4.425959387241969)</f>
        <v>4.425959387</v>
      </c>
    </row>
    <row r="550">
      <c r="A550" s="4" t="str">
        <f>IFERROR(__xludf.DUMMYFUNCTION("""COMPUTED_VALUE"""),"UGCA442")</f>
        <v>UGCA442</v>
      </c>
      <c r="B550" s="4">
        <f>IFERROR(__xludf.DUMMYFUNCTION("""COMPUTED_VALUE"""),4.35)</f>
        <v>4.35</v>
      </c>
      <c r="C550" s="4">
        <f>IFERROR(__xludf.DUMMYFUNCTION("""COMPUTED_VALUE"""),4.65)</f>
        <v>4.65</v>
      </c>
      <c r="D550" s="4">
        <f>IFERROR(__xludf.DUMMYFUNCTION("""COMPUTED_VALUE"""),56.4)</f>
        <v>56.4</v>
      </c>
      <c r="E550" s="4">
        <f>IFERROR(__xludf.DUMMYFUNCTION("""COMPUTED_VALUE"""),3.12)</f>
        <v>3.12</v>
      </c>
      <c r="F550" s="4">
        <f>IFERROR(__xludf.DUMMYFUNCTION("""COMPUTED_VALUE"""),21.37)</f>
        <v>21.37</v>
      </c>
      <c r="G550" s="4">
        <f>IFERROR(__xludf.DUMMYFUNCTION("""COMPUTED_VALUE"""),12.33)</f>
        <v>12.33</v>
      </c>
      <c r="H550" s="4">
        <f>IFERROR(__xludf.DUMMYFUNCTION("""COMPUTED_VALUE"""),0.0)</f>
        <v>0</v>
      </c>
      <c r="I550" s="4">
        <f>IFERROR(__xludf.DUMMYFUNCTION("""COMPUTED_VALUE"""),0.43)</f>
        <v>0.43</v>
      </c>
      <c r="J550" s="4">
        <f>IFERROR(__xludf.DUMMYFUNCTION("""COMPUTED_VALUE"""),0.0)</f>
        <v>0</v>
      </c>
      <c r="K550" s="4">
        <f>IFERROR(__xludf.DUMMYFUNCTION("""COMPUTED_VALUE"""),608.7058000000001)</f>
        <v>608.7058</v>
      </c>
      <c r="L550" s="4">
        <f>IFERROR(__xludf.DUMMYFUNCTION("""COMPUTED_VALUE"""),5.225775735995944)</f>
        <v>5.225775736</v>
      </c>
    </row>
    <row r="551">
      <c r="A551" s="4" t="str">
        <f>IFERROR(__xludf.DUMMYFUNCTION("""COMPUTED_VALUE"""),"UGCA442")</f>
        <v>UGCA442</v>
      </c>
      <c r="B551" s="4">
        <f>IFERROR(__xludf.DUMMYFUNCTION("""COMPUTED_VALUE"""),4.35)</f>
        <v>4.35</v>
      </c>
      <c r="C551" s="4">
        <f>IFERROR(__xludf.DUMMYFUNCTION("""COMPUTED_VALUE"""),5.48)</f>
        <v>5.48</v>
      </c>
      <c r="D551" s="4">
        <f>IFERROR(__xludf.DUMMYFUNCTION("""COMPUTED_VALUE"""),57.8)</f>
        <v>57.8</v>
      </c>
      <c r="E551" s="4">
        <f>IFERROR(__xludf.DUMMYFUNCTION("""COMPUTED_VALUE"""),2.83)</f>
        <v>2.83</v>
      </c>
      <c r="F551" s="4">
        <f>IFERROR(__xludf.DUMMYFUNCTION("""COMPUTED_VALUE"""),18.73)</f>
        <v>18.73</v>
      </c>
      <c r="G551" s="4">
        <f>IFERROR(__xludf.DUMMYFUNCTION("""COMPUTED_VALUE"""),12.04)</f>
        <v>12.04</v>
      </c>
      <c r="H551" s="4">
        <f>IFERROR(__xludf.DUMMYFUNCTION("""COMPUTED_VALUE"""),0.0)</f>
        <v>0</v>
      </c>
      <c r="I551" s="4">
        <f>IFERROR(__xludf.DUMMYFUNCTION("""COMPUTED_VALUE"""),0.18)</f>
        <v>0.18</v>
      </c>
      <c r="J551" s="4">
        <f>IFERROR(__xludf.DUMMYFUNCTION("""COMPUTED_VALUE"""),0.0)</f>
        <v>0</v>
      </c>
      <c r="K551" s="4">
        <f>IFERROR(__xludf.DUMMYFUNCTION("""COMPUTED_VALUE"""),495.7745)</f>
        <v>495.7745</v>
      </c>
      <c r="L551" s="4">
        <f>IFERROR(__xludf.DUMMYFUNCTION("""COMPUTED_VALUE"""),6.738628146465782)</f>
        <v>6.738628146</v>
      </c>
    </row>
    <row r="552">
      <c r="A552" s="5" t="str">
        <f>IFERROR(__xludf.DUMMYFUNCTION("""COMPUTED_VALUE"""),"UGCA442")</f>
        <v>UGCA442</v>
      </c>
      <c r="B552" s="5">
        <f>IFERROR(__xludf.DUMMYFUNCTION("""COMPUTED_VALUE"""),4.35)</f>
        <v>4.35</v>
      </c>
      <c r="C552" s="5">
        <f>IFERROR(__xludf.DUMMYFUNCTION("""COMPUTED_VALUE"""),6.33)</f>
        <v>6.33</v>
      </c>
      <c r="D552" s="5">
        <f>IFERROR(__xludf.DUMMYFUNCTION("""COMPUTED_VALUE"""),56.5)</f>
        <v>56.5</v>
      </c>
      <c r="E552" s="5">
        <f>IFERROR(__xludf.DUMMYFUNCTION("""COMPUTED_VALUE"""),0.65)</f>
        <v>0.65</v>
      </c>
      <c r="F552" s="5">
        <f>IFERROR(__xludf.DUMMYFUNCTION("""COMPUTED_VALUE"""),16.75)</f>
        <v>16.75</v>
      </c>
      <c r="G552" s="5">
        <f>IFERROR(__xludf.DUMMYFUNCTION("""COMPUTED_VALUE"""),10.62)</f>
        <v>10.62</v>
      </c>
      <c r="H552" s="5">
        <f>IFERROR(__xludf.DUMMYFUNCTION("""COMPUTED_VALUE"""),0.0)</f>
        <v>0</v>
      </c>
      <c r="I552" s="5">
        <f>IFERROR(__xludf.DUMMYFUNCTION("""COMPUTED_VALUE"""),0.0)</f>
        <v>0</v>
      </c>
      <c r="J552" s="5">
        <f>IFERROR(__xludf.DUMMYFUNCTION("""COMPUTED_VALUE"""),0.0)</f>
        <v>0</v>
      </c>
      <c r="K552" s="5">
        <f>IFERROR(__xludf.DUMMYFUNCTION("""COMPUTED_VALUE"""),393.3469)</f>
        <v>393.3469</v>
      </c>
      <c r="L552" s="5">
        <f>IFERROR(__xludf.DUMMYFUNCTION("""COMPUTED_VALUE"""),8.11560991074291)</f>
        <v>8.115609911</v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4" t="str">
        <f>IFERROR(__xludf.DUMMYFUNCTION("""COMPUTED_VALUE"""),"UGCA444")</f>
        <v>UGCA444</v>
      </c>
      <c r="B553" s="4">
        <f>IFERROR(__xludf.DUMMYFUNCTION("""COMPUTED_VALUE"""),0.98)</f>
        <v>0.98</v>
      </c>
      <c r="C553" s="4">
        <f>IFERROR(__xludf.DUMMYFUNCTION("""COMPUTED_VALUE"""),0.12)</f>
        <v>0.12</v>
      </c>
      <c r="D553" s="4">
        <f>IFERROR(__xludf.DUMMYFUNCTION("""COMPUTED_VALUE"""),6.48)</f>
        <v>6.48</v>
      </c>
      <c r="E553" s="4">
        <f>IFERROR(__xludf.DUMMYFUNCTION("""COMPUTED_VALUE"""),2.6)</f>
        <v>2.6</v>
      </c>
      <c r="F553" s="4">
        <f>IFERROR(__xludf.DUMMYFUNCTION("""COMPUTED_VALUE"""),-0.66)</f>
        <v>-0.66</v>
      </c>
      <c r="G553" s="4">
        <f>IFERROR(__xludf.DUMMYFUNCTION("""COMPUTED_VALUE"""),2.2)</f>
        <v>2.2</v>
      </c>
      <c r="H553" s="4">
        <f>IFERROR(__xludf.DUMMYFUNCTION("""COMPUTED_VALUE"""),0.0)</f>
        <v>0</v>
      </c>
      <c r="I553" s="4">
        <f>IFERROR(__xludf.DUMMYFUNCTION("""COMPUTED_VALUE"""),2.83)</f>
        <v>2.83</v>
      </c>
      <c r="J553" s="4">
        <f>IFERROR(__xludf.DUMMYFUNCTION("""COMPUTED_VALUE"""),0.0)</f>
        <v>0</v>
      </c>
      <c r="K553" s="4">
        <f>IFERROR(__xludf.DUMMYFUNCTION("""COMPUTED_VALUE"""),5.275600000000001)</f>
        <v>5.2756</v>
      </c>
      <c r="L553" s="4">
        <f>IFERROR(__xludf.DUMMYFUNCTION("""COMPUTED_VALUE"""),7.95936007278793)</f>
        <v>7.959360073</v>
      </c>
    </row>
    <row r="554">
      <c r="A554" s="4" t="str">
        <f>IFERROR(__xludf.DUMMYFUNCTION("""COMPUTED_VALUE"""),"UGCA444")</f>
        <v>UGCA444</v>
      </c>
      <c r="B554" s="4">
        <f>IFERROR(__xludf.DUMMYFUNCTION("""COMPUTED_VALUE"""),0.98)</f>
        <v>0.98</v>
      </c>
      <c r="C554" s="4">
        <f>IFERROR(__xludf.DUMMYFUNCTION("""COMPUTED_VALUE"""),0.19)</f>
        <v>0.19</v>
      </c>
      <c r="D554" s="4">
        <f>IFERROR(__xludf.DUMMYFUNCTION("""COMPUTED_VALUE"""),8.6)</f>
        <v>8.6</v>
      </c>
      <c r="E554" s="4">
        <f>IFERROR(__xludf.DUMMYFUNCTION("""COMPUTED_VALUE"""),2.65)</f>
        <v>2.65</v>
      </c>
      <c r="F554" s="4">
        <f>IFERROR(__xludf.DUMMYFUNCTION("""COMPUTED_VALUE"""),0.47)</f>
        <v>0.47</v>
      </c>
      <c r="G554" s="4">
        <f>IFERROR(__xludf.DUMMYFUNCTION("""COMPUTED_VALUE"""),2.24)</f>
        <v>2.24</v>
      </c>
      <c r="H554" s="4">
        <f>IFERROR(__xludf.DUMMYFUNCTION("""COMPUTED_VALUE"""),0.0)</f>
        <v>0</v>
      </c>
      <c r="I554" s="4">
        <f>IFERROR(__xludf.DUMMYFUNCTION("""COMPUTED_VALUE"""),3.38)</f>
        <v>3.38</v>
      </c>
      <c r="J554" s="4">
        <f>IFERROR(__xludf.DUMMYFUNCTION("""COMPUTED_VALUE"""),0.0)</f>
        <v>0</v>
      </c>
      <c r="K554" s="4">
        <f>IFERROR(__xludf.DUMMYFUNCTION("""COMPUTED_VALUE"""),5.238500000000001)</f>
        <v>5.2385</v>
      </c>
      <c r="L554" s="4">
        <f>IFERROR(__xludf.DUMMYFUNCTION("""COMPUTED_VALUE"""),14.118545385129327)</f>
        <v>14.11854539</v>
      </c>
    </row>
    <row r="555">
      <c r="A555" s="4" t="str">
        <f>IFERROR(__xludf.DUMMYFUNCTION("""COMPUTED_VALUE"""),"UGCA444")</f>
        <v>UGCA444</v>
      </c>
      <c r="B555" s="4">
        <f>IFERROR(__xludf.DUMMYFUNCTION("""COMPUTED_VALUE"""),0.98)</f>
        <v>0.98</v>
      </c>
      <c r="C555" s="4">
        <f>IFERROR(__xludf.DUMMYFUNCTION("""COMPUTED_VALUE"""),0.26)</f>
        <v>0.26</v>
      </c>
      <c r="D555" s="4">
        <f>IFERROR(__xludf.DUMMYFUNCTION("""COMPUTED_VALUE"""),10.2)</f>
        <v>10.2</v>
      </c>
      <c r="E555" s="4">
        <f>IFERROR(__xludf.DUMMYFUNCTION("""COMPUTED_VALUE"""),3.03)</f>
        <v>3.03</v>
      </c>
      <c r="F555" s="4">
        <f>IFERROR(__xludf.DUMMYFUNCTION("""COMPUTED_VALUE"""),1.82)</f>
        <v>1.82</v>
      </c>
      <c r="G555" s="4">
        <f>IFERROR(__xludf.DUMMYFUNCTION("""COMPUTED_VALUE"""),2.72)</f>
        <v>2.72</v>
      </c>
      <c r="H555" s="4">
        <f>IFERROR(__xludf.DUMMYFUNCTION("""COMPUTED_VALUE"""),0.0)</f>
        <v>0</v>
      </c>
      <c r="I555" s="4">
        <f>IFERROR(__xludf.DUMMYFUNCTION("""COMPUTED_VALUE"""),2.43)</f>
        <v>2.43</v>
      </c>
      <c r="J555" s="4">
        <f>IFERROR(__xludf.DUMMYFUNCTION("""COMPUTED_VALUE"""),0.0)</f>
        <v>0</v>
      </c>
      <c r="K555" s="4">
        <f>IFERROR(__xludf.DUMMYFUNCTION("""COMPUTED_VALUE"""),10.710800000000003)</f>
        <v>10.7108</v>
      </c>
      <c r="L555" s="4">
        <f>IFERROR(__xludf.DUMMYFUNCTION("""COMPUTED_VALUE"""),9.713560144900471)</f>
        <v>9.713560145</v>
      </c>
    </row>
    <row r="556">
      <c r="A556" s="4" t="str">
        <f>IFERROR(__xludf.DUMMYFUNCTION("""COMPUTED_VALUE"""),"UGCA444")</f>
        <v>UGCA444</v>
      </c>
      <c r="B556" s="4">
        <f>IFERROR(__xludf.DUMMYFUNCTION("""COMPUTED_VALUE"""),0.98)</f>
        <v>0.98</v>
      </c>
      <c r="C556" s="4">
        <f>IFERROR(__xludf.DUMMYFUNCTION("""COMPUTED_VALUE"""),0.33)</f>
        <v>0.33</v>
      </c>
      <c r="D556" s="4">
        <f>IFERROR(__xludf.DUMMYFUNCTION("""COMPUTED_VALUE"""),11.7)</f>
        <v>11.7</v>
      </c>
      <c r="E556" s="4">
        <f>IFERROR(__xludf.DUMMYFUNCTION("""COMPUTED_VALUE"""),3.55)</f>
        <v>3.55</v>
      </c>
      <c r="F556" s="4">
        <f>IFERROR(__xludf.DUMMYFUNCTION("""COMPUTED_VALUE"""),3.08)</f>
        <v>3.08</v>
      </c>
      <c r="G556" s="4">
        <f>IFERROR(__xludf.DUMMYFUNCTION("""COMPUTED_VALUE"""),2.9)</f>
        <v>2.9</v>
      </c>
      <c r="H556" s="4">
        <f>IFERROR(__xludf.DUMMYFUNCTION("""COMPUTED_VALUE"""),0.0)</f>
        <v>0</v>
      </c>
      <c r="I556" s="4">
        <f>IFERROR(__xludf.DUMMYFUNCTION("""COMPUTED_VALUE"""),2.23)</f>
        <v>2.23</v>
      </c>
      <c r="J556" s="4">
        <f>IFERROR(__xludf.DUMMYFUNCTION("""COMPUTED_VALUE"""),0.0)</f>
        <v>0</v>
      </c>
      <c r="K556" s="4">
        <f>IFERROR(__xludf.DUMMYFUNCTION("""COMPUTED_VALUE"""),17.8964)</f>
        <v>17.8964</v>
      </c>
      <c r="L556" s="4">
        <f>IFERROR(__xludf.DUMMYFUNCTION("""COMPUTED_VALUE"""),7.6490243847924715)</f>
        <v>7.649024385</v>
      </c>
    </row>
    <row r="557">
      <c r="A557" s="4" t="str">
        <f>IFERROR(__xludf.DUMMYFUNCTION("""COMPUTED_VALUE"""),"UGCA444")</f>
        <v>UGCA444</v>
      </c>
      <c r="B557" s="4">
        <f>IFERROR(__xludf.DUMMYFUNCTION("""COMPUTED_VALUE"""),0.98)</f>
        <v>0.98</v>
      </c>
      <c r="C557" s="4">
        <f>IFERROR(__xludf.DUMMYFUNCTION("""COMPUTED_VALUE"""),0.4)</f>
        <v>0.4</v>
      </c>
      <c r="D557" s="4">
        <f>IFERROR(__xludf.DUMMYFUNCTION("""COMPUTED_VALUE"""),12.7)</f>
        <v>12.7</v>
      </c>
      <c r="E557" s="4">
        <f>IFERROR(__xludf.DUMMYFUNCTION("""COMPUTED_VALUE"""),3.75)</f>
        <v>3.75</v>
      </c>
      <c r="F557" s="4">
        <f>IFERROR(__xludf.DUMMYFUNCTION("""COMPUTED_VALUE"""),4.2)</f>
        <v>4.2</v>
      </c>
      <c r="G557" s="4">
        <f>IFERROR(__xludf.DUMMYFUNCTION("""COMPUTED_VALUE"""),2.92)</f>
        <v>2.92</v>
      </c>
      <c r="H557" s="4">
        <f>IFERROR(__xludf.DUMMYFUNCTION("""COMPUTED_VALUE"""),0.0)</f>
        <v>0</v>
      </c>
      <c r="I557" s="4">
        <f>IFERROR(__xludf.DUMMYFUNCTION("""COMPUTED_VALUE"""),1.76)</f>
        <v>1.76</v>
      </c>
      <c r="J557" s="4">
        <f>IFERROR(__xludf.DUMMYFUNCTION("""COMPUTED_VALUE"""),0.0)</f>
        <v>0</v>
      </c>
      <c r="K557" s="4">
        <f>IFERROR(__xludf.DUMMYFUNCTION("""COMPUTED_VALUE"""),26.1664)</f>
        <v>26.1664</v>
      </c>
      <c r="L557" s="4">
        <f>IFERROR(__xludf.DUMMYFUNCTION("""COMPUTED_VALUE"""),6.164011862541274)</f>
        <v>6.164011863</v>
      </c>
    </row>
    <row r="558">
      <c r="A558" s="4" t="str">
        <f>IFERROR(__xludf.DUMMYFUNCTION("""COMPUTED_VALUE"""),"UGCA444")</f>
        <v>UGCA444</v>
      </c>
      <c r="B558" s="4">
        <f>IFERROR(__xludf.DUMMYFUNCTION("""COMPUTED_VALUE"""),0.98)</f>
        <v>0.98</v>
      </c>
      <c r="C558" s="4">
        <f>IFERROR(__xludf.DUMMYFUNCTION("""COMPUTED_VALUE"""),0.47)</f>
        <v>0.47</v>
      </c>
      <c r="D558" s="4">
        <f>IFERROR(__xludf.DUMMYFUNCTION("""COMPUTED_VALUE"""),14.1)</f>
        <v>14.1</v>
      </c>
      <c r="E558" s="4">
        <f>IFERROR(__xludf.DUMMYFUNCTION("""COMPUTED_VALUE"""),3.43)</f>
        <v>3.43</v>
      </c>
      <c r="F558" s="4">
        <f>IFERROR(__xludf.DUMMYFUNCTION("""COMPUTED_VALUE"""),5.32)</f>
        <v>5.32</v>
      </c>
      <c r="G558" s="4">
        <f>IFERROR(__xludf.DUMMYFUNCTION("""COMPUTED_VALUE"""),3.03)</f>
        <v>3.03</v>
      </c>
      <c r="H558" s="4">
        <f>IFERROR(__xludf.DUMMYFUNCTION("""COMPUTED_VALUE"""),0.0)</f>
        <v>0</v>
      </c>
      <c r="I558" s="4">
        <f>IFERROR(__xludf.DUMMYFUNCTION("""COMPUTED_VALUE"""),2.11)</f>
        <v>2.11</v>
      </c>
      <c r="J558" s="4">
        <f>IFERROR(__xludf.DUMMYFUNCTION("""COMPUTED_VALUE"""),0.0)</f>
        <v>0</v>
      </c>
      <c r="K558" s="4">
        <f>IFERROR(__xludf.DUMMYFUNCTION("""COMPUTED_VALUE"""),37.4833)</f>
        <v>37.4833</v>
      </c>
      <c r="L558" s="4">
        <f>IFERROR(__xludf.DUMMYFUNCTION("""COMPUTED_VALUE"""),5.30396203109118)</f>
        <v>5.303962031</v>
      </c>
    </row>
    <row r="559">
      <c r="A559" s="4" t="str">
        <f>IFERROR(__xludf.DUMMYFUNCTION("""COMPUTED_VALUE"""),"UGCA444")</f>
        <v>UGCA444</v>
      </c>
      <c r="B559" s="4">
        <f>IFERROR(__xludf.DUMMYFUNCTION("""COMPUTED_VALUE"""),0.98)</f>
        <v>0.98</v>
      </c>
      <c r="C559" s="4">
        <f>IFERROR(__xludf.DUMMYFUNCTION("""COMPUTED_VALUE"""),0.55)</f>
        <v>0.55</v>
      </c>
      <c r="D559" s="4">
        <f>IFERROR(__xludf.DUMMYFUNCTION("""COMPUTED_VALUE"""),16.0)</f>
        <v>16</v>
      </c>
      <c r="E559" s="4">
        <f>IFERROR(__xludf.DUMMYFUNCTION("""COMPUTED_VALUE"""),3.33)</f>
        <v>3.33</v>
      </c>
      <c r="F559" s="4">
        <f>IFERROR(__xludf.DUMMYFUNCTION("""COMPUTED_VALUE"""),6.65)</f>
        <v>6.65</v>
      </c>
      <c r="G559" s="4">
        <f>IFERROR(__xludf.DUMMYFUNCTION("""COMPUTED_VALUE"""),3.44)</f>
        <v>3.44</v>
      </c>
      <c r="H559" s="4">
        <f>IFERROR(__xludf.DUMMYFUNCTION("""COMPUTED_VALUE"""),0.0)</f>
        <v>0</v>
      </c>
      <c r="I559" s="4">
        <f>IFERROR(__xludf.DUMMYFUNCTION("""COMPUTED_VALUE"""),2.0)</f>
        <v>2</v>
      </c>
      <c r="J559" s="4">
        <f>IFERROR(__xludf.DUMMYFUNCTION("""COMPUTED_VALUE"""),0.0)</f>
        <v>0</v>
      </c>
      <c r="K559" s="4">
        <f>IFERROR(__xludf.DUMMYFUNCTION("""COMPUTED_VALUE"""),56.0561)</f>
        <v>56.0561</v>
      </c>
      <c r="L559" s="4">
        <f>IFERROR(__xludf.DUMMYFUNCTION("""COMPUTED_VALUE"""),4.566853562770153)</f>
        <v>4.566853563</v>
      </c>
    </row>
    <row r="560">
      <c r="A560" s="4" t="str">
        <f>IFERROR(__xludf.DUMMYFUNCTION("""COMPUTED_VALUE"""),"UGCA444")</f>
        <v>UGCA444</v>
      </c>
      <c r="B560" s="4">
        <f>IFERROR(__xludf.DUMMYFUNCTION("""COMPUTED_VALUE"""),0.98)</f>
        <v>0.98</v>
      </c>
      <c r="C560" s="4">
        <f>IFERROR(__xludf.DUMMYFUNCTION("""COMPUTED_VALUE"""),0.62)</f>
        <v>0.62</v>
      </c>
      <c r="D560" s="4">
        <f>IFERROR(__xludf.DUMMYFUNCTION("""COMPUTED_VALUE"""),18.1)</f>
        <v>18.1</v>
      </c>
      <c r="E560" s="4">
        <f>IFERROR(__xludf.DUMMYFUNCTION("""COMPUTED_VALUE"""),2.66)</f>
        <v>2.66</v>
      </c>
      <c r="F560" s="4">
        <f>IFERROR(__xludf.DUMMYFUNCTION("""COMPUTED_VALUE"""),7.97)</f>
        <v>7.97</v>
      </c>
      <c r="G560" s="4">
        <f>IFERROR(__xludf.DUMMYFUNCTION("""COMPUTED_VALUE"""),3.69)</f>
        <v>3.69</v>
      </c>
      <c r="H560" s="4">
        <f>IFERROR(__xludf.DUMMYFUNCTION("""COMPUTED_VALUE"""),0.0)</f>
        <v>0</v>
      </c>
      <c r="I560" s="4">
        <f>IFERROR(__xludf.DUMMYFUNCTION("""COMPUTED_VALUE"""),1.59)</f>
        <v>1.59</v>
      </c>
      <c r="J560" s="4">
        <f>IFERROR(__xludf.DUMMYFUNCTION("""COMPUTED_VALUE"""),0.0)</f>
        <v>0</v>
      </c>
      <c r="K560" s="4">
        <f>IFERROR(__xludf.DUMMYFUNCTION("""COMPUTED_VALUE"""),77.137)</f>
        <v>77.137</v>
      </c>
      <c r="L560" s="4">
        <f>IFERROR(__xludf.DUMMYFUNCTION("""COMPUTED_VALUE"""),4.247118762720874)</f>
        <v>4.247118763</v>
      </c>
    </row>
    <row r="561">
      <c r="A561" s="4" t="str">
        <f>IFERROR(__xludf.DUMMYFUNCTION("""COMPUTED_VALUE"""),"UGCA444")</f>
        <v>UGCA444</v>
      </c>
      <c r="B561" s="4">
        <f>IFERROR(__xludf.DUMMYFUNCTION("""COMPUTED_VALUE"""),0.98)</f>
        <v>0.98</v>
      </c>
      <c r="C561" s="4">
        <f>IFERROR(__xludf.DUMMYFUNCTION("""COMPUTED_VALUE"""),0.69)</f>
        <v>0.69</v>
      </c>
      <c r="D561" s="4">
        <f>IFERROR(__xludf.DUMMYFUNCTION("""COMPUTED_VALUE"""),21.2)</f>
        <v>21.2</v>
      </c>
      <c r="E561" s="4">
        <f>IFERROR(__xludf.DUMMYFUNCTION("""COMPUTED_VALUE"""),3.78)</f>
        <v>3.78</v>
      </c>
      <c r="F561" s="4">
        <f>IFERROR(__xludf.DUMMYFUNCTION("""COMPUTED_VALUE"""),9.25)</f>
        <v>9.25</v>
      </c>
      <c r="G561" s="4">
        <f>IFERROR(__xludf.DUMMYFUNCTION("""COMPUTED_VALUE"""),3.81)</f>
        <v>3.81</v>
      </c>
      <c r="H561" s="4">
        <f>IFERROR(__xludf.DUMMYFUNCTION("""COMPUTED_VALUE"""),0.0)</f>
        <v>0</v>
      </c>
      <c r="I561" s="4">
        <f>IFERROR(__xludf.DUMMYFUNCTION("""COMPUTED_VALUE"""),1.38)</f>
        <v>1.38</v>
      </c>
      <c r="J561" s="4">
        <f>IFERROR(__xludf.DUMMYFUNCTION("""COMPUTED_VALUE"""),0.0)</f>
        <v>0</v>
      </c>
      <c r="K561" s="4">
        <f>IFERROR(__xludf.DUMMYFUNCTION("""COMPUTED_VALUE"""),100.0786)</f>
        <v>100.0786</v>
      </c>
      <c r="L561" s="4">
        <f>IFERROR(__xludf.DUMMYFUNCTION("""COMPUTED_VALUE"""),4.490870176041631)</f>
        <v>4.490870176</v>
      </c>
    </row>
    <row r="562">
      <c r="A562" s="4" t="str">
        <f>IFERROR(__xludf.DUMMYFUNCTION("""COMPUTED_VALUE"""),"UGCA444")</f>
        <v>UGCA444</v>
      </c>
      <c r="B562" s="4">
        <f>IFERROR(__xludf.DUMMYFUNCTION("""COMPUTED_VALUE"""),0.98)</f>
        <v>0.98</v>
      </c>
      <c r="C562" s="4">
        <f>IFERROR(__xludf.DUMMYFUNCTION("""COMPUTED_VALUE"""),0.76)</f>
        <v>0.76</v>
      </c>
      <c r="D562" s="4">
        <f>IFERROR(__xludf.DUMMYFUNCTION("""COMPUTED_VALUE"""),21.6)</f>
        <v>21.6</v>
      </c>
      <c r="E562" s="4">
        <f>IFERROR(__xludf.DUMMYFUNCTION("""COMPUTED_VALUE"""),3.33)</f>
        <v>3.33</v>
      </c>
      <c r="F562" s="4">
        <f>IFERROR(__xludf.DUMMYFUNCTION("""COMPUTED_VALUE"""),10.36)</f>
        <v>10.36</v>
      </c>
      <c r="G562" s="4">
        <f>IFERROR(__xludf.DUMMYFUNCTION("""COMPUTED_VALUE"""),3.95)</f>
        <v>3.95</v>
      </c>
      <c r="H562" s="4">
        <f>IFERROR(__xludf.DUMMYFUNCTION("""COMPUTED_VALUE"""),0.0)</f>
        <v>0</v>
      </c>
      <c r="I562" s="4">
        <f>IFERROR(__xludf.DUMMYFUNCTION("""COMPUTED_VALUE"""),1.39)</f>
        <v>1.39</v>
      </c>
      <c r="J562" s="4">
        <f>IFERROR(__xludf.DUMMYFUNCTION("""COMPUTED_VALUE"""),0.0)</f>
        <v>0</v>
      </c>
      <c r="K562" s="4">
        <f>IFERROR(__xludf.DUMMYFUNCTION("""COMPUTED_VALUE"""),122.93209999999999)</f>
        <v>122.9321</v>
      </c>
      <c r="L562" s="4">
        <f>IFERROR(__xludf.DUMMYFUNCTION("""COMPUTED_VALUE"""),3.7952658418753122)</f>
        <v>3.795265842</v>
      </c>
    </row>
    <row r="563">
      <c r="A563" s="4" t="str">
        <f>IFERROR(__xludf.DUMMYFUNCTION("""COMPUTED_VALUE"""),"UGCA444")</f>
        <v>UGCA444</v>
      </c>
      <c r="B563" s="4">
        <f>IFERROR(__xludf.DUMMYFUNCTION("""COMPUTED_VALUE"""),0.98)</f>
        <v>0.98</v>
      </c>
      <c r="C563" s="4">
        <f>IFERROR(__xludf.DUMMYFUNCTION("""COMPUTED_VALUE"""),0.83)</f>
        <v>0.83</v>
      </c>
      <c r="D563" s="4">
        <f>IFERROR(__xludf.DUMMYFUNCTION("""COMPUTED_VALUE"""),23.3)</f>
        <v>23.3</v>
      </c>
      <c r="E563" s="4">
        <f>IFERROR(__xludf.DUMMYFUNCTION("""COMPUTED_VALUE"""),3.09)</f>
        <v>3.09</v>
      </c>
      <c r="F563" s="4">
        <f>IFERROR(__xludf.DUMMYFUNCTION("""COMPUTED_VALUE"""),11.58)</f>
        <v>11.58</v>
      </c>
      <c r="G563" s="4">
        <f>IFERROR(__xludf.DUMMYFUNCTION("""COMPUTED_VALUE"""),4.15)</f>
        <v>4.15</v>
      </c>
      <c r="H563" s="4">
        <f>IFERROR(__xludf.DUMMYFUNCTION("""COMPUTED_VALUE"""),0.0)</f>
        <v>0</v>
      </c>
      <c r="I563" s="4">
        <f>IFERROR(__xludf.DUMMYFUNCTION("""COMPUTED_VALUE"""),1.29)</f>
        <v>1.29</v>
      </c>
      <c r="J563" s="4">
        <f>IFERROR(__xludf.DUMMYFUNCTION("""COMPUTED_VALUE"""),0.0)</f>
        <v>0</v>
      </c>
      <c r="K563" s="4">
        <f>IFERROR(__xludf.DUMMYFUNCTION("""COMPUTED_VALUE"""),151.31889999999999)</f>
        <v>151.3189</v>
      </c>
      <c r="L563" s="4">
        <f>IFERROR(__xludf.DUMMYFUNCTION("""COMPUTED_VALUE"""),3.587721031543317)</f>
        <v>3.587721032</v>
      </c>
    </row>
    <row r="564">
      <c r="A564" s="4" t="str">
        <f>IFERROR(__xludf.DUMMYFUNCTION("""COMPUTED_VALUE"""),"UGCA444")</f>
        <v>UGCA444</v>
      </c>
      <c r="B564" s="4">
        <f>IFERROR(__xludf.DUMMYFUNCTION("""COMPUTED_VALUE"""),0.98)</f>
        <v>0.98</v>
      </c>
      <c r="C564" s="4">
        <f>IFERROR(__xludf.DUMMYFUNCTION("""COMPUTED_VALUE"""),0.9)</f>
        <v>0.9</v>
      </c>
      <c r="D564" s="4">
        <f>IFERROR(__xludf.DUMMYFUNCTION("""COMPUTED_VALUE"""),24.5)</f>
        <v>24.5</v>
      </c>
      <c r="E564" s="4">
        <f>IFERROR(__xludf.DUMMYFUNCTION("""COMPUTED_VALUE"""),3.26)</f>
        <v>3.26</v>
      </c>
      <c r="F564" s="4">
        <f>IFERROR(__xludf.DUMMYFUNCTION("""COMPUTED_VALUE"""),12.39)</f>
        <v>12.39</v>
      </c>
      <c r="G564" s="4">
        <f>IFERROR(__xludf.DUMMYFUNCTION("""COMPUTED_VALUE"""),4.32)</f>
        <v>4.32</v>
      </c>
      <c r="H564" s="4">
        <f>IFERROR(__xludf.DUMMYFUNCTION("""COMPUTED_VALUE"""),0.0)</f>
        <v>0</v>
      </c>
      <c r="I564" s="4">
        <f>IFERROR(__xludf.DUMMYFUNCTION("""COMPUTED_VALUE"""),1.17)</f>
        <v>1.17</v>
      </c>
      <c r="J564" s="4">
        <f>IFERROR(__xludf.DUMMYFUNCTION("""COMPUTED_VALUE"""),0.0)</f>
        <v>0</v>
      </c>
      <c r="K564" s="4">
        <f>IFERROR(__xludf.DUMMYFUNCTION("""COMPUTED_VALUE"""),172.1745)</f>
        <v>172.1745</v>
      </c>
      <c r="L564" s="4">
        <f>IFERROR(__xludf.DUMMYFUNCTION("""COMPUTED_VALUE"""),3.486288619975664)</f>
        <v>3.48628862</v>
      </c>
    </row>
    <row r="565">
      <c r="A565" s="4" t="str">
        <f>IFERROR(__xludf.DUMMYFUNCTION("""COMPUTED_VALUE"""),"UGCA444")</f>
        <v>UGCA444</v>
      </c>
      <c r="B565" s="4">
        <f>IFERROR(__xludf.DUMMYFUNCTION("""COMPUTED_VALUE"""),0.98)</f>
        <v>0.98</v>
      </c>
      <c r="C565" s="4">
        <f>IFERROR(__xludf.DUMMYFUNCTION("""COMPUTED_VALUE"""),0.97)</f>
        <v>0.97</v>
      </c>
      <c r="D565" s="4">
        <f>IFERROR(__xludf.DUMMYFUNCTION("""COMPUTED_VALUE"""),24.4)</f>
        <v>24.4</v>
      </c>
      <c r="E565" s="4">
        <f>IFERROR(__xludf.DUMMYFUNCTION("""COMPUTED_VALUE"""),3.29)</f>
        <v>3.29</v>
      </c>
      <c r="F565" s="4">
        <f>IFERROR(__xludf.DUMMYFUNCTION("""COMPUTED_VALUE"""),13.1)</f>
        <v>13.1</v>
      </c>
      <c r="G565" s="4">
        <f>IFERROR(__xludf.DUMMYFUNCTION("""COMPUTED_VALUE"""),4.46)</f>
        <v>4.46</v>
      </c>
      <c r="H565" s="4">
        <f>IFERROR(__xludf.DUMMYFUNCTION("""COMPUTED_VALUE"""),0.0)</f>
        <v>0</v>
      </c>
      <c r="I565" s="4">
        <f>IFERROR(__xludf.DUMMYFUNCTION("""COMPUTED_VALUE"""),1.08)</f>
        <v>1.08</v>
      </c>
      <c r="J565" s="4">
        <f>IFERROR(__xludf.DUMMYFUNCTION("""COMPUTED_VALUE"""),0.0)</f>
        <v>0</v>
      </c>
      <c r="K565" s="4">
        <f>IFERROR(__xludf.DUMMYFUNCTION("""COMPUTED_VALUE"""),191.5016)</f>
        <v>191.5016</v>
      </c>
      <c r="L565" s="4">
        <f>IFERROR(__xludf.DUMMYFUNCTION("""COMPUTED_VALUE"""),3.1089035287433626)</f>
        <v>3.108903529</v>
      </c>
    </row>
    <row r="566">
      <c r="A566" s="4" t="str">
        <f>IFERROR(__xludf.DUMMYFUNCTION("""COMPUTED_VALUE"""),"UGCA444")</f>
        <v>UGCA444</v>
      </c>
      <c r="B566" s="4">
        <f>IFERROR(__xludf.DUMMYFUNCTION("""COMPUTED_VALUE"""),0.98)</f>
        <v>0.98</v>
      </c>
      <c r="C566" s="4">
        <f>IFERROR(__xludf.DUMMYFUNCTION("""COMPUTED_VALUE"""),1.04)</f>
        <v>1.04</v>
      </c>
      <c r="D566" s="4">
        <f>IFERROR(__xludf.DUMMYFUNCTION("""COMPUTED_VALUE"""),25.3)</f>
        <v>25.3</v>
      </c>
      <c r="E566" s="4">
        <f>IFERROR(__xludf.DUMMYFUNCTION("""COMPUTED_VALUE"""),2.78)</f>
        <v>2.78</v>
      </c>
      <c r="F566" s="4">
        <f>IFERROR(__xludf.DUMMYFUNCTION("""COMPUTED_VALUE"""),13.71)</f>
        <v>13.71</v>
      </c>
      <c r="G566" s="4">
        <f>IFERROR(__xludf.DUMMYFUNCTION("""COMPUTED_VALUE"""),4.57)</f>
        <v>4.57</v>
      </c>
      <c r="H566" s="4">
        <f>IFERROR(__xludf.DUMMYFUNCTION("""COMPUTED_VALUE"""),0.0)</f>
        <v>0</v>
      </c>
      <c r="I566" s="4">
        <f>IFERROR(__xludf.DUMMYFUNCTION("""COMPUTED_VALUE"""),0.99)</f>
        <v>0.99</v>
      </c>
      <c r="J566" s="4">
        <f>IFERROR(__xludf.DUMMYFUNCTION("""COMPUTED_VALUE"""),0.0)</f>
        <v>0</v>
      </c>
      <c r="K566" s="4">
        <f>IFERROR(__xludf.DUMMYFUNCTION("""COMPUTED_VALUE"""),208.84900000000005)</f>
        <v>208.849</v>
      </c>
      <c r="L566" s="4">
        <f>IFERROR(__xludf.DUMMYFUNCTION("""COMPUTED_VALUE"""),3.0648458934445455)</f>
        <v>3.064845893</v>
      </c>
    </row>
    <row r="567">
      <c r="A567" s="4" t="str">
        <f>IFERROR(__xludf.DUMMYFUNCTION("""COMPUTED_VALUE"""),"UGCA444")</f>
        <v>UGCA444</v>
      </c>
      <c r="B567" s="4">
        <f>IFERROR(__xludf.DUMMYFUNCTION("""COMPUTED_VALUE"""),0.98)</f>
        <v>0.98</v>
      </c>
      <c r="C567" s="4">
        <f>IFERROR(__xludf.DUMMYFUNCTION("""COMPUTED_VALUE"""),1.11)</f>
        <v>1.11</v>
      </c>
      <c r="D567" s="4">
        <f>IFERROR(__xludf.DUMMYFUNCTION("""COMPUTED_VALUE"""),25.4)</f>
        <v>25.4</v>
      </c>
      <c r="E567" s="4">
        <f>IFERROR(__xludf.DUMMYFUNCTION("""COMPUTED_VALUE"""),2.78)</f>
        <v>2.78</v>
      </c>
      <c r="F567" s="4">
        <f>IFERROR(__xludf.DUMMYFUNCTION("""COMPUTED_VALUE"""),14.22)</f>
        <v>14.22</v>
      </c>
      <c r="G567" s="4">
        <f>IFERROR(__xludf.DUMMYFUNCTION("""COMPUTED_VALUE"""),4.69)</f>
        <v>4.69</v>
      </c>
      <c r="H567" s="4">
        <f>IFERROR(__xludf.DUMMYFUNCTION("""COMPUTED_VALUE"""),0.0)</f>
        <v>0</v>
      </c>
      <c r="I567" s="4">
        <f>IFERROR(__xludf.DUMMYFUNCTION("""COMPUTED_VALUE"""),0.91)</f>
        <v>0.91</v>
      </c>
      <c r="J567" s="4">
        <f>IFERROR(__xludf.DUMMYFUNCTION("""COMPUTED_VALUE"""),0.0)</f>
        <v>0</v>
      </c>
      <c r="K567" s="4">
        <f>IFERROR(__xludf.DUMMYFUNCTION("""COMPUTED_VALUE"""),224.20450000000002)</f>
        <v>224.2045</v>
      </c>
      <c r="L567" s="4">
        <f>IFERROR(__xludf.DUMMYFUNCTION("""COMPUTED_VALUE"""),2.877551521044403)</f>
        <v>2.877551521</v>
      </c>
    </row>
    <row r="568">
      <c r="A568" s="4" t="str">
        <f>IFERROR(__xludf.DUMMYFUNCTION("""COMPUTED_VALUE"""),"UGCA444")</f>
        <v>UGCA444</v>
      </c>
      <c r="B568" s="4">
        <f>IFERROR(__xludf.DUMMYFUNCTION("""COMPUTED_VALUE"""),0.98)</f>
        <v>0.98</v>
      </c>
      <c r="C568" s="4">
        <f>IFERROR(__xludf.DUMMYFUNCTION("""COMPUTED_VALUE"""),1.19)</f>
        <v>1.19</v>
      </c>
      <c r="D568" s="4">
        <f>IFERROR(__xludf.DUMMYFUNCTION("""COMPUTED_VALUE"""),25.9)</f>
        <v>25.9</v>
      </c>
      <c r="E568" s="4">
        <f>IFERROR(__xludf.DUMMYFUNCTION("""COMPUTED_VALUE"""),2.73)</f>
        <v>2.73</v>
      </c>
      <c r="F568" s="4">
        <f>IFERROR(__xludf.DUMMYFUNCTION("""COMPUTED_VALUE"""),14.63)</f>
        <v>14.63</v>
      </c>
      <c r="G568" s="4">
        <f>IFERROR(__xludf.DUMMYFUNCTION("""COMPUTED_VALUE"""),4.81)</f>
        <v>4.81</v>
      </c>
      <c r="H568" s="4">
        <f>IFERROR(__xludf.DUMMYFUNCTION("""COMPUTED_VALUE"""),0.0)</f>
        <v>0</v>
      </c>
      <c r="I568" s="4">
        <f>IFERROR(__xludf.DUMMYFUNCTION("""COMPUTED_VALUE"""),0.83)</f>
        <v>0.83</v>
      </c>
      <c r="J568" s="4">
        <f>IFERROR(__xludf.DUMMYFUNCTION("""COMPUTED_VALUE"""),0.0)</f>
        <v>0</v>
      </c>
      <c r="K568" s="4">
        <f>IFERROR(__xludf.DUMMYFUNCTION("""COMPUTED_VALUE"""),237.17300000000003)</f>
        <v>237.173</v>
      </c>
      <c r="L568" s="4">
        <f>IFERROR(__xludf.DUMMYFUNCTION("""COMPUTED_VALUE"""),2.8283573593958833)</f>
        <v>2.828357359</v>
      </c>
    </row>
    <row r="569">
      <c r="A569" s="4" t="str">
        <f>IFERROR(__xludf.DUMMYFUNCTION("""COMPUTED_VALUE"""),"UGCA444")</f>
        <v>UGCA444</v>
      </c>
      <c r="B569" s="4">
        <f>IFERROR(__xludf.DUMMYFUNCTION("""COMPUTED_VALUE"""),0.98)</f>
        <v>0.98</v>
      </c>
      <c r="C569" s="4">
        <f>IFERROR(__xludf.DUMMYFUNCTION("""COMPUTED_VALUE"""),1.26)</f>
        <v>1.26</v>
      </c>
      <c r="D569" s="4">
        <f>IFERROR(__xludf.DUMMYFUNCTION("""COMPUTED_VALUE"""),26.7)</f>
        <v>26.7</v>
      </c>
      <c r="E569" s="4">
        <f>IFERROR(__xludf.DUMMYFUNCTION("""COMPUTED_VALUE"""),2.67)</f>
        <v>2.67</v>
      </c>
      <c r="F569" s="4">
        <f>IFERROR(__xludf.DUMMYFUNCTION("""COMPUTED_VALUE"""),14.83)</f>
        <v>14.83</v>
      </c>
      <c r="G569" s="4">
        <f>IFERROR(__xludf.DUMMYFUNCTION("""COMPUTED_VALUE"""),4.88)</f>
        <v>4.88</v>
      </c>
      <c r="H569" s="4">
        <f>IFERROR(__xludf.DUMMYFUNCTION("""COMPUTED_VALUE"""),0.0)</f>
        <v>0</v>
      </c>
      <c r="I569" s="4">
        <f>IFERROR(__xludf.DUMMYFUNCTION("""COMPUTED_VALUE"""),0.76)</f>
        <v>0.76</v>
      </c>
      <c r="J569" s="4">
        <f>IFERROR(__xludf.DUMMYFUNCTION("""COMPUTED_VALUE"""),0.0)</f>
        <v>0</v>
      </c>
      <c r="K569" s="4">
        <f>IFERROR(__xludf.DUMMYFUNCTION("""COMPUTED_VALUE"""),243.7433)</f>
        <v>243.7433</v>
      </c>
      <c r="L569" s="4">
        <f>IFERROR(__xludf.DUMMYFUNCTION("""COMPUTED_VALUE"""),2.9247573164062355)</f>
        <v>2.924757316</v>
      </c>
    </row>
    <row r="570">
      <c r="A570" s="4" t="str">
        <f>IFERROR(__xludf.DUMMYFUNCTION("""COMPUTED_VALUE"""),"UGCA444")</f>
        <v>UGCA444</v>
      </c>
      <c r="B570" s="4">
        <f>IFERROR(__xludf.DUMMYFUNCTION("""COMPUTED_VALUE"""),0.98)</f>
        <v>0.98</v>
      </c>
      <c r="C570" s="4">
        <f>IFERROR(__xludf.DUMMYFUNCTION("""COMPUTED_VALUE"""),1.33)</f>
        <v>1.33</v>
      </c>
      <c r="D570" s="4">
        <f>IFERROR(__xludf.DUMMYFUNCTION("""COMPUTED_VALUE"""),27.1)</f>
        <v>27.1</v>
      </c>
      <c r="E570" s="4">
        <f>IFERROR(__xludf.DUMMYFUNCTION("""COMPUTED_VALUE"""),3.16)</f>
        <v>3.16</v>
      </c>
      <c r="F570" s="4">
        <f>IFERROR(__xludf.DUMMYFUNCTION("""COMPUTED_VALUE"""),15.03)</f>
        <v>15.03</v>
      </c>
      <c r="G570" s="4">
        <f>IFERROR(__xludf.DUMMYFUNCTION("""COMPUTED_VALUE"""),4.95)</f>
        <v>4.95</v>
      </c>
      <c r="H570" s="4">
        <f>IFERROR(__xludf.DUMMYFUNCTION("""COMPUTED_VALUE"""),0.0)</f>
        <v>0</v>
      </c>
      <c r="I570" s="4">
        <f>IFERROR(__xludf.DUMMYFUNCTION("""COMPUTED_VALUE"""),0.7)</f>
        <v>0.7</v>
      </c>
      <c r="J570" s="4">
        <f>IFERROR(__xludf.DUMMYFUNCTION("""COMPUTED_VALUE"""),0.0)</f>
        <v>0</v>
      </c>
      <c r="K570" s="4">
        <f>IFERROR(__xludf.DUMMYFUNCTION("""COMPUTED_VALUE"""),250.40339999999998)</f>
        <v>250.4034</v>
      </c>
      <c r="L570" s="4">
        <f>IFERROR(__xludf.DUMMYFUNCTION("""COMPUTED_VALUE"""),2.9329074605217027)</f>
        <v>2.932907461</v>
      </c>
    </row>
    <row r="571">
      <c r="A571" s="4" t="str">
        <f>IFERROR(__xludf.DUMMYFUNCTION("""COMPUTED_VALUE"""),"UGCA444")</f>
        <v>UGCA444</v>
      </c>
      <c r="B571" s="4">
        <f>IFERROR(__xludf.DUMMYFUNCTION("""COMPUTED_VALUE"""),0.98)</f>
        <v>0.98</v>
      </c>
      <c r="C571" s="4">
        <f>IFERROR(__xludf.DUMMYFUNCTION("""COMPUTED_VALUE"""),1.4)</f>
        <v>1.4</v>
      </c>
      <c r="D571" s="4">
        <f>IFERROR(__xludf.DUMMYFUNCTION("""COMPUTED_VALUE"""),28.6)</f>
        <v>28.6</v>
      </c>
      <c r="E571" s="4">
        <f>IFERROR(__xludf.DUMMYFUNCTION("""COMPUTED_VALUE"""),3.34)</f>
        <v>3.34</v>
      </c>
      <c r="F571" s="4">
        <f>IFERROR(__xludf.DUMMYFUNCTION("""COMPUTED_VALUE"""),15.13)</f>
        <v>15.13</v>
      </c>
      <c r="G571" s="4">
        <f>IFERROR(__xludf.DUMMYFUNCTION("""COMPUTED_VALUE"""),5.03)</f>
        <v>5.03</v>
      </c>
      <c r="H571" s="4">
        <f>IFERROR(__xludf.DUMMYFUNCTION("""COMPUTED_VALUE"""),0.0)</f>
        <v>0</v>
      </c>
      <c r="I571" s="4">
        <f>IFERROR(__xludf.DUMMYFUNCTION("""COMPUTED_VALUE"""),0.64)</f>
        <v>0.64</v>
      </c>
      <c r="J571" s="4">
        <f>IFERROR(__xludf.DUMMYFUNCTION("""COMPUTED_VALUE"""),0.0)</f>
        <v>0</v>
      </c>
      <c r="K571" s="4">
        <f>IFERROR(__xludf.DUMMYFUNCTION("""COMPUTED_VALUE"""),254.21780000000004)</f>
        <v>254.2178</v>
      </c>
      <c r="L571" s="4">
        <f>IFERROR(__xludf.DUMMYFUNCTION("""COMPUTED_VALUE"""),3.2175559697235987)</f>
        <v>3.21755597</v>
      </c>
    </row>
    <row r="572">
      <c r="A572" s="4" t="str">
        <f>IFERROR(__xludf.DUMMYFUNCTION("""COMPUTED_VALUE"""),"UGCA444")</f>
        <v>UGCA444</v>
      </c>
      <c r="B572" s="4">
        <f>IFERROR(__xludf.DUMMYFUNCTION("""COMPUTED_VALUE"""),0.98)</f>
        <v>0.98</v>
      </c>
      <c r="C572" s="4">
        <f>IFERROR(__xludf.DUMMYFUNCTION("""COMPUTED_VALUE"""),1.48)</f>
        <v>1.48</v>
      </c>
      <c r="D572" s="4">
        <f>IFERROR(__xludf.DUMMYFUNCTION("""COMPUTED_VALUE"""),28.9)</f>
        <v>28.9</v>
      </c>
      <c r="E572" s="4">
        <f>IFERROR(__xludf.DUMMYFUNCTION("""COMPUTED_VALUE"""),3.21)</f>
        <v>3.21</v>
      </c>
      <c r="F572" s="4">
        <f>IFERROR(__xludf.DUMMYFUNCTION("""COMPUTED_VALUE"""),15.24)</f>
        <v>15.24</v>
      </c>
      <c r="G572" s="4">
        <f>IFERROR(__xludf.DUMMYFUNCTION("""COMPUTED_VALUE"""),5.09)</f>
        <v>5.09</v>
      </c>
      <c r="H572" s="4">
        <f>IFERROR(__xludf.DUMMYFUNCTION("""COMPUTED_VALUE"""),0.0)</f>
        <v>0</v>
      </c>
      <c r="I572" s="4">
        <f>IFERROR(__xludf.DUMMYFUNCTION("""COMPUTED_VALUE"""),0.58)</f>
        <v>0.58</v>
      </c>
      <c r="J572" s="4">
        <f>IFERROR(__xludf.DUMMYFUNCTION("""COMPUTED_VALUE"""),0.0)</f>
        <v>0</v>
      </c>
      <c r="K572" s="4">
        <f>IFERROR(__xludf.DUMMYFUNCTION("""COMPUTED_VALUE"""),258.1657)</f>
        <v>258.1657</v>
      </c>
      <c r="L572" s="4">
        <f>IFERROR(__xludf.DUMMYFUNCTION("""COMPUTED_VALUE"""),3.235170280172772)</f>
        <v>3.23517028</v>
      </c>
    </row>
    <row r="573">
      <c r="A573" s="4" t="str">
        <f>IFERROR(__xludf.DUMMYFUNCTION("""COMPUTED_VALUE"""),"UGCA444")</f>
        <v>UGCA444</v>
      </c>
      <c r="B573" s="4">
        <f>IFERROR(__xludf.DUMMYFUNCTION("""COMPUTED_VALUE"""),0.98)</f>
        <v>0.98</v>
      </c>
      <c r="C573" s="4">
        <f>IFERROR(__xludf.DUMMYFUNCTION("""COMPUTED_VALUE"""),1.55)</f>
        <v>1.55</v>
      </c>
      <c r="D573" s="4">
        <f>IFERROR(__xludf.DUMMYFUNCTION("""COMPUTED_VALUE"""),30.4)</f>
        <v>30.4</v>
      </c>
      <c r="E573" s="4">
        <f>IFERROR(__xludf.DUMMYFUNCTION("""COMPUTED_VALUE"""),4.14)</f>
        <v>4.14</v>
      </c>
      <c r="F573" s="4">
        <f>IFERROR(__xludf.DUMMYFUNCTION("""COMPUTED_VALUE"""),15.34)</f>
        <v>15.34</v>
      </c>
      <c r="G573" s="4">
        <f>IFERROR(__xludf.DUMMYFUNCTION("""COMPUTED_VALUE"""),5.13)</f>
        <v>5.13</v>
      </c>
      <c r="H573" s="4">
        <f>IFERROR(__xludf.DUMMYFUNCTION("""COMPUTED_VALUE"""),0.0)</f>
        <v>0</v>
      </c>
      <c r="I573" s="4">
        <f>IFERROR(__xludf.DUMMYFUNCTION("""COMPUTED_VALUE"""),0.54)</f>
        <v>0.54</v>
      </c>
      <c r="J573" s="4">
        <f>IFERROR(__xludf.DUMMYFUNCTION("""COMPUTED_VALUE"""),0.0)</f>
        <v>0</v>
      </c>
      <c r="K573" s="4">
        <f>IFERROR(__xludf.DUMMYFUNCTION("""COMPUTED_VALUE"""),261.6325)</f>
        <v>261.6325</v>
      </c>
      <c r="L573" s="4">
        <f>IFERROR(__xludf.DUMMYFUNCTION("""COMPUTED_VALUE"""),3.5322828777005912)</f>
        <v>3.532282878</v>
      </c>
    </row>
    <row r="574">
      <c r="A574" s="4" t="str">
        <f>IFERROR(__xludf.DUMMYFUNCTION("""COMPUTED_VALUE"""),"UGCA444")</f>
        <v>UGCA444</v>
      </c>
      <c r="B574" s="4">
        <f>IFERROR(__xludf.DUMMYFUNCTION("""COMPUTED_VALUE"""),0.98)</f>
        <v>0.98</v>
      </c>
      <c r="C574" s="4">
        <f>IFERROR(__xludf.DUMMYFUNCTION("""COMPUTED_VALUE"""),1.62)</f>
        <v>1.62</v>
      </c>
      <c r="D574" s="4">
        <f>IFERROR(__xludf.DUMMYFUNCTION("""COMPUTED_VALUE"""),30.8)</f>
        <v>30.8</v>
      </c>
      <c r="E574" s="4">
        <f>IFERROR(__xludf.DUMMYFUNCTION("""COMPUTED_VALUE"""),4.35)</f>
        <v>4.35</v>
      </c>
      <c r="F574" s="4">
        <f>IFERROR(__xludf.DUMMYFUNCTION("""COMPUTED_VALUE"""),15.54)</f>
        <v>15.54</v>
      </c>
      <c r="G574" s="4">
        <f>IFERROR(__xludf.DUMMYFUNCTION("""COMPUTED_VALUE"""),5.17)</f>
        <v>5.17</v>
      </c>
      <c r="H574" s="4">
        <f>IFERROR(__xludf.DUMMYFUNCTION("""COMPUTED_VALUE"""),0.0)</f>
        <v>0</v>
      </c>
      <c r="I574" s="4">
        <f>IFERROR(__xludf.DUMMYFUNCTION("""COMPUTED_VALUE"""),0.49)</f>
        <v>0.49</v>
      </c>
      <c r="J574" s="4">
        <f>IFERROR(__xludf.DUMMYFUNCTION("""COMPUTED_VALUE"""),0.0)</f>
        <v>0</v>
      </c>
      <c r="K574" s="4">
        <f>IFERROR(__xludf.DUMMYFUNCTION("""COMPUTED_VALUE"""),268.22049999999996)</f>
        <v>268.2205</v>
      </c>
      <c r="L574" s="4">
        <f>IFERROR(__xludf.DUMMYFUNCTION("""COMPUTED_VALUE"""),3.536791557692273)</f>
        <v>3.536791558</v>
      </c>
    </row>
    <row r="575">
      <c r="A575" s="4" t="str">
        <f>IFERROR(__xludf.DUMMYFUNCTION("""COMPUTED_VALUE"""),"UGCA444")</f>
        <v>UGCA444</v>
      </c>
      <c r="B575" s="4">
        <f>IFERROR(__xludf.DUMMYFUNCTION("""COMPUTED_VALUE"""),0.98)</f>
        <v>0.98</v>
      </c>
      <c r="C575" s="4">
        <f>IFERROR(__xludf.DUMMYFUNCTION("""COMPUTED_VALUE"""),1.69)</f>
        <v>1.69</v>
      </c>
      <c r="D575" s="4">
        <f>IFERROR(__xludf.DUMMYFUNCTION("""COMPUTED_VALUE"""),30.5)</f>
        <v>30.5</v>
      </c>
      <c r="E575" s="4">
        <f>IFERROR(__xludf.DUMMYFUNCTION("""COMPUTED_VALUE"""),4.56)</f>
        <v>4.56</v>
      </c>
      <c r="F575" s="4">
        <f>IFERROR(__xludf.DUMMYFUNCTION("""COMPUTED_VALUE"""),15.54)</f>
        <v>15.54</v>
      </c>
      <c r="G575" s="4">
        <f>IFERROR(__xludf.DUMMYFUNCTION("""COMPUTED_VALUE"""),5.21)</f>
        <v>5.21</v>
      </c>
      <c r="H575" s="4">
        <f>IFERROR(__xludf.DUMMYFUNCTION("""COMPUTED_VALUE"""),0.0)</f>
        <v>0</v>
      </c>
      <c r="I575" s="4">
        <f>IFERROR(__xludf.DUMMYFUNCTION("""COMPUTED_VALUE"""),0.45)</f>
        <v>0.45</v>
      </c>
      <c r="J575" s="4">
        <f>IFERROR(__xludf.DUMMYFUNCTION("""COMPUTED_VALUE"""),0.0)</f>
        <v>0</v>
      </c>
      <c r="K575" s="4">
        <f>IFERROR(__xludf.DUMMYFUNCTION("""COMPUTED_VALUE"""),268.6357)</f>
        <v>268.6357</v>
      </c>
      <c r="L575" s="4">
        <f>IFERROR(__xludf.DUMMYFUNCTION("""COMPUTED_VALUE"""),3.462868114699573)</f>
        <v>3.462868115</v>
      </c>
    </row>
    <row r="576">
      <c r="A576" s="4" t="str">
        <f>IFERROR(__xludf.DUMMYFUNCTION("""COMPUTED_VALUE"""),"UGCA444")</f>
        <v>UGCA444</v>
      </c>
      <c r="B576" s="4">
        <f>IFERROR(__xludf.DUMMYFUNCTION("""COMPUTED_VALUE"""),0.98)</f>
        <v>0.98</v>
      </c>
      <c r="C576" s="4">
        <f>IFERROR(__xludf.DUMMYFUNCTION("""COMPUTED_VALUE"""),1.75)</f>
        <v>1.75</v>
      </c>
      <c r="D576" s="4">
        <f>IFERROR(__xludf.DUMMYFUNCTION("""COMPUTED_VALUE"""),33.0)</f>
        <v>33</v>
      </c>
      <c r="E576" s="4">
        <f>IFERROR(__xludf.DUMMYFUNCTION("""COMPUTED_VALUE"""),4.04)</f>
        <v>4.04</v>
      </c>
      <c r="F576" s="4">
        <f>IFERROR(__xludf.DUMMYFUNCTION("""COMPUTED_VALUE"""),15.54)</f>
        <v>15.54</v>
      </c>
      <c r="G576" s="4">
        <f>IFERROR(__xludf.DUMMYFUNCTION("""COMPUTED_VALUE"""),5.22)</f>
        <v>5.22</v>
      </c>
      <c r="H576" s="4">
        <f>IFERROR(__xludf.DUMMYFUNCTION("""COMPUTED_VALUE"""),0.0)</f>
        <v>0</v>
      </c>
      <c r="I576" s="4">
        <f>IFERROR(__xludf.DUMMYFUNCTION("""COMPUTED_VALUE"""),0.42)</f>
        <v>0.42</v>
      </c>
      <c r="J576" s="4">
        <f>IFERROR(__xludf.DUMMYFUNCTION("""COMPUTED_VALUE"""),0.0)</f>
        <v>0</v>
      </c>
      <c r="K576" s="4">
        <f>IFERROR(__xludf.DUMMYFUNCTION("""COMPUTED_VALUE"""),268.73999999999995)</f>
        <v>268.74</v>
      </c>
      <c r="L576" s="4">
        <f>IFERROR(__xludf.DUMMYFUNCTION("""COMPUTED_VALUE"""),4.05224380442063)</f>
        <v>4.052243804</v>
      </c>
    </row>
    <row r="577">
      <c r="A577" s="4" t="str">
        <f>IFERROR(__xludf.DUMMYFUNCTION("""COMPUTED_VALUE"""),"UGCA444")</f>
        <v>UGCA444</v>
      </c>
      <c r="B577" s="4">
        <f>IFERROR(__xludf.DUMMYFUNCTION("""COMPUTED_VALUE"""),0.98)</f>
        <v>0.98</v>
      </c>
      <c r="C577" s="4">
        <f>IFERROR(__xludf.DUMMYFUNCTION("""COMPUTED_VALUE"""),1.83)</f>
        <v>1.83</v>
      </c>
      <c r="D577" s="4">
        <f>IFERROR(__xludf.DUMMYFUNCTION("""COMPUTED_VALUE"""),32.1)</f>
        <v>32.1</v>
      </c>
      <c r="E577" s="4">
        <f>IFERROR(__xludf.DUMMYFUNCTION("""COMPUTED_VALUE"""),4.35)</f>
        <v>4.35</v>
      </c>
      <c r="F577" s="4">
        <f>IFERROR(__xludf.DUMMYFUNCTION("""COMPUTED_VALUE"""),15.64)</f>
        <v>15.64</v>
      </c>
      <c r="G577" s="4">
        <f>IFERROR(__xludf.DUMMYFUNCTION("""COMPUTED_VALUE"""),5.25)</f>
        <v>5.25</v>
      </c>
      <c r="H577" s="4">
        <f>IFERROR(__xludf.DUMMYFUNCTION("""COMPUTED_VALUE"""),0.0)</f>
        <v>0</v>
      </c>
      <c r="I577" s="4">
        <f>IFERROR(__xludf.DUMMYFUNCTION("""COMPUTED_VALUE"""),0.38)</f>
        <v>0.38</v>
      </c>
      <c r="J577" s="4">
        <f>IFERROR(__xludf.DUMMYFUNCTION("""COMPUTED_VALUE"""),0.0)</f>
        <v>0</v>
      </c>
      <c r="K577" s="4">
        <f>IFERROR(__xludf.DUMMYFUNCTION("""COMPUTED_VALUE"""),272.1721)</f>
        <v>272.1721</v>
      </c>
      <c r="L577" s="4">
        <f>IFERROR(__xludf.DUMMYFUNCTION("""COMPUTED_VALUE"""),3.7858766567183046)</f>
        <v>3.785876657</v>
      </c>
    </row>
    <row r="578">
      <c r="A578" s="4" t="str">
        <f>IFERROR(__xludf.DUMMYFUNCTION("""COMPUTED_VALUE"""),"UGCA444")</f>
        <v>UGCA444</v>
      </c>
      <c r="B578" s="4">
        <f>IFERROR(__xludf.DUMMYFUNCTION("""COMPUTED_VALUE"""),0.98)</f>
        <v>0.98</v>
      </c>
      <c r="C578" s="4">
        <f>IFERROR(__xludf.DUMMYFUNCTION("""COMPUTED_VALUE"""),1.9)</f>
        <v>1.9</v>
      </c>
      <c r="D578" s="4">
        <f>IFERROR(__xludf.DUMMYFUNCTION("""COMPUTED_VALUE"""),32.9)</f>
        <v>32.9</v>
      </c>
      <c r="E578" s="4">
        <f>IFERROR(__xludf.DUMMYFUNCTION("""COMPUTED_VALUE"""),4.36)</f>
        <v>4.36</v>
      </c>
      <c r="F578" s="4">
        <f>IFERROR(__xludf.DUMMYFUNCTION("""COMPUTED_VALUE"""),15.64)</f>
        <v>15.64</v>
      </c>
      <c r="G578" s="4">
        <f>IFERROR(__xludf.DUMMYFUNCTION("""COMPUTED_VALUE"""),5.28)</f>
        <v>5.28</v>
      </c>
      <c r="H578" s="4">
        <f>IFERROR(__xludf.DUMMYFUNCTION("""COMPUTED_VALUE"""),0.0)</f>
        <v>0</v>
      </c>
      <c r="I578" s="4">
        <f>IFERROR(__xludf.DUMMYFUNCTION("""COMPUTED_VALUE"""),0.35)</f>
        <v>0.35</v>
      </c>
      <c r="J578" s="4">
        <f>IFERROR(__xludf.DUMMYFUNCTION("""COMPUTED_VALUE"""),0.0)</f>
        <v>0</v>
      </c>
      <c r="K578" s="4">
        <f>IFERROR(__xludf.DUMMYFUNCTION("""COMPUTED_VALUE"""),272.48800000000006)</f>
        <v>272.488</v>
      </c>
      <c r="L578" s="4">
        <f>IFERROR(__xludf.DUMMYFUNCTION("""COMPUTED_VALUE"""),3.9723217169196428)</f>
        <v>3.972321717</v>
      </c>
    </row>
    <row r="579">
      <c r="A579" s="4" t="str">
        <f>IFERROR(__xludf.DUMMYFUNCTION("""COMPUTED_VALUE"""),"UGCA444")</f>
        <v>UGCA444</v>
      </c>
      <c r="B579" s="4">
        <f>IFERROR(__xludf.DUMMYFUNCTION("""COMPUTED_VALUE"""),0.98)</f>
        <v>0.98</v>
      </c>
      <c r="C579" s="4">
        <f>IFERROR(__xludf.DUMMYFUNCTION("""COMPUTED_VALUE"""),1.97)</f>
        <v>1.97</v>
      </c>
      <c r="D579" s="4">
        <f>IFERROR(__xludf.DUMMYFUNCTION("""COMPUTED_VALUE"""),34.2)</f>
        <v>34.2</v>
      </c>
      <c r="E579" s="4">
        <f>IFERROR(__xludf.DUMMYFUNCTION("""COMPUTED_VALUE"""),4.9)</f>
        <v>4.9</v>
      </c>
      <c r="F579" s="4">
        <f>IFERROR(__xludf.DUMMYFUNCTION("""COMPUTED_VALUE"""),15.64)</f>
        <v>15.64</v>
      </c>
      <c r="G579" s="4">
        <f>IFERROR(__xludf.DUMMYFUNCTION("""COMPUTED_VALUE"""),5.3)</f>
        <v>5.3</v>
      </c>
      <c r="H579" s="4">
        <f>IFERROR(__xludf.DUMMYFUNCTION("""COMPUTED_VALUE"""),0.0)</f>
        <v>0</v>
      </c>
      <c r="I579" s="4">
        <f>IFERROR(__xludf.DUMMYFUNCTION("""COMPUTED_VALUE"""),0.32)</f>
        <v>0.32</v>
      </c>
      <c r="J579" s="4">
        <f>IFERROR(__xludf.DUMMYFUNCTION("""COMPUTED_VALUE"""),0.0)</f>
        <v>0</v>
      </c>
      <c r="K579" s="4">
        <f>IFERROR(__xludf.DUMMYFUNCTION("""COMPUTED_VALUE"""),272.69960000000003)</f>
        <v>272.6996</v>
      </c>
      <c r="L579" s="4">
        <f>IFERROR(__xludf.DUMMYFUNCTION("""COMPUTED_VALUE"""),4.2891152022225185)</f>
        <v>4.289115202</v>
      </c>
    </row>
    <row r="580">
      <c r="A580" s="4" t="str">
        <f>IFERROR(__xludf.DUMMYFUNCTION("""COMPUTED_VALUE"""),"UGCA444")</f>
        <v>UGCA444</v>
      </c>
      <c r="B580" s="4">
        <f>IFERROR(__xludf.DUMMYFUNCTION("""COMPUTED_VALUE"""),0.98)</f>
        <v>0.98</v>
      </c>
      <c r="C580" s="4">
        <f>IFERROR(__xludf.DUMMYFUNCTION("""COMPUTED_VALUE"""),2.04)</f>
        <v>2.04</v>
      </c>
      <c r="D580" s="4">
        <f>IFERROR(__xludf.DUMMYFUNCTION("""COMPUTED_VALUE"""),32.6)</f>
        <v>32.6</v>
      </c>
      <c r="E580" s="4">
        <f>IFERROR(__xludf.DUMMYFUNCTION("""COMPUTED_VALUE"""),3.98)</f>
        <v>3.98</v>
      </c>
      <c r="F580" s="4">
        <f>IFERROR(__xludf.DUMMYFUNCTION("""COMPUTED_VALUE"""),15.64)</f>
        <v>15.64</v>
      </c>
      <c r="G580" s="4">
        <f>IFERROR(__xludf.DUMMYFUNCTION("""COMPUTED_VALUE"""),5.31)</f>
        <v>5.31</v>
      </c>
      <c r="H580" s="4">
        <f>IFERROR(__xludf.DUMMYFUNCTION("""COMPUTED_VALUE"""),0.0)</f>
        <v>0</v>
      </c>
      <c r="I580" s="4">
        <f>IFERROR(__xludf.DUMMYFUNCTION("""COMPUTED_VALUE"""),0.3)</f>
        <v>0.3</v>
      </c>
      <c r="J580" s="4">
        <f>IFERROR(__xludf.DUMMYFUNCTION("""COMPUTED_VALUE"""),0.0)</f>
        <v>0</v>
      </c>
      <c r="K580" s="4">
        <f>IFERROR(__xludf.DUMMYFUNCTION("""COMPUTED_VALUE"""),272.8057)</f>
        <v>272.8057</v>
      </c>
      <c r="L580" s="4">
        <f>IFERROR(__xludf.DUMMYFUNCTION("""COMPUTED_VALUE"""),3.8956664028647494)</f>
        <v>3.895666403</v>
      </c>
    </row>
    <row r="581">
      <c r="A581" s="4" t="str">
        <f>IFERROR(__xludf.DUMMYFUNCTION("""COMPUTED_VALUE"""),"UGCA444")</f>
        <v>UGCA444</v>
      </c>
      <c r="B581" s="4">
        <f>IFERROR(__xludf.DUMMYFUNCTION("""COMPUTED_VALUE"""),0.98)</f>
        <v>0.98</v>
      </c>
      <c r="C581" s="4">
        <f>IFERROR(__xludf.DUMMYFUNCTION("""COMPUTED_VALUE"""),2.11)</f>
        <v>2.11</v>
      </c>
      <c r="D581" s="4">
        <f>IFERROR(__xludf.DUMMYFUNCTION("""COMPUTED_VALUE"""),33.7)</f>
        <v>33.7</v>
      </c>
      <c r="E581" s="4">
        <f>IFERROR(__xludf.DUMMYFUNCTION("""COMPUTED_VALUE"""),4.73)</f>
        <v>4.73</v>
      </c>
      <c r="F581" s="4">
        <f>IFERROR(__xludf.DUMMYFUNCTION("""COMPUTED_VALUE"""),15.74)</f>
        <v>15.74</v>
      </c>
      <c r="G581" s="4">
        <f>IFERROR(__xludf.DUMMYFUNCTION("""COMPUTED_VALUE"""),5.33)</f>
        <v>5.33</v>
      </c>
      <c r="H581" s="4">
        <f>IFERROR(__xludf.DUMMYFUNCTION("""COMPUTED_VALUE"""),0.0)</f>
        <v>0</v>
      </c>
      <c r="I581" s="4">
        <f>IFERROR(__xludf.DUMMYFUNCTION("""COMPUTED_VALUE"""),0.27)</f>
        <v>0.27</v>
      </c>
      <c r="J581" s="4">
        <f>IFERROR(__xludf.DUMMYFUNCTION("""COMPUTED_VALUE"""),0.0)</f>
        <v>0</v>
      </c>
      <c r="K581" s="4">
        <f>IFERROR(__xludf.DUMMYFUNCTION("""COMPUTED_VALUE"""),276.1565)</f>
        <v>276.1565</v>
      </c>
      <c r="L581" s="4">
        <f>IFERROR(__xludf.DUMMYFUNCTION("""COMPUTED_VALUE"""),4.112486941281484)</f>
        <v>4.112486941</v>
      </c>
    </row>
    <row r="582">
      <c r="A582" s="4" t="str">
        <f>IFERROR(__xludf.DUMMYFUNCTION("""COMPUTED_VALUE"""),"UGCA444")</f>
        <v>UGCA444</v>
      </c>
      <c r="B582" s="4">
        <f>IFERROR(__xludf.DUMMYFUNCTION("""COMPUTED_VALUE"""),0.98)</f>
        <v>0.98</v>
      </c>
      <c r="C582" s="4">
        <f>IFERROR(__xludf.DUMMYFUNCTION("""COMPUTED_VALUE"""),2.19)</f>
        <v>2.19</v>
      </c>
      <c r="D582" s="4">
        <f>IFERROR(__xludf.DUMMYFUNCTION("""COMPUTED_VALUE"""),33.8)</f>
        <v>33.8</v>
      </c>
      <c r="E582" s="4">
        <f>IFERROR(__xludf.DUMMYFUNCTION("""COMPUTED_VALUE"""),4.67)</f>
        <v>4.67</v>
      </c>
      <c r="F582" s="4">
        <f>IFERROR(__xludf.DUMMYFUNCTION("""COMPUTED_VALUE"""),15.64)</f>
        <v>15.64</v>
      </c>
      <c r="G582" s="4">
        <f>IFERROR(__xludf.DUMMYFUNCTION("""COMPUTED_VALUE"""),5.35)</f>
        <v>5.35</v>
      </c>
      <c r="H582" s="4">
        <f>IFERROR(__xludf.DUMMYFUNCTION("""COMPUTED_VALUE"""),0.0)</f>
        <v>0</v>
      </c>
      <c r="I582" s="4">
        <f>IFERROR(__xludf.DUMMYFUNCTION("""COMPUTED_VALUE"""),0.25)</f>
        <v>0.25</v>
      </c>
      <c r="J582" s="4">
        <f>IFERROR(__xludf.DUMMYFUNCTION("""COMPUTED_VALUE"""),0.0)</f>
        <v>0</v>
      </c>
      <c r="K582" s="4">
        <f>IFERROR(__xludf.DUMMYFUNCTION("""COMPUTED_VALUE"""),273.2321)</f>
        <v>273.2321</v>
      </c>
      <c r="L582" s="4">
        <f>IFERROR(__xludf.DUMMYFUNCTION("""COMPUTED_VALUE"""),4.181207112927067)</f>
        <v>4.181207113</v>
      </c>
    </row>
    <row r="583">
      <c r="A583" s="4" t="str">
        <f>IFERROR(__xludf.DUMMYFUNCTION("""COMPUTED_VALUE"""),"UGCA444")</f>
        <v>UGCA444</v>
      </c>
      <c r="B583" s="4">
        <f>IFERROR(__xludf.DUMMYFUNCTION("""COMPUTED_VALUE"""),0.98)</f>
        <v>0.98</v>
      </c>
      <c r="C583" s="4">
        <f>IFERROR(__xludf.DUMMYFUNCTION("""COMPUTED_VALUE"""),2.26)</f>
        <v>2.26</v>
      </c>
      <c r="D583" s="4">
        <f>IFERROR(__xludf.DUMMYFUNCTION("""COMPUTED_VALUE"""),34.9)</f>
        <v>34.9</v>
      </c>
      <c r="E583" s="4">
        <f>IFERROR(__xludf.DUMMYFUNCTION("""COMPUTED_VALUE"""),3.74)</f>
        <v>3.74</v>
      </c>
      <c r="F583" s="4">
        <f>IFERROR(__xludf.DUMMYFUNCTION("""COMPUTED_VALUE"""),15.64)</f>
        <v>15.64</v>
      </c>
      <c r="G583" s="4">
        <f>IFERROR(__xludf.DUMMYFUNCTION("""COMPUTED_VALUE"""),5.36)</f>
        <v>5.36</v>
      </c>
      <c r="H583" s="4">
        <f>IFERROR(__xludf.DUMMYFUNCTION("""COMPUTED_VALUE"""),0.0)</f>
        <v>0</v>
      </c>
      <c r="I583" s="4">
        <f>IFERROR(__xludf.DUMMYFUNCTION("""COMPUTED_VALUE"""),0.23)</f>
        <v>0.23</v>
      </c>
      <c r="J583" s="4">
        <f>IFERROR(__xludf.DUMMYFUNCTION("""COMPUTED_VALUE"""),0.0)</f>
        <v>0</v>
      </c>
      <c r="K583" s="4">
        <f>IFERROR(__xludf.DUMMYFUNCTION("""COMPUTED_VALUE"""),273.3392)</f>
        <v>273.3392</v>
      </c>
      <c r="L583" s="4">
        <f>IFERROR(__xludf.DUMMYFUNCTION("""COMPUTED_VALUE"""),4.456038504539415)</f>
        <v>4.456038505</v>
      </c>
    </row>
    <row r="584">
      <c r="A584" s="4" t="str">
        <f>IFERROR(__xludf.DUMMYFUNCTION("""COMPUTED_VALUE"""),"UGCA444")</f>
        <v>UGCA444</v>
      </c>
      <c r="B584" s="4">
        <f>IFERROR(__xludf.DUMMYFUNCTION("""COMPUTED_VALUE"""),0.98)</f>
        <v>0.98</v>
      </c>
      <c r="C584" s="4">
        <f>IFERROR(__xludf.DUMMYFUNCTION("""COMPUTED_VALUE"""),2.33)</f>
        <v>2.33</v>
      </c>
      <c r="D584" s="4">
        <f>IFERROR(__xludf.DUMMYFUNCTION("""COMPUTED_VALUE"""),36.1)</f>
        <v>36.1</v>
      </c>
      <c r="E584" s="4">
        <f>IFERROR(__xludf.DUMMYFUNCTION("""COMPUTED_VALUE"""),5.47)</f>
        <v>5.47</v>
      </c>
      <c r="F584" s="4">
        <f>IFERROR(__xludf.DUMMYFUNCTION("""COMPUTED_VALUE"""),15.64)</f>
        <v>15.64</v>
      </c>
      <c r="G584" s="4">
        <f>IFERROR(__xludf.DUMMYFUNCTION("""COMPUTED_VALUE"""),5.39)</f>
        <v>5.39</v>
      </c>
      <c r="H584" s="4">
        <f>IFERROR(__xludf.DUMMYFUNCTION("""COMPUTED_VALUE"""),0.0)</f>
        <v>0</v>
      </c>
      <c r="I584" s="4">
        <f>IFERROR(__xludf.DUMMYFUNCTION("""COMPUTED_VALUE"""),0.21)</f>
        <v>0.21</v>
      </c>
      <c r="J584" s="4">
        <f>IFERROR(__xludf.DUMMYFUNCTION("""COMPUTED_VALUE"""),0.0)</f>
        <v>0</v>
      </c>
      <c r="K584" s="4">
        <f>IFERROR(__xludf.DUMMYFUNCTION("""COMPUTED_VALUE"""),273.6617)</f>
        <v>273.6617</v>
      </c>
      <c r="L584" s="4">
        <f>IFERROR(__xludf.DUMMYFUNCTION("""COMPUTED_VALUE"""),4.762120530567485)</f>
        <v>4.762120531</v>
      </c>
    </row>
    <row r="585">
      <c r="A585" s="4" t="str">
        <f>IFERROR(__xludf.DUMMYFUNCTION("""COMPUTED_VALUE"""),"UGCA444")</f>
        <v>UGCA444</v>
      </c>
      <c r="B585" s="4">
        <f>IFERROR(__xludf.DUMMYFUNCTION("""COMPUTED_VALUE"""),0.98)</f>
        <v>0.98</v>
      </c>
      <c r="C585" s="4">
        <f>IFERROR(__xludf.DUMMYFUNCTION("""COMPUTED_VALUE"""),2.4)</f>
        <v>2.4</v>
      </c>
      <c r="D585" s="4">
        <f>IFERROR(__xludf.DUMMYFUNCTION("""COMPUTED_VALUE"""),37.2)</f>
        <v>37.2</v>
      </c>
      <c r="E585" s="4">
        <f>IFERROR(__xludf.DUMMYFUNCTION("""COMPUTED_VALUE"""),5.39)</f>
        <v>5.39</v>
      </c>
      <c r="F585" s="4">
        <f>IFERROR(__xludf.DUMMYFUNCTION("""COMPUTED_VALUE"""),15.24)</f>
        <v>15.24</v>
      </c>
      <c r="G585" s="4">
        <f>IFERROR(__xludf.DUMMYFUNCTION("""COMPUTED_VALUE"""),5.42)</f>
        <v>5.42</v>
      </c>
      <c r="H585" s="4">
        <f>IFERROR(__xludf.DUMMYFUNCTION("""COMPUTED_VALUE"""),0.0)</f>
        <v>0</v>
      </c>
      <c r="I585" s="4">
        <f>IFERROR(__xludf.DUMMYFUNCTION("""COMPUTED_VALUE"""),0.19)</f>
        <v>0.19</v>
      </c>
      <c r="J585" s="4">
        <f>IFERROR(__xludf.DUMMYFUNCTION("""COMPUTED_VALUE"""),0.0)</f>
        <v>0</v>
      </c>
      <c r="K585" s="4">
        <f>IFERROR(__xludf.DUMMYFUNCTION("""COMPUTED_VALUE"""),261.634)</f>
        <v>261.634</v>
      </c>
      <c r="L585" s="4">
        <f>IFERROR(__xludf.DUMMYFUNCTION("""COMPUTED_VALUE"""),5.289220819924016)</f>
        <v>5.28922082</v>
      </c>
    </row>
    <row r="586">
      <c r="A586" s="4" t="str">
        <f>IFERROR(__xludf.DUMMYFUNCTION("""COMPUTED_VALUE"""),"UGCA444")</f>
        <v>UGCA444</v>
      </c>
      <c r="B586" s="4">
        <f>IFERROR(__xludf.DUMMYFUNCTION("""COMPUTED_VALUE"""),0.98)</f>
        <v>0.98</v>
      </c>
      <c r="C586" s="4">
        <f>IFERROR(__xludf.DUMMYFUNCTION("""COMPUTED_VALUE"""),2.48)</f>
        <v>2.48</v>
      </c>
      <c r="D586" s="4">
        <f>IFERROR(__xludf.DUMMYFUNCTION("""COMPUTED_VALUE"""),37.6)</f>
        <v>37.6</v>
      </c>
      <c r="E586" s="4">
        <f>IFERROR(__xludf.DUMMYFUNCTION("""COMPUTED_VALUE"""),7.1)</f>
        <v>7.1</v>
      </c>
      <c r="F586" s="4">
        <f>IFERROR(__xludf.DUMMYFUNCTION("""COMPUTED_VALUE"""),14.73)</f>
        <v>14.73</v>
      </c>
      <c r="G586" s="4">
        <f>IFERROR(__xludf.DUMMYFUNCTION("""COMPUTED_VALUE"""),5.5)</f>
        <v>5.5</v>
      </c>
      <c r="H586" s="4">
        <f>IFERROR(__xludf.DUMMYFUNCTION("""COMPUTED_VALUE"""),0.0)</f>
        <v>0</v>
      </c>
      <c r="I586" s="4">
        <f>IFERROR(__xludf.DUMMYFUNCTION("""COMPUTED_VALUE"""),0.17)</f>
        <v>0.17</v>
      </c>
      <c r="J586" s="4">
        <f>IFERROR(__xludf.DUMMYFUNCTION("""COMPUTED_VALUE"""),0.0)</f>
        <v>0</v>
      </c>
      <c r="K586" s="4">
        <f>IFERROR(__xludf.DUMMYFUNCTION("""COMPUTED_VALUE"""),247.2229)</f>
        <v>247.2229</v>
      </c>
      <c r="L586" s="4">
        <f>IFERROR(__xludf.DUMMYFUNCTION("""COMPUTED_VALUE"""),5.718564097419779)</f>
        <v>5.718564097</v>
      </c>
    </row>
    <row r="587">
      <c r="A587" s="4" t="str">
        <f>IFERROR(__xludf.DUMMYFUNCTION("""COMPUTED_VALUE"""),"UGCA444")</f>
        <v>UGCA444</v>
      </c>
      <c r="B587" s="4">
        <f>IFERROR(__xludf.DUMMYFUNCTION("""COMPUTED_VALUE"""),0.98)</f>
        <v>0.98</v>
      </c>
      <c r="C587" s="4">
        <f>IFERROR(__xludf.DUMMYFUNCTION("""COMPUTED_VALUE"""),2.55)</f>
        <v>2.55</v>
      </c>
      <c r="D587" s="4">
        <f>IFERROR(__xludf.DUMMYFUNCTION("""COMPUTED_VALUE"""),35.6)</f>
        <v>35.6</v>
      </c>
      <c r="E587" s="4">
        <f>IFERROR(__xludf.DUMMYFUNCTION("""COMPUTED_VALUE"""),4.73)</f>
        <v>4.73</v>
      </c>
      <c r="F587" s="4">
        <f>IFERROR(__xludf.DUMMYFUNCTION("""COMPUTED_VALUE"""),14.22)</f>
        <v>14.22</v>
      </c>
      <c r="G587" s="4">
        <f>IFERROR(__xludf.DUMMYFUNCTION("""COMPUTED_VALUE"""),5.46)</f>
        <v>5.46</v>
      </c>
      <c r="H587" s="4">
        <f>IFERROR(__xludf.DUMMYFUNCTION("""COMPUTED_VALUE"""),0.0)</f>
        <v>0</v>
      </c>
      <c r="I587" s="4">
        <f>IFERROR(__xludf.DUMMYFUNCTION("""COMPUTED_VALUE"""),0.0)</f>
        <v>0</v>
      </c>
      <c r="J587" s="4">
        <f>IFERROR(__xludf.DUMMYFUNCTION("""COMPUTED_VALUE"""),0.0)</f>
        <v>0</v>
      </c>
      <c r="K587" s="4">
        <f>IFERROR(__xludf.DUMMYFUNCTION("""COMPUTED_VALUE"""),232.02)</f>
        <v>232.02</v>
      </c>
      <c r="L587" s="4">
        <f>IFERROR(__xludf.DUMMYFUNCTION("""COMPUTED_VALUE"""),5.4622877338160505)</f>
        <v>5.462287734</v>
      </c>
    </row>
    <row r="588">
      <c r="A588" s="5" t="str">
        <f>IFERROR(__xludf.DUMMYFUNCTION("""COMPUTED_VALUE"""),"UGCA444")</f>
        <v>UGCA444</v>
      </c>
      <c r="B588" s="5">
        <f>IFERROR(__xludf.DUMMYFUNCTION("""COMPUTED_VALUE"""),0.98)</f>
        <v>0.98</v>
      </c>
      <c r="C588" s="5">
        <f>IFERROR(__xludf.DUMMYFUNCTION("""COMPUTED_VALUE"""),2.62)</f>
        <v>2.62</v>
      </c>
      <c r="D588" s="5">
        <f>IFERROR(__xludf.DUMMYFUNCTION("""COMPUTED_VALUE"""),38.3)</f>
        <v>38.3</v>
      </c>
      <c r="E588" s="5">
        <f>IFERROR(__xludf.DUMMYFUNCTION("""COMPUTED_VALUE"""),7.78)</f>
        <v>7.78</v>
      </c>
      <c r="F588" s="5">
        <f>IFERROR(__xludf.DUMMYFUNCTION("""COMPUTED_VALUE"""),13.81)</f>
        <v>13.81</v>
      </c>
      <c r="G588" s="5">
        <f>IFERROR(__xludf.DUMMYFUNCTION("""COMPUTED_VALUE"""),5.25)</f>
        <v>5.25</v>
      </c>
      <c r="H588" s="5">
        <f>IFERROR(__xludf.DUMMYFUNCTION("""COMPUTED_VALUE"""),0.0)</f>
        <v>0</v>
      </c>
      <c r="I588" s="5">
        <f>IFERROR(__xludf.DUMMYFUNCTION("""COMPUTED_VALUE"""),0.0)</f>
        <v>0</v>
      </c>
      <c r="J588" s="5">
        <f>IFERROR(__xludf.DUMMYFUNCTION("""COMPUTED_VALUE"""),0.0)</f>
        <v>0</v>
      </c>
      <c r="K588" s="5">
        <f>IFERROR(__xludf.DUMMYFUNCTION("""COMPUTED_VALUE"""),218.2786)</f>
        <v>218.2786</v>
      </c>
      <c r="L588" s="5">
        <f>IFERROR(__xludf.DUMMYFUNCTION("""COMPUTED_VALUE"""),6.72026483585656)</f>
        <v>6.720264836</v>
      </c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</sheetData>
  <autoFilter ref="$A$1:$Z$1000">
    <sortState ref="A1:Z1000">
      <sortCondition ref="C1:C1000"/>
      <sortCondition ref="A1:A100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6">
        <v>3.36</v>
      </c>
      <c r="C1" s="6">
        <v>1.79</v>
      </c>
      <c r="D1" s="6">
        <v>20.1</v>
      </c>
      <c r="E1" s="6">
        <v>1.5</v>
      </c>
      <c r="F1" s="6">
        <v>6.91</v>
      </c>
      <c r="G1" s="6">
        <v>14.91</v>
      </c>
      <c r="H1" s="6">
        <v>0.0</v>
      </c>
      <c r="I1" s="6">
        <v>0.88</v>
      </c>
      <c r="J1" s="6">
        <v>0.0</v>
      </c>
      <c r="K1" s="6">
        <v>270.0562</v>
      </c>
      <c r="L1" s="6">
        <v>1.4960219391371132</v>
      </c>
      <c r="M1" s="2" t="s">
        <v>185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6">
        <v>15.2</v>
      </c>
      <c r="C2" s="6">
        <v>3.83</v>
      </c>
      <c r="D2" s="6">
        <v>35.9</v>
      </c>
      <c r="E2" s="6">
        <v>5.98</v>
      </c>
      <c r="F2" s="6">
        <v>8.09</v>
      </c>
      <c r="G2" s="6">
        <v>20.08</v>
      </c>
      <c r="H2" s="6">
        <v>0.0</v>
      </c>
      <c r="I2" s="6">
        <v>1.79</v>
      </c>
      <c r="J2" s="6">
        <v>0.0</v>
      </c>
      <c r="K2" s="6">
        <v>468.6544999999999</v>
      </c>
      <c r="L2" s="6">
        <v>2.750021604401537</v>
      </c>
      <c r="M2" s="2" t="s">
        <v>185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6">
        <v>8.79</v>
      </c>
      <c r="C3" s="6">
        <v>3.07</v>
      </c>
      <c r="D3" s="6">
        <v>25.0</v>
      </c>
      <c r="E3" s="6">
        <v>2.05</v>
      </c>
      <c r="F3" s="6">
        <v>7.04</v>
      </c>
      <c r="G3" s="6">
        <v>7.65</v>
      </c>
      <c r="H3" s="6">
        <v>0.0</v>
      </c>
      <c r="I3" s="6">
        <v>0.0</v>
      </c>
      <c r="J3" s="6">
        <v>0.0</v>
      </c>
      <c r="K3" s="6">
        <v>108.0841</v>
      </c>
      <c r="L3" s="6">
        <v>5.782534156272754</v>
      </c>
      <c r="M3" s="2" t="s">
        <v>185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6">
        <v>7.72</v>
      </c>
      <c r="C4" s="6">
        <v>7.19</v>
      </c>
      <c r="D4" s="6">
        <v>57.3</v>
      </c>
      <c r="E4" s="6">
        <v>3.94</v>
      </c>
      <c r="F4" s="6">
        <v>16.47</v>
      </c>
      <c r="G4" s="6">
        <v>11.08</v>
      </c>
      <c r="H4" s="6">
        <v>0.0</v>
      </c>
      <c r="I4" s="6">
        <v>0.0</v>
      </c>
      <c r="J4" s="6">
        <v>0.0</v>
      </c>
      <c r="K4" s="6">
        <v>394.02729999999997</v>
      </c>
      <c r="L4" s="6">
        <v>8.332645986712087</v>
      </c>
      <c r="M4" s="2" t="s">
        <v>186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</v>
      </c>
      <c r="B5" s="6">
        <v>6.8</v>
      </c>
      <c r="C5" s="6">
        <v>2.98</v>
      </c>
      <c r="D5" s="6">
        <v>46.9</v>
      </c>
      <c r="E5" s="6">
        <v>8.65</v>
      </c>
      <c r="F5" s="6">
        <v>22.17</v>
      </c>
      <c r="G5" s="6">
        <v>17.21</v>
      </c>
      <c r="H5" s="6">
        <v>0.0</v>
      </c>
      <c r="I5" s="6">
        <v>0.0</v>
      </c>
      <c r="J5" s="6">
        <v>0.0</v>
      </c>
      <c r="K5" s="6">
        <v>787.6930000000002</v>
      </c>
      <c r="L5" s="6">
        <v>2.7924711784921272</v>
      </c>
      <c r="M5" s="2" t="s">
        <v>186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6</v>
      </c>
      <c r="B6" s="6">
        <v>4.04</v>
      </c>
      <c r="C6" s="6">
        <v>5.92</v>
      </c>
      <c r="D6" s="6">
        <v>45.5</v>
      </c>
      <c r="E6" s="6">
        <v>1.3</v>
      </c>
      <c r="F6" s="6">
        <v>15.64</v>
      </c>
      <c r="G6" s="6">
        <v>6.26</v>
      </c>
      <c r="H6" s="6">
        <v>0.0</v>
      </c>
      <c r="I6" s="6">
        <v>0.0</v>
      </c>
      <c r="J6" s="6">
        <v>0.0</v>
      </c>
      <c r="K6" s="6">
        <v>283.79720000000003</v>
      </c>
      <c r="L6" s="6">
        <v>7.294821795281982</v>
      </c>
      <c r="M6" s="2" t="s">
        <v>185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7</v>
      </c>
      <c r="B7" s="6">
        <v>7.5</v>
      </c>
      <c r="C7" s="6">
        <v>13.37</v>
      </c>
      <c r="D7" s="6">
        <v>66.1</v>
      </c>
      <c r="E7" s="6">
        <v>1.31</v>
      </c>
      <c r="F7" s="6">
        <v>27.81</v>
      </c>
      <c r="G7" s="6">
        <v>13.59</v>
      </c>
      <c r="H7" s="6">
        <v>0.0</v>
      </c>
      <c r="I7" s="6">
        <v>0.0</v>
      </c>
      <c r="J7" s="6">
        <v>0.0</v>
      </c>
      <c r="K7" s="6">
        <v>958.0841999999999</v>
      </c>
      <c r="L7" s="6">
        <v>4.560361187461394</v>
      </c>
      <c r="M7" s="2" t="s">
        <v>186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8</v>
      </c>
      <c r="B8" s="6">
        <v>4.25</v>
      </c>
      <c r="C8" s="6">
        <v>4.12</v>
      </c>
      <c r="D8" s="6">
        <v>52.0</v>
      </c>
      <c r="E8" s="6">
        <v>2.7</v>
      </c>
      <c r="F8" s="6">
        <v>22.74</v>
      </c>
      <c r="G8" s="6">
        <v>16.37</v>
      </c>
      <c r="H8" s="6">
        <v>0.0</v>
      </c>
      <c r="I8" s="6">
        <v>0.0</v>
      </c>
      <c r="J8" s="6">
        <v>0.0</v>
      </c>
      <c r="K8" s="6">
        <v>785.0844999999999</v>
      </c>
      <c r="L8" s="6">
        <v>3.444215240525065</v>
      </c>
      <c r="M8" s="2" t="s">
        <v>185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9</v>
      </c>
      <c r="B9" s="6">
        <v>15.4</v>
      </c>
      <c r="C9" s="6">
        <v>12.33</v>
      </c>
      <c r="D9" s="6">
        <v>62.2</v>
      </c>
      <c r="E9" s="6">
        <v>1.0</v>
      </c>
      <c r="F9" s="6">
        <v>24.9</v>
      </c>
      <c r="G9" s="6">
        <v>15.01</v>
      </c>
      <c r="H9" s="6">
        <v>0.0</v>
      </c>
      <c r="I9" s="6">
        <v>0.0</v>
      </c>
      <c r="J9" s="6">
        <v>0.0</v>
      </c>
      <c r="K9" s="6">
        <v>845.3100999999999</v>
      </c>
      <c r="L9" s="6">
        <v>4.576829260646478</v>
      </c>
      <c r="M9" s="2" t="s">
        <v>185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10</v>
      </c>
      <c r="B10" s="6">
        <v>4.83</v>
      </c>
      <c r="C10" s="6">
        <v>4.44</v>
      </c>
      <c r="D10" s="6">
        <v>62.7</v>
      </c>
      <c r="E10" s="6">
        <v>7.36</v>
      </c>
      <c r="F10" s="6">
        <v>14.45</v>
      </c>
      <c r="G10" s="6">
        <v>8.53</v>
      </c>
      <c r="H10" s="6">
        <v>0.0</v>
      </c>
      <c r="I10" s="6">
        <v>0.0</v>
      </c>
      <c r="J10" s="6">
        <v>0.0</v>
      </c>
      <c r="K10" s="6">
        <v>281.5634</v>
      </c>
      <c r="L10" s="6">
        <v>13.962361585348097</v>
      </c>
      <c r="M10" s="2" t="s">
        <v>185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11</v>
      </c>
      <c r="B11" s="6">
        <v>51.8</v>
      </c>
      <c r="C11" s="6">
        <v>8.8</v>
      </c>
      <c r="D11" s="6">
        <v>83.1</v>
      </c>
      <c r="E11" s="6">
        <v>6.0</v>
      </c>
      <c r="F11" s="6">
        <v>27.11</v>
      </c>
      <c r="G11" s="6">
        <v>18.68</v>
      </c>
      <c r="H11" s="6">
        <v>0.0</v>
      </c>
      <c r="I11" s="6">
        <v>0.21</v>
      </c>
      <c r="J11" s="6">
        <v>0.0</v>
      </c>
      <c r="K11" s="6">
        <v>1083.8944999999999</v>
      </c>
      <c r="L11" s="6">
        <v>6.371108996309142</v>
      </c>
      <c r="M11" s="2" t="s">
        <v>185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12</v>
      </c>
      <c r="B12" s="6">
        <v>35.4</v>
      </c>
      <c r="C12" s="6">
        <v>16.26</v>
      </c>
      <c r="D12" s="6">
        <v>85.8</v>
      </c>
      <c r="E12" s="6">
        <v>8.6</v>
      </c>
      <c r="F12" s="6">
        <v>39.55</v>
      </c>
      <c r="G12" s="6">
        <v>17.09</v>
      </c>
      <c r="H12" s="6">
        <v>0.0</v>
      </c>
      <c r="I12" s="6">
        <v>0.0</v>
      </c>
      <c r="J12" s="6">
        <v>0.0</v>
      </c>
      <c r="K12" s="6">
        <v>1856.2705999999998</v>
      </c>
      <c r="L12" s="6">
        <v>3.9658226553822487</v>
      </c>
      <c r="M12" s="2" t="s">
        <v>185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13</v>
      </c>
      <c r="B13" s="6">
        <v>6.8</v>
      </c>
      <c r="C13" s="6">
        <v>3.13</v>
      </c>
      <c r="D13" s="6">
        <v>34.2</v>
      </c>
      <c r="E13" s="6">
        <v>2.0</v>
      </c>
      <c r="F13" s="6">
        <v>17.41</v>
      </c>
      <c r="G13" s="6">
        <v>12.45</v>
      </c>
      <c r="H13" s="6">
        <v>0.0</v>
      </c>
      <c r="I13" s="6">
        <v>0.0</v>
      </c>
      <c r="J13" s="6">
        <v>0.0</v>
      </c>
      <c r="K13" s="6">
        <v>458.1106</v>
      </c>
      <c r="L13" s="6">
        <v>2.5531825720688412</v>
      </c>
      <c r="M13" s="2" t="s">
        <v>185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14</v>
      </c>
      <c r="B14" s="6">
        <v>5.73</v>
      </c>
      <c r="C14" s="6">
        <v>6.0</v>
      </c>
      <c r="D14" s="6">
        <v>71.5</v>
      </c>
      <c r="E14" s="6">
        <v>10.5</v>
      </c>
      <c r="F14" s="6">
        <v>14.31</v>
      </c>
      <c r="G14" s="6">
        <v>19.44</v>
      </c>
      <c r="H14" s="6">
        <v>0.0</v>
      </c>
      <c r="I14" s="6">
        <v>0.0</v>
      </c>
      <c r="J14" s="6">
        <v>0.0</v>
      </c>
      <c r="K14" s="6">
        <v>582.6897</v>
      </c>
      <c r="L14" s="6">
        <v>8.773537613587472</v>
      </c>
      <c r="M14" s="2" t="s">
        <v>186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6">
        <v>3.27</v>
      </c>
      <c r="C15" s="6">
        <v>6.06</v>
      </c>
      <c r="D15" s="6">
        <v>49.4</v>
      </c>
      <c r="E15" s="6">
        <v>5.92</v>
      </c>
      <c r="F15" s="6">
        <v>26.18</v>
      </c>
      <c r="G15" s="6">
        <v>13.37</v>
      </c>
      <c r="H15" s="6">
        <v>0.0</v>
      </c>
      <c r="I15" s="6">
        <v>0.0</v>
      </c>
      <c r="J15" s="6">
        <v>0.0</v>
      </c>
      <c r="K15" s="6">
        <v>864.1492999999999</v>
      </c>
      <c r="L15" s="6">
        <v>2.8240027504506453</v>
      </c>
      <c r="M15" s="2" t="s">
        <v>186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16</v>
      </c>
      <c r="B16" s="6">
        <v>4.06</v>
      </c>
      <c r="C16" s="6">
        <v>10.04</v>
      </c>
      <c r="D16" s="6">
        <v>86.5</v>
      </c>
      <c r="E16" s="6">
        <v>6.45</v>
      </c>
      <c r="F16" s="6">
        <v>19.9</v>
      </c>
      <c r="G16" s="6">
        <v>16.69</v>
      </c>
      <c r="H16" s="6">
        <v>0.0</v>
      </c>
      <c r="I16" s="6">
        <v>0.0</v>
      </c>
      <c r="J16" s="6">
        <v>0.0</v>
      </c>
      <c r="K16" s="6">
        <v>674.5661</v>
      </c>
      <c r="L16" s="6">
        <v>11.09194488130963</v>
      </c>
      <c r="M16" s="2" t="s">
        <v>186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17</v>
      </c>
      <c r="B17" s="6">
        <v>1.33</v>
      </c>
      <c r="C17" s="6">
        <v>6.45</v>
      </c>
      <c r="D17" s="6">
        <v>67.3</v>
      </c>
      <c r="E17" s="6">
        <v>3.0</v>
      </c>
      <c r="F17" s="6">
        <v>19.41</v>
      </c>
      <c r="G17" s="6">
        <v>12.62</v>
      </c>
      <c r="H17" s="6">
        <v>0.0</v>
      </c>
      <c r="I17" s="6">
        <v>0.0</v>
      </c>
      <c r="J17" s="6">
        <v>0.0</v>
      </c>
      <c r="K17" s="6">
        <v>536.0125</v>
      </c>
      <c r="L17" s="6">
        <v>8.44997084956041</v>
      </c>
      <c r="M17" s="2" t="s">
        <v>186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18</v>
      </c>
      <c r="B18" s="6">
        <v>3.21</v>
      </c>
      <c r="C18" s="6">
        <v>7.0</v>
      </c>
      <c r="D18" s="6">
        <v>51.6</v>
      </c>
      <c r="E18" s="6">
        <v>3.24</v>
      </c>
      <c r="F18" s="6">
        <v>13.34</v>
      </c>
      <c r="G18" s="6">
        <v>4.14</v>
      </c>
      <c r="H18" s="6">
        <v>0.0</v>
      </c>
      <c r="I18" s="6">
        <v>0.0</v>
      </c>
      <c r="J18" s="6">
        <v>0.0</v>
      </c>
      <c r="K18" s="6">
        <v>195.0952</v>
      </c>
      <c r="L18" s="6">
        <v>13.647491071025836</v>
      </c>
      <c r="M18" s="2" t="s">
        <v>186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19</v>
      </c>
      <c r="B19" s="6">
        <v>4.37</v>
      </c>
      <c r="C19" s="6">
        <v>2.33</v>
      </c>
      <c r="D19" s="6">
        <v>41.9</v>
      </c>
      <c r="E19" s="6">
        <v>4.97</v>
      </c>
      <c r="F19" s="6">
        <v>19.86</v>
      </c>
      <c r="G19" s="6">
        <v>22.61</v>
      </c>
      <c r="H19" s="6">
        <v>0.0</v>
      </c>
      <c r="I19" s="6">
        <v>2.22</v>
      </c>
      <c r="J19" s="6">
        <v>0.0</v>
      </c>
      <c r="K19" s="6">
        <v>905.6316999999999</v>
      </c>
      <c r="L19" s="6">
        <v>1.93854742496315</v>
      </c>
      <c r="M19" s="2" t="s">
        <v>186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20</v>
      </c>
      <c r="B20" s="6">
        <v>3.52</v>
      </c>
      <c r="C20" s="6">
        <v>0.71</v>
      </c>
      <c r="D20" s="6">
        <v>60.4</v>
      </c>
      <c r="E20" s="6">
        <v>9.4</v>
      </c>
      <c r="F20" s="6">
        <v>11.87</v>
      </c>
      <c r="G20" s="6">
        <v>21.37</v>
      </c>
      <c r="H20" s="6">
        <v>0.0</v>
      </c>
      <c r="I20" s="6">
        <v>16.58</v>
      </c>
      <c r="J20" s="6">
        <v>0.0</v>
      </c>
      <c r="K20" s="6">
        <v>597.5738</v>
      </c>
      <c r="L20" s="6">
        <v>6.104953061864492</v>
      </c>
      <c r="M20" s="2" t="s">
        <v>186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21</v>
      </c>
      <c r="B21" s="4">
        <v>13.6</v>
      </c>
      <c r="C21" s="4">
        <v>3.63</v>
      </c>
      <c r="D21" s="4">
        <v>18.3</v>
      </c>
      <c r="E21" s="4">
        <v>2.22</v>
      </c>
      <c r="F21" s="4">
        <v>14.2</v>
      </c>
      <c r="G21" s="4">
        <v>14.5</v>
      </c>
      <c r="H21" s="4">
        <v>0.0</v>
      </c>
      <c r="I21" s="4">
        <v>0.0</v>
      </c>
      <c r="J21" s="4">
        <v>0.0</v>
      </c>
      <c r="K21" s="4">
        <v>411.89</v>
      </c>
      <c r="L21" s="4">
        <v>0.8130568841195466</v>
      </c>
      <c r="M21" s="4" t="s">
        <v>185</v>
      </c>
    </row>
    <row r="22">
      <c r="A22" s="4" t="s">
        <v>22</v>
      </c>
      <c r="B22" s="4">
        <v>12.5</v>
      </c>
      <c r="C22" s="4">
        <v>10.91</v>
      </c>
      <c r="D22" s="4">
        <v>73.9</v>
      </c>
      <c r="E22" s="4">
        <v>3.42</v>
      </c>
      <c r="F22" s="4">
        <v>35.75</v>
      </c>
      <c r="G22" s="4">
        <v>12.83</v>
      </c>
      <c r="H22" s="4">
        <v>0.0</v>
      </c>
      <c r="I22" s="4">
        <v>0.0</v>
      </c>
      <c r="J22" s="4">
        <v>0.0</v>
      </c>
      <c r="K22" s="4">
        <v>1442.6714</v>
      </c>
      <c r="L22" s="4">
        <v>3.785484345222343</v>
      </c>
      <c r="M22" s="4" t="s">
        <v>185</v>
      </c>
    </row>
    <row r="23">
      <c r="A23" s="4" t="s">
        <v>23</v>
      </c>
      <c r="B23" s="4">
        <v>10.2</v>
      </c>
      <c r="C23" s="4">
        <v>7.39</v>
      </c>
      <c r="D23" s="4">
        <v>63.75</v>
      </c>
      <c r="E23" s="4">
        <v>0.95</v>
      </c>
      <c r="F23" s="4">
        <v>21.02</v>
      </c>
      <c r="G23" s="4">
        <v>16.53</v>
      </c>
      <c r="H23" s="4">
        <v>0.0</v>
      </c>
      <c r="I23" s="4">
        <v>0.0</v>
      </c>
      <c r="J23" s="4">
        <v>0.0</v>
      </c>
      <c r="K23" s="4">
        <v>715.0813</v>
      </c>
      <c r="L23" s="4">
        <v>5.68335726301331</v>
      </c>
      <c r="M23" s="4" t="s">
        <v>186</v>
      </c>
    </row>
    <row r="24">
      <c r="A24" s="4" t="s">
        <v>24</v>
      </c>
      <c r="B24" s="4">
        <v>5.27</v>
      </c>
      <c r="C24" s="4">
        <v>4.99</v>
      </c>
      <c r="D24" s="4">
        <v>56.9</v>
      </c>
      <c r="E24" s="4">
        <v>4.0</v>
      </c>
      <c r="F24" s="4">
        <v>20.46</v>
      </c>
      <c r="G24" s="4">
        <v>18.23</v>
      </c>
      <c r="H24" s="4">
        <v>0.0</v>
      </c>
      <c r="I24" s="4">
        <v>0.96</v>
      </c>
      <c r="J24" s="4">
        <v>0.0</v>
      </c>
      <c r="K24" s="4">
        <v>750.9445000000001</v>
      </c>
      <c r="L24" s="4">
        <v>4.311383863920701</v>
      </c>
      <c r="M24" s="4" t="s">
        <v>186</v>
      </c>
    </row>
    <row r="25">
      <c r="A25" s="4" t="s">
        <v>25</v>
      </c>
      <c r="B25" s="4">
        <v>3.45</v>
      </c>
      <c r="C25" s="4">
        <v>5.52</v>
      </c>
      <c r="D25" s="4">
        <v>33.0</v>
      </c>
      <c r="E25" s="4">
        <v>3.11</v>
      </c>
      <c r="F25" s="4">
        <v>27.3</v>
      </c>
      <c r="G25" s="4">
        <v>26.8</v>
      </c>
      <c r="H25" s="4">
        <v>0.0</v>
      </c>
      <c r="I25" s="4">
        <v>0.0</v>
      </c>
      <c r="J25" s="4">
        <v>0.0</v>
      </c>
      <c r="K25" s="4">
        <v>1463.5300000000002</v>
      </c>
      <c r="L25" s="4">
        <v>0.7440913407993002</v>
      </c>
      <c r="M25" s="4" t="s">
        <v>185</v>
      </c>
    </row>
    <row r="26">
      <c r="A26" s="2" t="s">
        <v>26</v>
      </c>
      <c r="B26" s="6">
        <v>3.34</v>
      </c>
      <c r="C26" s="6">
        <v>1.21</v>
      </c>
      <c r="D26" s="6">
        <v>24.2</v>
      </c>
      <c r="E26" s="6">
        <v>1.23</v>
      </c>
      <c r="F26" s="6">
        <v>12.36</v>
      </c>
      <c r="G26" s="6">
        <v>7.22</v>
      </c>
      <c r="H26" s="6">
        <v>0.0</v>
      </c>
      <c r="I26" s="6">
        <v>0.0</v>
      </c>
      <c r="J26" s="6">
        <v>0.0</v>
      </c>
      <c r="K26" s="6">
        <v>204.898</v>
      </c>
      <c r="L26" s="6">
        <v>2.8582026178879247</v>
      </c>
      <c r="M26" s="2" t="s">
        <v>185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27</v>
      </c>
      <c r="B27" s="4">
        <v>21.3</v>
      </c>
      <c r="C27" s="4">
        <v>12.37</v>
      </c>
      <c r="D27" s="4">
        <v>74.7</v>
      </c>
      <c r="E27" s="4">
        <v>2.09</v>
      </c>
      <c r="F27" s="4">
        <v>27.83</v>
      </c>
      <c r="G27" s="4">
        <v>14.6</v>
      </c>
      <c r="H27" s="4">
        <v>0.0</v>
      </c>
      <c r="I27" s="4">
        <v>0.0</v>
      </c>
      <c r="J27" s="4">
        <v>0.0</v>
      </c>
      <c r="K27" s="4">
        <v>987.6688999999999</v>
      </c>
      <c r="L27" s="4">
        <v>5.649757727513745</v>
      </c>
      <c r="M27" s="4" t="s">
        <v>185</v>
      </c>
    </row>
    <row r="28">
      <c r="A28" s="2" t="s">
        <v>28</v>
      </c>
      <c r="B28" s="6">
        <v>6.18</v>
      </c>
      <c r="C28" s="6">
        <v>6.74</v>
      </c>
      <c r="D28" s="6">
        <v>79.5</v>
      </c>
      <c r="E28" s="6">
        <v>4.57</v>
      </c>
      <c r="F28" s="6">
        <v>24.59</v>
      </c>
      <c r="G28" s="6">
        <v>18.55</v>
      </c>
      <c r="H28" s="6">
        <v>0.0</v>
      </c>
      <c r="I28" s="6">
        <v>0.0</v>
      </c>
      <c r="J28" s="6">
        <v>0.0</v>
      </c>
      <c r="K28" s="6">
        <v>948.7706000000001</v>
      </c>
      <c r="L28" s="6">
        <v>6.661515439032364</v>
      </c>
      <c r="M28" s="2" t="s">
        <v>186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29</v>
      </c>
      <c r="B29" s="6">
        <v>7.47</v>
      </c>
      <c r="C29" s="6">
        <v>3.62</v>
      </c>
      <c r="D29" s="6">
        <v>49.9</v>
      </c>
      <c r="E29" s="6">
        <v>2.77</v>
      </c>
      <c r="F29" s="6">
        <v>19.63</v>
      </c>
      <c r="G29" s="6">
        <v>11.17</v>
      </c>
      <c r="H29" s="6">
        <v>0.0</v>
      </c>
      <c r="I29" s="6">
        <v>0.44</v>
      </c>
      <c r="J29" s="6">
        <v>0.0</v>
      </c>
      <c r="K29" s="6">
        <v>510.10579999999993</v>
      </c>
      <c r="L29" s="6">
        <v>4.881359906121436</v>
      </c>
      <c r="M29" s="2" t="s">
        <v>185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30</v>
      </c>
      <c r="B30" s="6">
        <v>8.64</v>
      </c>
      <c r="C30" s="6">
        <v>6.91</v>
      </c>
      <c r="D30" s="6">
        <v>68.6</v>
      </c>
      <c r="E30" s="6">
        <v>5.06</v>
      </c>
      <c r="F30" s="6">
        <v>34.59</v>
      </c>
      <c r="G30" s="6">
        <v>20.24</v>
      </c>
      <c r="H30" s="6">
        <v>0.0</v>
      </c>
      <c r="I30" s="6">
        <v>0.91</v>
      </c>
      <c r="J30" s="6">
        <v>0.0</v>
      </c>
      <c r="K30" s="6">
        <v>1606.1257000000003</v>
      </c>
      <c r="L30" s="6">
        <v>2.930007283987796</v>
      </c>
      <c r="M30" s="2" t="s">
        <v>185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31</v>
      </c>
      <c r="B31" s="6">
        <v>7.66</v>
      </c>
      <c r="C31" s="6">
        <v>4.46</v>
      </c>
      <c r="D31" s="6">
        <v>44.5</v>
      </c>
      <c r="E31" s="6">
        <v>3.93</v>
      </c>
      <c r="F31" s="6">
        <v>15.66</v>
      </c>
      <c r="G31" s="6">
        <v>16.94</v>
      </c>
      <c r="H31" s="6">
        <v>0.0</v>
      </c>
      <c r="I31" s="6">
        <v>0.0</v>
      </c>
      <c r="J31" s="6">
        <v>0.0</v>
      </c>
      <c r="K31" s="6">
        <v>532.1992</v>
      </c>
      <c r="L31" s="6">
        <v>3.720881203880051</v>
      </c>
      <c r="M31" s="2" t="s">
        <v>185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32</v>
      </c>
      <c r="B32" s="6">
        <v>12.0</v>
      </c>
      <c r="C32" s="6">
        <v>10.22</v>
      </c>
      <c r="D32" s="6">
        <v>80.1</v>
      </c>
      <c r="E32" s="6">
        <v>10.8</v>
      </c>
      <c r="F32" s="6">
        <v>33.08</v>
      </c>
      <c r="G32" s="6">
        <v>21.62</v>
      </c>
      <c r="H32" s="6">
        <v>0.0</v>
      </c>
      <c r="I32" s="6">
        <v>0.0</v>
      </c>
      <c r="J32" s="6">
        <v>0.0</v>
      </c>
      <c r="K32" s="6">
        <v>1561.7108</v>
      </c>
      <c r="L32" s="6">
        <v>4.108321463871543</v>
      </c>
      <c r="M32" s="2" t="s">
        <v>185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33</v>
      </c>
      <c r="B33" s="6">
        <v>2.83</v>
      </c>
      <c r="C33" s="6">
        <v>0.82</v>
      </c>
      <c r="D33" s="6">
        <v>44.0</v>
      </c>
      <c r="E33" s="6">
        <v>3.3</v>
      </c>
      <c r="F33" s="6">
        <v>12.77</v>
      </c>
      <c r="G33" s="6">
        <v>24.3</v>
      </c>
      <c r="H33" s="6">
        <v>0.0</v>
      </c>
      <c r="I33" s="6">
        <v>9.49</v>
      </c>
      <c r="J33" s="6">
        <v>0.0</v>
      </c>
      <c r="K33" s="6">
        <v>753.5629</v>
      </c>
      <c r="L33" s="6">
        <v>2.569128602270627</v>
      </c>
      <c r="M33" s="2" t="s">
        <v>186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34</v>
      </c>
      <c r="B34" s="6">
        <v>4.97</v>
      </c>
      <c r="C34" s="6">
        <v>2.53</v>
      </c>
      <c r="D34" s="6">
        <v>32.1</v>
      </c>
      <c r="E34" s="6">
        <v>3.23</v>
      </c>
      <c r="F34" s="6">
        <v>16.45</v>
      </c>
      <c r="G34" s="6">
        <v>15.47</v>
      </c>
      <c r="H34" s="6">
        <v>0.0</v>
      </c>
      <c r="I34" s="6">
        <v>0.0</v>
      </c>
      <c r="J34" s="6">
        <v>0.0</v>
      </c>
      <c r="K34" s="6">
        <v>509.9234</v>
      </c>
      <c r="L34" s="6">
        <v>2.020715268214795</v>
      </c>
      <c r="M34" s="2" t="s">
        <v>185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35</v>
      </c>
      <c r="B35" s="6">
        <v>2.59</v>
      </c>
      <c r="C35" s="6">
        <v>1.69</v>
      </c>
      <c r="D35" s="6">
        <v>17.8</v>
      </c>
      <c r="E35" s="6">
        <v>3.17</v>
      </c>
      <c r="F35" s="6">
        <v>9.12</v>
      </c>
      <c r="G35" s="6">
        <v>11.87</v>
      </c>
      <c r="H35" s="6">
        <v>0.0</v>
      </c>
      <c r="I35" s="6">
        <v>0.0</v>
      </c>
      <c r="J35" s="6">
        <v>0.0</v>
      </c>
      <c r="K35" s="6">
        <v>224.07129999999998</v>
      </c>
      <c r="L35" s="6">
        <v>1.414014199944393</v>
      </c>
      <c r="M35" s="2" t="s">
        <v>185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36</v>
      </c>
      <c r="B36" s="6">
        <v>4.7</v>
      </c>
      <c r="C36" s="6">
        <v>4.11</v>
      </c>
      <c r="D36" s="6">
        <v>64.0</v>
      </c>
      <c r="E36" s="6">
        <v>2.89</v>
      </c>
      <c r="F36" s="6">
        <v>17.21</v>
      </c>
      <c r="G36" s="6">
        <v>20.84</v>
      </c>
      <c r="H36" s="6">
        <v>0.0</v>
      </c>
      <c r="I36" s="6">
        <v>0.0</v>
      </c>
      <c r="J36" s="6">
        <v>0.0</v>
      </c>
      <c r="K36" s="6">
        <v>730.4897000000001</v>
      </c>
      <c r="L36" s="6">
        <v>5.607197473147123</v>
      </c>
      <c r="M36" s="2" t="s">
        <v>186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37</v>
      </c>
      <c r="B37" s="6">
        <v>8.21</v>
      </c>
      <c r="C37" s="6">
        <v>4.78</v>
      </c>
      <c r="D37" s="6">
        <v>69.3</v>
      </c>
      <c r="E37" s="6">
        <v>6.69</v>
      </c>
      <c r="F37" s="6">
        <v>24.12</v>
      </c>
      <c r="G37" s="6">
        <v>16.26</v>
      </c>
      <c r="H37" s="6">
        <v>0.0</v>
      </c>
      <c r="I37" s="6">
        <v>1.09</v>
      </c>
      <c r="J37" s="6">
        <v>0.0</v>
      </c>
      <c r="K37" s="6">
        <v>846.162</v>
      </c>
      <c r="L37" s="6">
        <v>5.675615307707035</v>
      </c>
      <c r="M37" s="2" t="s">
        <v>185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38</v>
      </c>
      <c r="B38" s="6">
        <v>8.11</v>
      </c>
      <c r="C38" s="6">
        <v>4.13</v>
      </c>
      <c r="D38" s="6">
        <v>55.9</v>
      </c>
      <c r="E38" s="6">
        <v>4.31</v>
      </c>
      <c r="F38" s="6">
        <v>22.39</v>
      </c>
      <c r="G38" s="6">
        <v>31.16</v>
      </c>
      <c r="H38" s="6">
        <v>0.0</v>
      </c>
      <c r="I38" s="6">
        <v>0.0</v>
      </c>
      <c r="J38" s="6">
        <v>0.0</v>
      </c>
      <c r="K38" s="6">
        <v>1472.2577</v>
      </c>
      <c r="L38" s="6">
        <v>2.1224613055173696</v>
      </c>
      <c r="M38" s="2" t="s">
        <v>186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39</v>
      </c>
      <c r="B39" s="6">
        <v>4.57</v>
      </c>
      <c r="C39" s="6">
        <v>2.32</v>
      </c>
      <c r="D39" s="6">
        <v>33.1</v>
      </c>
      <c r="E39" s="6">
        <v>4.07</v>
      </c>
      <c r="F39" s="6">
        <v>14.34</v>
      </c>
      <c r="G39" s="6">
        <v>16.35</v>
      </c>
      <c r="H39" s="6">
        <v>0.0</v>
      </c>
      <c r="I39" s="6">
        <v>1.63</v>
      </c>
      <c r="J39" s="6">
        <v>0.0</v>
      </c>
      <c r="K39" s="6">
        <v>472.95810000000006</v>
      </c>
      <c r="L39" s="6">
        <v>2.3165054155960116</v>
      </c>
      <c r="M39" s="2" t="s">
        <v>185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40</v>
      </c>
      <c r="B40" s="6">
        <v>6.7</v>
      </c>
      <c r="C40" s="6">
        <v>5.36</v>
      </c>
      <c r="D40" s="6">
        <v>57.5</v>
      </c>
      <c r="E40" s="6">
        <v>2.0</v>
      </c>
      <c r="F40" s="6">
        <v>22.04</v>
      </c>
      <c r="G40" s="6">
        <v>15.57</v>
      </c>
      <c r="H40" s="6">
        <v>0.0</v>
      </c>
      <c r="I40" s="6">
        <v>0.0</v>
      </c>
      <c r="J40" s="6">
        <v>0.0</v>
      </c>
      <c r="K40" s="6">
        <v>728.1865</v>
      </c>
      <c r="L40" s="6">
        <v>4.540389034951898</v>
      </c>
      <c r="M40" s="2" t="s">
        <v>186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41</v>
      </c>
      <c r="B41" s="6">
        <v>7.21</v>
      </c>
      <c r="C41" s="6">
        <v>4.2</v>
      </c>
      <c r="D41" s="6">
        <v>48.0</v>
      </c>
      <c r="E41" s="6">
        <v>3.0</v>
      </c>
      <c r="F41" s="6">
        <v>22.95</v>
      </c>
      <c r="G41" s="6">
        <v>25.81</v>
      </c>
      <c r="H41" s="6">
        <v>0.0</v>
      </c>
      <c r="I41" s="6">
        <v>1.25</v>
      </c>
      <c r="J41" s="6">
        <v>0.0</v>
      </c>
      <c r="K41" s="6">
        <v>1192.8586</v>
      </c>
      <c r="L41" s="6">
        <v>1.9314946465574376</v>
      </c>
      <c r="M41" s="2" t="s">
        <v>185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42</v>
      </c>
      <c r="B42" s="6">
        <v>10.7</v>
      </c>
      <c r="C42" s="6">
        <v>3.89</v>
      </c>
      <c r="D42" s="6">
        <v>34.3</v>
      </c>
      <c r="E42" s="6">
        <v>5.66</v>
      </c>
      <c r="F42" s="6">
        <v>17.55</v>
      </c>
      <c r="G42" s="6">
        <v>22.05</v>
      </c>
      <c r="H42" s="6">
        <v>0.0</v>
      </c>
      <c r="I42" s="6">
        <v>1.24</v>
      </c>
      <c r="J42" s="6">
        <v>0.0</v>
      </c>
      <c r="K42" s="6">
        <v>794.205</v>
      </c>
      <c r="L42" s="6">
        <v>1.4813429781983238</v>
      </c>
      <c r="M42" s="2" t="s">
        <v>185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43</v>
      </c>
      <c r="B43" s="6">
        <v>18.1</v>
      </c>
      <c r="C43" s="6">
        <v>15.82</v>
      </c>
      <c r="D43" s="6">
        <v>84.45</v>
      </c>
      <c r="E43" s="6">
        <v>1.31</v>
      </c>
      <c r="F43" s="6">
        <v>35.37</v>
      </c>
      <c r="G43" s="6">
        <v>17.02</v>
      </c>
      <c r="H43" s="6">
        <v>0.0</v>
      </c>
      <c r="I43" s="6">
        <v>0.0</v>
      </c>
      <c r="J43" s="6">
        <v>0.0</v>
      </c>
      <c r="K43" s="6">
        <v>1540.7172999999998</v>
      </c>
      <c r="L43" s="6">
        <v>4.62888454617859</v>
      </c>
      <c r="M43" s="2" t="s">
        <v>185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44</v>
      </c>
      <c r="B44" s="6">
        <v>5.68</v>
      </c>
      <c r="C44" s="6">
        <v>1.08</v>
      </c>
      <c r="D44" s="6">
        <v>29.5</v>
      </c>
      <c r="E44" s="6">
        <v>1.85</v>
      </c>
      <c r="F44" s="6">
        <v>10.01</v>
      </c>
      <c r="G44" s="6">
        <v>16.66</v>
      </c>
      <c r="H44" s="6">
        <v>0.0</v>
      </c>
      <c r="I44" s="6">
        <v>5.51</v>
      </c>
      <c r="J44" s="6">
        <v>0.0</v>
      </c>
      <c r="K44" s="6">
        <v>377.75570000000005</v>
      </c>
      <c r="L44" s="6">
        <v>2.3037375743105923</v>
      </c>
      <c r="M44" s="2" t="s">
        <v>185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45</v>
      </c>
      <c r="B45" s="4">
        <v>4.35</v>
      </c>
      <c r="C45" s="4">
        <v>6.33</v>
      </c>
      <c r="D45" s="4">
        <v>56.5</v>
      </c>
      <c r="E45" s="4">
        <v>0.65</v>
      </c>
      <c r="F45" s="4">
        <v>16.75</v>
      </c>
      <c r="G45" s="4">
        <v>10.62</v>
      </c>
      <c r="H45" s="4">
        <v>0.0</v>
      </c>
      <c r="I45" s="4">
        <v>0.0</v>
      </c>
      <c r="J45" s="4">
        <v>0.0</v>
      </c>
      <c r="K45" s="4">
        <v>393.3469</v>
      </c>
      <c r="L45" s="4">
        <v>8.11560991074291</v>
      </c>
      <c r="M45" s="4" t="s">
        <v>186</v>
      </c>
    </row>
    <row r="46">
      <c r="A46" s="2" t="s">
        <v>46</v>
      </c>
      <c r="B46" s="6">
        <v>0.98</v>
      </c>
      <c r="C46" s="6">
        <v>2.62</v>
      </c>
      <c r="D46" s="6">
        <v>38.3</v>
      </c>
      <c r="E46" s="6">
        <v>7.78</v>
      </c>
      <c r="F46" s="6">
        <v>13.81</v>
      </c>
      <c r="G46" s="6">
        <v>5.25</v>
      </c>
      <c r="H46" s="6">
        <v>0.0</v>
      </c>
      <c r="I46" s="6">
        <v>0.0</v>
      </c>
      <c r="J46" s="6">
        <v>0.0</v>
      </c>
      <c r="K46" s="6">
        <v>218.2786</v>
      </c>
      <c r="L46" s="6">
        <v>6.72026483585656</v>
      </c>
      <c r="M46" s="2" t="s">
        <v>185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187</v>
      </c>
      <c r="L1" s="3" t="s">
        <v>188</v>
      </c>
      <c r="M1" s="1" t="s">
        <v>189</v>
      </c>
      <c r="N1" s="3" t="s">
        <v>190</v>
      </c>
      <c r="O1" s="3" t="s">
        <v>191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6">
        <v>3.36</v>
      </c>
      <c r="C2" s="6">
        <v>1.79</v>
      </c>
      <c r="D2" s="6">
        <v>20.1</v>
      </c>
      <c r="E2" s="6">
        <v>1.5</v>
      </c>
      <c r="F2" s="6">
        <v>6.91</v>
      </c>
      <c r="G2" s="6">
        <v>14.91</v>
      </c>
      <c r="H2" s="6">
        <v>0.0</v>
      </c>
      <c r="I2" s="6">
        <v>0.88</v>
      </c>
      <c r="J2" s="6">
        <v>0.0</v>
      </c>
      <c r="K2" s="6">
        <v>270.0562</v>
      </c>
      <c r="L2" s="6">
        <v>1.4960219391371132</v>
      </c>
      <c r="M2" s="2" t="s">
        <v>185</v>
      </c>
      <c r="N2" s="4">
        <f t="shared" ref="N2:N47" si="1">IF($M2="Quiet", $L2, )</f>
        <v>1.496021939</v>
      </c>
      <c r="O2" s="4" t="str">
        <f t="shared" ref="O2:O47" si="2">IF($M2="Active", $L2, )</f>
        <v/>
      </c>
      <c r="U2" s="2"/>
      <c r="V2" s="2"/>
      <c r="W2" s="2"/>
      <c r="X2" s="2"/>
      <c r="Y2" s="2"/>
      <c r="Z2" s="2"/>
    </row>
    <row r="3">
      <c r="A3" s="2" t="s">
        <v>2</v>
      </c>
      <c r="B3" s="6">
        <v>15.2</v>
      </c>
      <c r="C3" s="6">
        <v>3.83</v>
      </c>
      <c r="D3" s="6">
        <v>35.9</v>
      </c>
      <c r="E3" s="6">
        <v>5.98</v>
      </c>
      <c r="F3" s="6">
        <v>8.09</v>
      </c>
      <c r="G3" s="6">
        <v>20.08</v>
      </c>
      <c r="H3" s="6">
        <v>0.0</v>
      </c>
      <c r="I3" s="6">
        <v>1.79</v>
      </c>
      <c r="J3" s="6">
        <v>0.0</v>
      </c>
      <c r="K3" s="6">
        <v>468.6544999999999</v>
      </c>
      <c r="L3" s="6">
        <v>2.750021604401537</v>
      </c>
      <c r="M3" s="2" t="s">
        <v>185</v>
      </c>
      <c r="N3" s="4">
        <f t="shared" si="1"/>
        <v>2.750021604</v>
      </c>
      <c r="O3" s="4" t="str">
        <f t="shared" si="2"/>
        <v/>
      </c>
      <c r="U3" s="2"/>
      <c r="V3" s="2"/>
      <c r="W3" s="2"/>
      <c r="X3" s="2"/>
      <c r="Y3" s="2"/>
      <c r="Z3" s="2"/>
    </row>
    <row r="4">
      <c r="A4" s="2" t="s">
        <v>3</v>
      </c>
      <c r="B4" s="6">
        <v>8.79</v>
      </c>
      <c r="C4" s="6">
        <v>3.07</v>
      </c>
      <c r="D4" s="6">
        <v>25.0</v>
      </c>
      <c r="E4" s="6">
        <v>2.05</v>
      </c>
      <c r="F4" s="6">
        <v>7.04</v>
      </c>
      <c r="G4" s="6">
        <v>7.65</v>
      </c>
      <c r="H4" s="6">
        <v>0.0</v>
      </c>
      <c r="I4" s="6">
        <v>0.0</v>
      </c>
      <c r="J4" s="6">
        <v>0.0</v>
      </c>
      <c r="K4" s="6">
        <v>108.0841</v>
      </c>
      <c r="L4" s="6">
        <v>5.782534156272754</v>
      </c>
      <c r="M4" s="2" t="s">
        <v>185</v>
      </c>
      <c r="N4" s="4">
        <f t="shared" si="1"/>
        <v>5.782534156</v>
      </c>
      <c r="O4" s="4" t="str">
        <f t="shared" si="2"/>
        <v/>
      </c>
      <c r="U4" s="2"/>
      <c r="V4" s="2"/>
      <c r="W4" s="2"/>
      <c r="X4" s="2"/>
      <c r="Y4" s="2"/>
      <c r="Z4" s="2"/>
    </row>
    <row r="5">
      <c r="A5" s="2" t="s">
        <v>4</v>
      </c>
      <c r="B5" s="6">
        <v>7.72</v>
      </c>
      <c r="C5" s="6">
        <v>7.19</v>
      </c>
      <c r="D5" s="6">
        <v>57.3</v>
      </c>
      <c r="E5" s="6">
        <v>3.94</v>
      </c>
      <c r="F5" s="6">
        <v>16.47</v>
      </c>
      <c r="G5" s="6">
        <v>11.08</v>
      </c>
      <c r="H5" s="6">
        <v>0.0</v>
      </c>
      <c r="I5" s="6">
        <v>0.0</v>
      </c>
      <c r="J5" s="6">
        <v>0.0</v>
      </c>
      <c r="K5" s="6">
        <v>394.02729999999997</v>
      </c>
      <c r="L5" s="6">
        <v>8.332645986712087</v>
      </c>
      <c r="M5" s="2" t="s">
        <v>186</v>
      </c>
      <c r="N5" s="4" t="str">
        <f t="shared" si="1"/>
        <v/>
      </c>
      <c r="O5" s="4">
        <f t="shared" si="2"/>
        <v>8.332645987</v>
      </c>
      <c r="U5" s="2"/>
      <c r="V5" s="2"/>
      <c r="W5" s="2"/>
      <c r="X5" s="2"/>
      <c r="Y5" s="2"/>
      <c r="Z5" s="2"/>
    </row>
    <row r="6">
      <c r="A6" s="2" t="s">
        <v>5</v>
      </c>
      <c r="B6" s="6">
        <v>6.8</v>
      </c>
      <c r="C6" s="6">
        <v>2.98</v>
      </c>
      <c r="D6" s="6">
        <v>46.9</v>
      </c>
      <c r="E6" s="6">
        <v>8.65</v>
      </c>
      <c r="F6" s="6">
        <v>22.17</v>
      </c>
      <c r="G6" s="6">
        <v>17.21</v>
      </c>
      <c r="H6" s="6">
        <v>0.0</v>
      </c>
      <c r="I6" s="6">
        <v>0.0</v>
      </c>
      <c r="J6" s="6">
        <v>0.0</v>
      </c>
      <c r="K6" s="6">
        <v>787.6930000000002</v>
      </c>
      <c r="L6" s="6">
        <v>2.7924711784921272</v>
      </c>
      <c r="M6" s="2" t="s">
        <v>186</v>
      </c>
      <c r="N6" s="4" t="str">
        <f t="shared" si="1"/>
        <v/>
      </c>
      <c r="O6" s="4">
        <f t="shared" si="2"/>
        <v>2.792471178</v>
      </c>
      <c r="P6" s="2"/>
      <c r="U6" s="2"/>
      <c r="V6" s="2"/>
      <c r="W6" s="2"/>
      <c r="X6" s="2"/>
      <c r="Y6" s="2"/>
      <c r="Z6" s="2"/>
    </row>
    <row r="7">
      <c r="A7" s="2" t="s">
        <v>6</v>
      </c>
      <c r="B7" s="6">
        <v>4.04</v>
      </c>
      <c r="C7" s="6">
        <v>5.92</v>
      </c>
      <c r="D7" s="6">
        <v>45.5</v>
      </c>
      <c r="E7" s="6">
        <v>1.3</v>
      </c>
      <c r="F7" s="6">
        <v>15.64</v>
      </c>
      <c r="G7" s="6">
        <v>6.26</v>
      </c>
      <c r="H7" s="6">
        <v>0.0</v>
      </c>
      <c r="I7" s="6">
        <v>0.0</v>
      </c>
      <c r="J7" s="6">
        <v>0.0</v>
      </c>
      <c r="K7" s="6">
        <v>283.79720000000003</v>
      </c>
      <c r="L7" s="6">
        <v>7.294821795281982</v>
      </c>
      <c r="M7" s="2" t="s">
        <v>185</v>
      </c>
      <c r="N7" s="4">
        <f t="shared" si="1"/>
        <v>7.294821795</v>
      </c>
      <c r="O7" s="4" t="str">
        <f t="shared" si="2"/>
        <v/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</v>
      </c>
      <c r="B8" s="6">
        <v>7.5</v>
      </c>
      <c r="C8" s="6">
        <v>13.37</v>
      </c>
      <c r="D8" s="6">
        <v>66.1</v>
      </c>
      <c r="E8" s="6">
        <v>1.31</v>
      </c>
      <c r="F8" s="6">
        <v>27.81</v>
      </c>
      <c r="G8" s="6">
        <v>13.59</v>
      </c>
      <c r="H8" s="6">
        <v>0.0</v>
      </c>
      <c r="I8" s="6">
        <v>0.0</v>
      </c>
      <c r="J8" s="6">
        <v>0.0</v>
      </c>
      <c r="K8" s="6">
        <v>958.0841999999999</v>
      </c>
      <c r="L8" s="6">
        <v>4.560361187461394</v>
      </c>
      <c r="M8" s="2" t="s">
        <v>186</v>
      </c>
      <c r="N8" s="4" t="str">
        <f t="shared" si="1"/>
        <v/>
      </c>
      <c r="O8" s="4">
        <f t="shared" si="2"/>
        <v>4.560361187</v>
      </c>
      <c r="P8" s="2"/>
      <c r="Q8" s="2"/>
      <c r="U8" s="2"/>
      <c r="V8" s="2"/>
      <c r="W8" s="2"/>
      <c r="X8" s="2"/>
      <c r="Y8" s="2"/>
      <c r="Z8" s="2"/>
    </row>
    <row r="9">
      <c r="A9" s="2" t="s">
        <v>8</v>
      </c>
      <c r="B9" s="6">
        <v>4.25</v>
      </c>
      <c r="C9" s="6">
        <v>4.12</v>
      </c>
      <c r="D9" s="6">
        <v>52.0</v>
      </c>
      <c r="E9" s="6">
        <v>2.7</v>
      </c>
      <c r="F9" s="6">
        <v>22.74</v>
      </c>
      <c r="G9" s="6">
        <v>16.37</v>
      </c>
      <c r="H9" s="6">
        <v>0.0</v>
      </c>
      <c r="I9" s="6">
        <v>0.0</v>
      </c>
      <c r="J9" s="6">
        <v>0.0</v>
      </c>
      <c r="K9" s="6">
        <v>785.0844999999999</v>
      </c>
      <c r="L9" s="6">
        <v>3.444215240525065</v>
      </c>
      <c r="M9" s="2" t="s">
        <v>185</v>
      </c>
      <c r="N9" s="4">
        <f t="shared" si="1"/>
        <v>3.444215241</v>
      </c>
      <c r="O9" s="4" t="str">
        <f t="shared" si="2"/>
        <v/>
      </c>
      <c r="P9" s="2"/>
      <c r="Q9" s="2"/>
      <c r="U9" s="2"/>
      <c r="V9" s="2"/>
      <c r="W9" s="2"/>
      <c r="X9" s="2"/>
      <c r="Y9" s="2"/>
      <c r="Z9" s="2"/>
    </row>
    <row r="10">
      <c r="A10" s="2" t="s">
        <v>9</v>
      </c>
      <c r="B10" s="6">
        <v>15.4</v>
      </c>
      <c r="C10" s="6">
        <v>12.33</v>
      </c>
      <c r="D10" s="6">
        <v>62.2</v>
      </c>
      <c r="E10" s="6">
        <v>1.0</v>
      </c>
      <c r="F10" s="6">
        <v>24.9</v>
      </c>
      <c r="G10" s="6">
        <v>15.01</v>
      </c>
      <c r="H10" s="6">
        <v>0.0</v>
      </c>
      <c r="I10" s="6">
        <v>0.0</v>
      </c>
      <c r="J10" s="6">
        <v>0.0</v>
      </c>
      <c r="K10" s="6">
        <v>845.3100999999999</v>
      </c>
      <c r="L10" s="6">
        <v>4.576829260646478</v>
      </c>
      <c r="M10" s="2" t="s">
        <v>185</v>
      </c>
      <c r="N10" s="4">
        <f t="shared" si="1"/>
        <v>4.576829261</v>
      </c>
      <c r="O10" s="4" t="str">
        <f t="shared" si="2"/>
        <v/>
      </c>
      <c r="P10" s="2"/>
      <c r="Q10" s="2"/>
      <c r="U10" s="2"/>
      <c r="V10" s="2"/>
      <c r="W10" s="2"/>
      <c r="X10" s="2"/>
      <c r="Y10" s="2"/>
      <c r="Z10" s="2"/>
    </row>
    <row r="11">
      <c r="A11" s="2" t="s">
        <v>10</v>
      </c>
      <c r="B11" s="6">
        <v>4.83</v>
      </c>
      <c r="C11" s="6">
        <v>4.44</v>
      </c>
      <c r="D11" s="6">
        <v>62.7</v>
      </c>
      <c r="E11" s="6">
        <v>7.36</v>
      </c>
      <c r="F11" s="6">
        <v>14.45</v>
      </c>
      <c r="G11" s="6">
        <v>8.53</v>
      </c>
      <c r="H11" s="6">
        <v>0.0</v>
      </c>
      <c r="I11" s="6">
        <v>0.0</v>
      </c>
      <c r="J11" s="6">
        <v>0.0</v>
      </c>
      <c r="K11" s="6">
        <v>281.5634</v>
      </c>
      <c r="L11" s="6">
        <v>13.962361585348097</v>
      </c>
      <c r="M11" s="2" t="s">
        <v>185</v>
      </c>
      <c r="N11" s="4">
        <f t="shared" si="1"/>
        <v>13.96236159</v>
      </c>
      <c r="O11" s="4" t="str">
        <f t="shared" si="2"/>
        <v/>
      </c>
      <c r="P11" s="2"/>
      <c r="Q11" s="2"/>
      <c r="U11" s="2"/>
      <c r="V11" s="2"/>
      <c r="W11" s="2"/>
      <c r="X11" s="2"/>
      <c r="Y11" s="2"/>
      <c r="Z11" s="2"/>
    </row>
    <row r="12">
      <c r="A12" s="2" t="s">
        <v>11</v>
      </c>
      <c r="B12" s="6">
        <v>51.8</v>
      </c>
      <c r="C12" s="6">
        <v>8.8</v>
      </c>
      <c r="D12" s="6">
        <v>83.1</v>
      </c>
      <c r="E12" s="6">
        <v>6.0</v>
      </c>
      <c r="F12" s="6">
        <v>27.11</v>
      </c>
      <c r="G12" s="6">
        <v>18.68</v>
      </c>
      <c r="H12" s="6">
        <v>0.0</v>
      </c>
      <c r="I12" s="6">
        <v>0.21</v>
      </c>
      <c r="J12" s="6">
        <v>0.0</v>
      </c>
      <c r="K12" s="6">
        <v>1083.8944999999999</v>
      </c>
      <c r="L12" s="6">
        <v>6.371108996309142</v>
      </c>
      <c r="M12" s="2" t="s">
        <v>185</v>
      </c>
      <c r="N12" s="4">
        <f t="shared" si="1"/>
        <v>6.371108996</v>
      </c>
      <c r="O12" s="4" t="str">
        <f t="shared" si="2"/>
        <v/>
      </c>
      <c r="P12" s="2"/>
      <c r="Q12" s="2"/>
      <c r="U12" s="2"/>
      <c r="V12" s="2"/>
      <c r="W12" s="2"/>
      <c r="X12" s="2"/>
      <c r="Y12" s="2"/>
      <c r="Z12" s="2"/>
    </row>
    <row r="13">
      <c r="A13" s="2" t="s">
        <v>12</v>
      </c>
      <c r="B13" s="6">
        <v>35.4</v>
      </c>
      <c r="C13" s="6">
        <v>16.26</v>
      </c>
      <c r="D13" s="6">
        <v>85.8</v>
      </c>
      <c r="E13" s="6">
        <v>8.6</v>
      </c>
      <c r="F13" s="6">
        <v>39.55</v>
      </c>
      <c r="G13" s="6">
        <v>17.09</v>
      </c>
      <c r="H13" s="6">
        <v>0.0</v>
      </c>
      <c r="I13" s="6">
        <v>0.0</v>
      </c>
      <c r="J13" s="6">
        <v>0.0</v>
      </c>
      <c r="K13" s="6">
        <v>1856.2705999999998</v>
      </c>
      <c r="L13" s="6">
        <v>3.9658226553822487</v>
      </c>
      <c r="M13" s="2" t="s">
        <v>185</v>
      </c>
      <c r="N13" s="4">
        <f t="shared" si="1"/>
        <v>3.965822655</v>
      </c>
      <c r="O13" s="4" t="str">
        <f t="shared" si="2"/>
        <v/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13</v>
      </c>
      <c r="B14" s="6">
        <v>6.8</v>
      </c>
      <c r="C14" s="6">
        <v>3.13</v>
      </c>
      <c r="D14" s="6">
        <v>34.2</v>
      </c>
      <c r="E14" s="6">
        <v>2.0</v>
      </c>
      <c r="F14" s="6">
        <v>17.41</v>
      </c>
      <c r="G14" s="6">
        <v>12.45</v>
      </c>
      <c r="H14" s="6">
        <v>0.0</v>
      </c>
      <c r="I14" s="6">
        <v>0.0</v>
      </c>
      <c r="J14" s="6">
        <v>0.0</v>
      </c>
      <c r="K14" s="6">
        <v>458.1106</v>
      </c>
      <c r="L14" s="6">
        <v>2.5531825720688412</v>
      </c>
      <c r="M14" s="2" t="s">
        <v>185</v>
      </c>
      <c r="N14" s="4">
        <f t="shared" si="1"/>
        <v>2.553182572</v>
      </c>
      <c r="O14" s="4" t="str">
        <f t="shared" si="2"/>
        <v/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14</v>
      </c>
      <c r="B15" s="6">
        <v>5.73</v>
      </c>
      <c r="C15" s="6">
        <v>6.0</v>
      </c>
      <c r="D15" s="6">
        <v>71.5</v>
      </c>
      <c r="E15" s="6">
        <v>10.5</v>
      </c>
      <c r="F15" s="6">
        <v>14.31</v>
      </c>
      <c r="G15" s="6">
        <v>19.44</v>
      </c>
      <c r="H15" s="6">
        <v>0.0</v>
      </c>
      <c r="I15" s="6">
        <v>0.0</v>
      </c>
      <c r="J15" s="6">
        <v>0.0</v>
      </c>
      <c r="K15" s="6">
        <v>582.6897</v>
      </c>
      <c r="L15" s="6">
        <v>8.773537613587472</v>
      </c>
      <c r="M15" s="2" t="s">
        <v>186</v>
      </c>
      <c r="N15" s="4" t="str">
        <f t="shared" si="1"/>
        <v/>
      </c>
      <c r="O15" s="4">
        <f t="shared" si="2"/>
        <v>8.773537614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15</v>
      </c>
      <c r="B16" s="6">
        <v>3.27</v>
      </c>
      <c r="C16" s="6">
        <v>6.06</v>
      </c>
      <c r="D16" s="6">
        <v>49.4</v>
      </c>
      <c r="E16" s="6">
        <v>5.92</v>
      </c>
      <c r="F16" s="6">
        <v>26.18</v>
      </c>
      <c r="G16" s="6">
        <v>13.37</v>
      </c>
      <c r="H16" s="6">
        <v>0.0</v>
      </c>
      <c r="I16" s="6">
        <v>0.0</v>
      </c>
      <c r="J16" s="6">
        <v>0.0</v>
      </c>
      <c r="K16" s="6">
        <v>864.1492999999999</v>
      </c>
      <c r="L16" s="6">
        <v>2.8240027504506453</v>
      </c>
      <c r="M16" s="2" t="s">
        <v>186</v>
      </c>
      <c r="N16" s="4" t="str">
        <f t="shared" si="1"/>
        <v/>
      </c>
      <c r="O16" s="4">
        <f t="shared" si="2"/>
        <v>2.82400275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16</v>
      </c>
      <c r="B17" s="6">
        <v>4.06</v>
      </c>
      <c r="C17" s="6">
        <v>10.04</v>
      </c>
      <c r="D17" s="6">
        <v>86.5</v>
      </c>
      <c r="E17" s="6">
        <v>6.45</v>
      </c>
      <c r="F17" s="6">
        <v>19.9</v>
      </c>
      <c r="G17" s="6">
        <v>16.69</v>
      </c>
      <c r="H17" s="6">
        <v>0.0</v>
      </c>
      <c r="I17" s="6">
        <v>0.0</v>
      </c>
      <c r="J17" s="6">
        <v>0.0</v>
      </c>
      <c r="K17" s="6">
        <v>674.5661</v>
      </c>
      <c r="L17" s="6">
        <v>11.09194488130963</v>
      </c>
      <c r="M17" s="2" t="s">
        <v>186</v>
      </c>
      <c r="N17" s="4" t="str">
        <f t="shared" si="1"/>
        <v/>
      </c>
      <c r="O17" s="4">
        <f t="shared" si="2"/>
        <v>11.09194488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17</v>
      </c>
      <c r="B18" s="6">
        <v>1.33</v>
      </c>
      <c r="C18" s="6">
        <v>6.45</v>
      </c>
      <c r="D18" s="6">
        <v>67.3</v>
      </c>
      <c r="E18" s="6">
        <v>3.0</v>
      </c>
      <c r="F18" s="6">
        <v>19.41</v>
      </c>
      <c r="G18" s="6">
        <v>12.62</v>
      </c>
      <c r="H18" s="6">
        <v>0.0</v>
      </c>
      <c r="I18" s="6">
        <v>0.0</v>
      </c>
      <c r="J18" s="6">
        <v>0.0</v>
      </c>
      <c r="K18" s="6">
        <v>536.0125</v>
      </c>
      <c r="L18" s="6">
        <v>8.44997084956041</v>
      </c>
      <c r="M18" s="2" t="s">
        <v>186</v>
      </c>
      <c r="N18" s="4" t="str">
        <f t="shared" si="1"/>
        <v/>
      </c>
      <c r="O18" s="4">
        <f t="shared" si="2"/>
        <v>8.44997085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18</v>
      </c>
      <c r="B19" s="6">
        <v>3.21</v>
      </c>
      <c r="C19" s="6">
        <v>7.0</v>
      </c>
      <c r="D19" s="6">
        <v>51.6</v>
      </c>
      <c r="E19" s="6">
        <v>3.24</v>
      </c>
      <c r="F19" s="6">
        <v>13.34</v>
      </c>
      <c r="G19" s="6">
        <v>4.14</v>
      </c>
      <c r="H19" s="6">
        <v>0.0</v>
      </c>
      <c r="I19" s="6">
        <v>0.0</v>
      </c>
      <c r="J19" s="6">
        <v>0.0</v>
      </c>
      <c r="K19" s="6">
        <v>195.0952</v>
      </c>
      <c r="L19" s="6">
        <v>13.647491071025836</v>
      </c>
      <c r="M19" s="2" t="s">
        <v>186</v>
      </c>
      <c r="N19" s="4" t="str">
        <f t="shared" si="1"/>
        <v/>
      </c>
      <c r="O19" s="4">
        <f t="shared" si="2"/>
        <v>13.64749107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19</v>
      </c>
      <c r="B20" s="6">
        <v>4.37</v>
      </c>
      <c r="C20" s="6">
        <v>2.33</v>
      </c>
      <c r="D20" s="6">
        <v>41.9</v>
      </c>
      <c r="E20" s="6">
        <v>4.97</v>
      </c>
      <c r="F20" s="6">
        <v>19.86</v>
      </c>
      <c r="G20" s="6">
        <v>22.61</v>
      </c>
      <c r="H20" s="6">
        <v>0.0</v>
      </c>
      <c r="I20" s="6">
        <v>2.22</v>
      </c>
      <c r="J20" s="6">
        <v>0.0</v>
      </c>
      <c r="K20" s="6">
        <v>905.6316999999999</v>
      </c>
      <c r="L20" s="6">
        <v>1.93854742496315</v>
      </c>
      <c r="M20" s="2" t="s">
        <v>186</v>
      </c>
      <c r="N20" s="4" t="str">
        <f t="shared" si="1"/>
        <v/>
      </c>
      <c r="O20" s="4">
        <f t="shared" si="2"/>
        <v>1.938547425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20</v>
      </c>
      <c r="B21" s="6">
        <v>3.52</v>
      </c>
      <c r="C21" s="6">
        <v>0.71</v>
      </c>
      <c r="D21" s="6">
        <v>60.4</v>
      </c>
      <c r="E21" s="6">
        <v>9.4</v>
      </c>
      <c r="F21" s="6">
        <v>11.87</v>
      </c>
      <c r="G21" s="6">
        <v>21.37</v>
      </c>
      <c r="H21" s="6">
        <v>0.0</v>
      </c>
      <c r="I21" s="6">
        <v>16.58</v>
      </c>
      <c r="J21" s="6">
        <v>0.0</v>
      </c>
      <c r="K21" s="6">
        <v>597.5738</v>
      </c>
      <c r="L21" s="6">
        <v>6.104953061864492</v>
      </c>
      <c r="M21" s="2" t="s">
        <v>186</v>
      </c>
      <c r="N21" s="4" t="str">
        <f t="shared" si="1"/>
        <v/>
      </c>
      <c r="O21" s="4">
        <f t="shared" si="2"/>
        <v>6.104953062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21</v>
      </c>
      <c r="B22" s="4">
        <v>13.6</v>
      </c>
      <c r="C22" s="4">
        <v>3.63</v>
      </c>
      <c r="D22" s="4">
        <v>18.3</v>
      </c>
      <c r="E22" s="4">
        <v>2.22</v>
      </c>
      <c r="F22" s="4">
        <v>14.2</v>
      </c>
      <c r="G22" s="4">
        <v>14.5</v>
      </c>
      <c r="H22" s="4">
        <v>0.0</v>
      </c>
      <c r="I22" s="4">
        <v>0.0</v>
      </c>
      <c r="J22" s="4">
        <v>0.0</v>
      </c>
      <c r="K22" s="4">
        <v>411.89</v>
      </c>
      <c r="L22" s="4">
        <v>0.8130568841195466</v>
      </c>
      <c r="M22" s="4" t="s">
        <v>185</v>
      </c>
      <c r="N22" s="4">
        <f t="shared" si="1"/>
        <v>0.8130568841</v>
      </c>
      <c r="O22" s="4" t="str">
        <f t="shared" si="2"/>
        <v/>
      </c>
    </row>
    <row r="23">
      <c r="A23" s="4" t="s">
        <v>22</v>
      </c>
      <c r="B23" s="4">
        <v>12.5</v>
      </c>
      <c r="C23" s="4">
        <v>10.91</v>
      </c>
      <c r="D23" s="4">
        <v>73.9</v>
      </c>
      <c r="E23" s="4">
        <v>3.42</v>
      </c>
      <c r="F23" s="4">
        <v>35.75</v>
      </c>
      <c r="G23" s="4">
        <v>12.83</v>
      </c>
      <c r="H23" s="4">
        <v>0.0</v>
      </c>
      <c r="I23" s="4">
        <v>0.0</v>
      </c>
      <c r="J23" s="4">
        <v>0.0</v>
      </c>
      <c r="K23" s="4">
        <v>1442.6714</v>
      </c>
      <c r="L23" s="4">
        <v>3.785484345222343</v>
      </c>
      <c r="M23" s="4" t="s">
        <v>185</v>
      </c>
      <c r="N23" s="4">
        <f t="shared" si="1"/>
        <v>3.785484345</v>
      </c>
      <c r="O23" s="4" t="str">
        <f t="shared" si="2"/>
        <v/>
      </c>
    </row>
    <row r="24">
      <c r="A24" s="4" t="s">
        <v>23</v>
      </c>
      <c r="B24" s="4">
        <v>10.2</v>
      </c>
      <c r="C24" s="4">
        <v>7.39</v>
      </c>
      <c r="D24" s="4">
        <v>63.75</v>
      </c>
      <c r="E24" s="4">
        <v>0.95</v>
      </c>
      <c r="F24" s="4">
        <v>21.02</v>
      </c>
      <c r="G24" s="4">
        <v>16.53</v>
      </c>
      <c r="H24" s="4">
        <v>0.0</v>
      </c>
      <c r="I24" s="4">
        <v>0.0</v>
      </c>
      <c r="J24" s="4">
        <v>0.0</v>
      </c>
      <c r="K24" s="4">
        <v>715.0813</v>
      </c>
      <c r="L24" s="4">
        <v>5.68335726301331</v>
      </c>
      <c r="M24" s="4" t="s">
        <v>186</v>
      </c>
      <c r="N24" s="4" t="str">
        <f t="shared" si="1"/>
        <v/>
      </c>
      <c r="O24" s="4">
        <f t="shared" si="2"/>
        <v>5.683357263</v>
      </c>
    </row>
    <row r="25">
      <c r="A25" s="4" t="s">
        <v>24</v>
      </c>
      <c r="B25" s="4">
        <v>5.27</v>
      </c>
      <c r="C25" s="4">
        <v>4.99</v>
      </c>
      <c r="D25" s="4">
        <v>56.9</v>
      </c>
      <c r="E25" s="4">
        <v>4.0</v>
      </c>
      <c r="F25" s="4">
        <v>20.46</v>
      </c>
      <c r="G25" s="4">
        <v>18.23</v>
      </c>
      <c r="H25" s="4">
        <v>0.0</v>
      </c>
      <c r="I25" s="4">
        <v>0.96</v>
      </c>
      <c r="J25" s="4">
        <v>0.0</v>
      </c>
      <c r="K25" s="4">
        <v>750.9445000000001</v>
      </c>
      <c r="L25" s="4">
        <v>4.311383863920701</v>
      </c>
      <c r="M25" s="4" t="s">
        <v>186</v>
      </c>
      <c r="N25" s="4" t="str">
        <f t="shared" si="1"/>
        <v/>
      </c>
      <c r="O25" s="4">
        <f t="shared" si="2"/>
        <v>4.311383864</v>
      </c>
    </row>
    <row r="26">
      <c r="A26" s="4" t="s">
        <v>25</v>
      </c>
      <c r="B26" s="4">
        <v>3.45</v>
      </c>
      <c r="C26" s="4">
        <v>5.52</v>
      </c>
      <c r="D26" s="4">
        <v>33.0</v>
      </c>
      <c r="E26" s="4">
        <v>3.11</v>
      </c>
      <c r="F26" s="4">
        <v>27.3</v>
      </c>
      <c r="G26" s="4">
        <v>26.8</v>
      </c>
      <c r="H26" s="4">
        <v>0.0</v>
      </c>
      <c r="I26" s="4">
        <v>0.0</v>
      </c>
      <c r="J26" s="4">
        <v>0.0</v>
      </c>
      <c r="K26" s="4">
        <v>1463.5300000000002</v>
      </c>
      <c r="L26" s="4">
        <v>0.7440913407993002</v>
      </c>
      <c r="M26" s="4" t="s">
        <v>185</v>
      </c>
      <c r="N26" s="4">
        <f t="shared" si="1"/>
        <v>0.7440913408</v>
      </c>
      <c r="O26" s="4" t="str">
        <f t="shared" si="2"/>
        <v/>
      </c>
    </row>
    <row r="27">
      <c r="A27" s="2" t="s">
        <v>26</v>
      </c>
      <c r="B27" s="6">
        <v>3.34</v>
      </c>
      <c r="C27" s="6">
        <v>1.21</v>
      </c>
      <c r="D27" s="6">
        <v>24.2</v>
      </c>
      <c r="E27" s="6">
        <v>1.23</v>
      </c>
      <c r="F27" s="6">
        <v>12.36</v>
      </c>
      <c r="G27" s="6">
        <v>7.22</v>
      </c>
      <c r="H27" s="6">
        <v>0.0</v>
      </c>
      <c r="I27" s="6">
        <v>0.0</v>
      </c>
      <c r="J27" s="6">
        <v>0.0</v>
      </c>
      <c r="K27" s="6">
        <v>204.898</v>
      </c>
      <c r="L27" s="6">
        <v>2.8582026178879247</v>
      </c>
      <c r="M27" s="2" t="s">
        <v>185</v>
      </c>
      <c r="N27" s="4">
        <f t="shared" si="1"/>
        <v>2.858202618</v>
      </c>
      <c r="O27" s="4" t="str">
        <f t="shared" si="2"/>
        <v/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27</v>
      </c>
      <c r="B28" s="4">
        <v>21.3</v>
      </c>
      <c r="C28" s="4">
        <v>12.37</v>
      </c>
      <c r="D28" s="4">
        <v>74.7</v>
      </c>
      <c r="E28" s="4">
        <v>2.09</v>
      </c>
      <c r="F28" s="4">
        <v>27.83</v>
      </c>
      <c r="G28" s="4">
        <v>14.6</v>
      </c>
      <c r="H28" s="4">
        <v>0.0</v>
      </c>
      <c r="I28" s="4">
        <v>0.0</v>
      </c>
      <c r="J28" s="4">
        <v>0.0</v>
      </c>
      <c r="K28" s="4">
        <v>987.6688999999999</v>
      </c>
      <c r="L28" s="4">
        <v>5.649757727513745</v>
      </c>
      <c r="M28" s="4" t="s">
        <v>185</v>
      </c>
      <c r="N28" s="4">
        <f t="shared" si="1"/>
        <v>5.649757728</v>
      </c>
      <c r="O28" s="4" t="str">
        <f t="shared" si="2"/>
        <v/>
      </c>
    </row>
    <row r="29">
      <c r="A29" s="2" t="s">
        <v>28</v>
      </c>
      <c r="B29" s="6">
        <v>6.18</v>
      </c>
      <c r="C29" s="6">
        <v>6.74</v>
      </c>
      <c r="D29" s="6">
        <v>79.5</v>
      </c>
      <c r="E29" s="6">
        <v>4.57</v>
      </c>
      <c r="F29" s="6">
        <v>24.59</v>
      </c>
      <c r="G29" s="6">
        <v>18.55</v>
      </c>
      <c r="H29" s="6">
        <v>0.0</v>
      </c>
      <c r="I29" s="6">
        <v>0.0</v>
      </c>
      <c r="J29" s="6">
        <v>0.0</v>
      </c>
      <c r="K29" s="6">
        <v>948.7706000000001</v>
      </c>
      <c r="L29" s="6">
        <v>6.661515439032364</v>
      </c>
      <c r="M29" s="2" t="s">
        <v>186</v>
      </c>
      <c r="N29" s="4" t="str">
        <f t="shared" si="1"/>
        <v/>
      </c>
      <c r="O29" s="4">
        <f t="shared" si="2"/>
        <v>6.661515439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29</v>
      </c>
      <c r="B30" s="6">
        <v>7.47</v>
      </c>
      <c r="C30" s="6">
        <v>3.62</v>
      </c>
      <c r="D30" s="6">
        <v>49.9</v>
      </c>
      <c r="E30" s="6">
        <v>2.77</v>
      </c>
      <c r="F30" s="6">
        <v>19.63</v>
      </c>
      <c r="G30" s="6">
        <v>11.17</v>
      </c>
      <c r="H30" s="6">
        <v>0.0</v>
      </c>
      <c r="I30" s="6">
        <v>0.44</v>
      </c>
      <c r="J30" s="6">
        <v>0.0</v>
      </c>
      <c r="K30" s="6">
        <v>510.10579999999993</v>
      </c>
      <c r="L30" s="6">
        <v>4.881359906121436</v>
      </c>
      <c r="M30" s="2" t="s">
        <v>185</v>
      </c>
      <c r="N30" s="4">
        <f t="shared" si="1"/>
        <v>4.881359906</v>
      </c>
      <c r="O30" s="4" t="str">
        <f t="shared" si="2"/>
        <v/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30</v>
      </c>
      <c r="B31" s="6">
        <v>8.64</v>
      </c>
      <c r="C31" s="6">
        <v>6.91</v>
      </c>
      <c r="D31" s="6">
        <v>68.6</v>
      </c>
      <c r="E31" s="6">
        <v>5.06</v>
      </c>
      <c r="F31" s="6">
        <v>34.59</v>
      </c>
      <c r="G31" s="6">
        <v>20.24</v>
      </c>
      <c r="H31" s="6">
        <v>0.0</v>
      </c>
      <c r="I31" s="6">
        <v>0.91</v>
      </c>
      <c r="J31" s="6">
        <v>0.0</v>
      </c>
      <c r="K31" s="6">
        <v>1606.1257000000003</v>
      </c>
      <c r="L31" s="6">
        <v>2.930007283987796</v>
      </c>
      <c r="M31" s="2" t="s">
        <v>185</v>
      </c>
      <c r="N31" s="4">
        <f t="shared" si="1"/>
        <v>2.930007284</v>
      </c>
      <c r="O31" s="4" t="str">
        <f t="shared" si="2"/>
        <v/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31</v>
      </c>
      <c r="B32" s="6">
        <v>7.66</v>
      </c>
      <c r="C32" s="6">
        <v>4.46</v>
      </c>
      <c r="D32" s="6">
        <v>44.5</v>
      </c>
      <c r="E32" s="6">
        <v>3.93</v>
      </c>
      <c r="F32" s="6">
        <v>15.66</v>
      </c>
      <c r="G32" s="6">
        <v>16.94</v>
      </c>
      <c r="H32" s="6">
        <v>0.0</v>
      </c>
      <c r="I32" s="6">
        <v>0.0</v>
      </c>
      <c r="J32" s="6">
        <v>0.0</v>
      </c>
      <c r="K32" s="6">
        <v>532.1992</v>
      </c>
      <c r="L32" s="6">
        <v>3.720881203880051</v>
      </c>
      <c r="M32" s="2" t="s">
        <v>185</v>
      </c>
      <c r="N32" s="4">
        <f t="shared" si="1"/>
        <v>3.720881204</v>
      </c>
      <c r="O32" s="4" t="str">
        <f t="shared" si="2"/>
        <v/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32</v>
      </c>
      <c r="B33" s="6">
        <v>12.0</v>
      </c>
      <c r="C33" s="6">
        <v>10.22</v>
      </c>
      <c r="D33" s="6">
        <v>80.1</v>
      </c>
      <c r="E33" s="6">
        <v>10.8</v>
      </c>
      <c r="F33" s="6">
        <v>33.08</v>
      </c>
      <c r="G33" s="6">
        <v>21.62</v>
      </c>
      <c r="H33" s="6">
        <v>0.0</v>
      </c>
      <c r="I33" s="6">
        <v>0.0</v>
      </c>
      <c r="J33" s="6">
        <v>0.0</v>
      </c>
      <c r="K33" s="6">
        <v>1561.7108</v>
      </c>
      <c r="L33" s="6">
        <v>4.108321463871543</v>
      </c>
      <c r="M33" s="2" t="s">
        <v>185</v>
      </c>
      <c r="N33" s="4">
        <f t="shared" si="1"/>
        <v>4.108321464</v>
      </c>
      <c r="O33" s="4" t="str">
        <f t="shared" si="2"/>
        <v/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33</v>
      </c>
      <c r="B34" s="6">
        <v>2.83</v>
      </c>
      <c r="C34" s="6">
        <v>0.82</v>
      </c>
      <c r="D34" s="6">
        <v>44.0</v>
      </c>
      <c r="E34" s="6">
        <v>3.3</v>
      </c>
      <c r="F34" s="6">
        <v>12.77</v>
      </c>
      <c r="G34" s="6">
        <v>24.3</v>
      </c>
      <c r="H34" s="6">
        <v>0.0</v>
      </c>
      <c r="I34" s="6">
        <v>9.49</v>
      </c>
      <c r="J34" s="6">
        <v>0.0</v>
      </c>
      <c r="K34" s="6">
        <v>753.5629</v>
      </c>
      <c r="L34" s="6">
        <v>2.569128602270627</v>
      </c>
      <c r="M34" s="2" t="s">
        <v>186</v>
      </c>
      <c r="N34" s="4" t="str">
        <f t="shared" si="1"/>
        <v/>
      </c>
      <c r="O34" s="4">
        <f t="shared" si="2"/>
        <v>2.569128602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34</v>
      </c>
      <c r="B35" s="6">
        <v>4.97</v>
      </c>
      <c r="C35" s="6">
        <v>2.53</v>
      </c>
      <c r="D35" s="6">
        <v>32.1</v>
      </c>
      <c r="E35" s="6">
        <v>3.23</v>
      </c>
      <c r="F35" s="6">
        <v>16.45</v>
      </c>
      <c r="G35" s="6">
        <v>15.47</v>
      </c>
      <c r="H35" s="6">
        <v>0.0</v>
      </c>
      <c r="I35" s="6">
        <v>0.0</v>
      </c>
      <c r="J35" s="6">
        <v>0.0</v>
      </c>
      <c r="K35" s="6">
        <v>509.9234</v>
      </c>
      <c r="L35" s="6">
        <v>2.020715268214795</v>
      </c>
      <c r="M35" s="2" t="s">
        <v>185</v>
      </c>
      <c r="N35" s="4">
        <f t="shared" si="1"/>
        <v>2.020715268</v>
      </c>
      <c r="O35" s="4" t="str">
        <f t="shared" si="2"/>
        <v/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35</v>
      </c>
      <c r="B36" s="6">
        <v>2.59</v>
      </c>
      <c r="C36" s="6">
        <v>1.69</v>
      </c>
      <c r="D36" s="6">
        <v>17.8</v>
      </c>
      <c r="E36" s="6">
        <v>3.17</v>
      </c>
      <c r="F36" s="6">
        <v>9.12</v>
      </c>
      <c r="G36" s="6">
        <v>11.87</v>
      </c>
      <c r="H36" s="6">
        <v>0.0</v>
      </c>
      <c r="I36" s="6">
        <v>0.0</v>
      </c>
      <c r="J36" s="6">
        <v>0.0</v>
      </c>
      <c r="K36" s="6">
        <v>224.07129999999998</v>
      </c>
      <c r="L36" s="6">
        <v>1.414014199944393</v>
      </c>
      <c r="M36" s="2" t="s">
        <v>185</v>
      </c>
      <c r="N36" s="4">
        <f t="shared" si="1"/>
        <v>1.4140142</v>
      </c>
      <c r="O36" s="4" t="str">
        <f t="shared" si="2"/>
        <v/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36</v>
      </c>
      <c r="B37" s="6">
        <v>4.7</v>
      </c>
      <c r="C37" s="6">
        <v>4.11</v>
      </c>
      <c r="D37" s="6">
        <v>64.0</v>
      </c>
      <c r="E37" s="6">
        <v>2.89</v>
      </c>
      <c r="F37" s="6">
        <v>17.21</v>
      </c>
      <c r="G37" s="6">
        <v>20.84</v>
      </c>
      <c r="H37" s="6">
        <v>0.0</v>
      </c>
      <c r="I37" s="6">
        <v>0.0</v>
      </c>
      <c r="J37" s="6">
        <v>0.0</v>
      </c>
      <c r="K37" s="6">
        <v>730.4897000000001</v>
      </c>
      <c r="L37" s="6">
        <v>5.607197473147123</v>
      </c>
      <c r="M37" s="2" t="s">
        <v>186</v>
      </c>
      <c r="N37" s="4" t="str">
        <f t="shared" si="1"/>
        <v/>
      </c>
      <c r="O37" s="4">
        <f t="shared" si="2"/>
        <v>5.607197473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37</v>
      </c>
      <c r="B38" s="6">
        <v>8.21</v>
      </c>
      <c r="C38" s="6">
        <v>4.78</v>
      </c>
      <c r="D38" s="6">
        <v>69.3</v>
      </c>
      <c r="E38" s="6">
        <v>6.69</v>
      </c>
      <c r="F38" s="6">
        <v>24.12</v>
      </c>
      <c r="G38" s="6">
        <v>16.26</v>
      </c>
      <c r="H38" s="6">
        <v>0.0</v>
      </c>
      <c r="I38" s="6">
        <v>1.09</v>
      </c>
      <c r="J38" s="6">
        <v>0.0</v>
      </c>
      <c r="K38" s="6">
        <v>846.162</v>
      </c>
      <c r="L38" s="6">
        <v>5.675615307707035</v>
      </c>
      <c r="M38" s="2" t="s">
        <v>185</v>
      </c>
      <c r="N38" s="4">
        <f t="shared" si="1"/>
        <v>5.675615308</v>
      </c>
      <c r="O38" s="4" t="str">
        <f t="shared" si="2"/>
        <v/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38</v>
      </c>
      <c r="B39" s="6">
        <v>8.11</v>
      </c>
      <c r="C39" s="6">
        <v>4.13</v>
      </c>
      <c r="D39" s="6">
        <v>55.9</v>
      </c>
      <c r="E39" s="6">
        <v>4.31</v>
      </c>
      <c r="F39" s="6">
        <v>22.39</v>
      </c>
      <c r="G39" s="6">
        <v>31.16</v>
      </c>
      <c r="H39" s="6">
        <v>0.0</v>
      </c>
      <c r="I39" s="6">
        <v>0.0</v>
      </c>
      <c r="J39" s="6">
        <v>0.0</v>
      </c>
      <c r="K39" s="6">
        <v>1472.2577</v>
      </c>
      <c r="L39" s="6">
        <v>2.1224613055173696</v>
      </c>
      <c r="M39" s="2" t="s">
        <v>186</v>
      </c>
      <c r="N39" s="4" t="str">
        <f t="shared" si="1"/>
        <v/>
      </c>
      <c r="O39" s="4">
        <f t="shared" si="2"/>
        <v>2.122461306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39</v>
      </c>
      <c r="B40" s="6">
        <v>4.57</v>
      </c>
      <c r="C40" s="6">
        <v>2.32</v>
      </c>
      <c r="D40" s="6">
        <v>33.1</v>
      </c>
      <c r="E40" s="6">
        <v>4.07</v>
      </c>
      <c r="F40" s="6">
        <v>14.34</v>
      </c>
      <c r="G40" s="6">
        <v>16.35</v>
      </c>
      <c r="H40" s="6">
        <v>0.0</v>
      </c>
      <c r="I40" s="6">
        <v>1.63</v>
      </c>
      <c r="J40" s="6">
        <v>0.0</v>
      </c>
      <c r="K40" s="6">
        <v>472.95810000000006</v>
      </c>
      <c r="L40" s="6">
        <v>2.3165054155960116</v>
      </c>
      <c r="M40" s="2" t="s">
        <v>185</v>
      </c>
      <c r="N40" s="4">
        <f t="shared" si="1"/>
        <v>2.316505416</v>
      </c>
      <c r="O40" s="4" t="str">
        <f t="shared" si="2"/>
        <v/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40</v>
      </c>
      <c r="B41" s="6">
        <v>6.7</v>
      </c>
      <c r="C41" s="6">
        <v>5.36</v>
      </c>
      <c r="D41" s="6">
        <v>57.5</v>
      </c>
      <c r="E41" s="6">
        <v>2.0</v>
      </c>
      <c r="F41" s="6">
        <v>22.04</v>
      </c>
      <c r="G41" s="6">
        <v>15.57</v>
      </c>
      <c r="H41" s="6">
        <v>0.0</v>
      </c>
      <c r="I41" s="6">
        <v>0.0</v>
      </c>
      <c r="J41" s="6">
        <v>0.0</v>
      </c>
      <c r="K41" s="6">
        <v>728.1865</v>
      </c>
      <c r="L41" s="6">
        <v>4.540389034951898</v>
      </c>
      <c r="M41" s="2" t="s">
        <v>186</v>
      </c>
      <c r="N41" s="4" t="str">
        <f t="shared" si="1"/>
        <v/>
      </c>
      <c r="O41" s="4">
        <f t="shared" si="2"/>
        <v>4.540389035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41</v>
      </c>
      <c r="B42" s="6">
        <v>7.21</v>
      </c>
      <c r="C42" s="6">
        <v>4.2</v>
      </c>
      <c r="D42" s="6">
        <v>48.0</v>
      </c>
      <c r="E42" s="6">
        <v>3.0</v>
      </c>
      <c r="F42" s="6">
        <v>22.95</v>
      </c>
      <c r="G42" s="6">
        <v>25.81</v>
      </c>
      <c r="H42" s="6">
        <v>0.0</v>
      </c>
      <c r="I42" s="6">
        <v>1.25</v>
      </c>
      <c r="J42" s="6">
        <v>0.0</v>
      </c>
      <c r="K42" s="6">
        <v>1192.8586</v>
      </c>
      <c r="L42" s="6">
        <v>1.9314946465574376</v>
      </c>
      <c r="M42" s="2" t="s">
        <v>185</v>
      </c>
      <c r="N42" s="4">
        <f t="shared" si="1"/>
        <v>1.931494647</v>
      </c>
      <c r="O42" s="4" t="str">
        <f t="shared" si="2"/>
        <v/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42</v>
      </c>
      <c r="B43" s="6">
        <v>10.7</v>
      </c>
      <c r="C43" s="6">
        <v>3.89</v>
      </c>
      <c r="D43" s="6">
        <v>34.3</v>
      </c>
      <c r="E43" s="6">
        <v>5.66</v>
      </c>
      <c r="F43" s="6">
        <v>17.55</v>
      </c>
      <c r="G43" s="6">
        <v>22.05</v>
      </c>
      <c r="H43" s="6">
        <v>0.0</v>
      </c>
      <c r="I43" s="6">
        <v>1.24</v>
      </c>
      <c r="J43" s="6">
        <v>0.0</v>
      </c>
      <c r="K43" s="6">
        <v>794.205</v>
      </c>
      <c r="L43" s="6">
        <v>1.4813429781983238</v>
      </c>
      <c r="M43" s="2" t="s">
        <v>185</v>
      </c>
      <c r="N43" s="4">
        <f t="shared" si="1"/>
        <v>1.481342978</v>
      </c>
      <c r="O43" s="4" t="str">
        <f t="shared" si="2"/>
        <v/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43</v>
      </c>
      <c r="B44" s="6">
        <v>18.1</v>
      </c>
      <c r="C44" s="6">
        <v>15.82</v>
      </c>
      <c r="D44" s="6">
        <v>84.45</v>
      </c>
      <c r="E44" s="6">
        <v>1.31</v>
      </c>
      <c r="F44" s="6">
        <v>35.37</v>
      </c>
      <c r="G44" s="6">
        <v>17.02</v>
      </c>
      <c r="H44" s="6">
        <v>0.0</v>
      </c>
      <c r="I44" s="6">
        <v>0.0</v>
      </c>
      <c r="J44" s="6">
        <v>0.0</v>
      </c>
      <c r="K44" s="6">
        <v>1540.7172999999998</v>
      </c>
      <c r="L44" s="6">
        <v>4.62888454617859</v>
      </c>
      <c r="M44" s="2" t="s">
        <v>185</v>
      </c>
      <c r="N44" s="4">
        <f t="shared" si="1"/>
        <v>4.628884546</v>
      </c>
      <c r="O44" s="4" t="str">
        <f t="shared" si="2"/>
        <v/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44</v>
      </c>
      <c r="B45" s="6">
        <v>5.68</v>
      </c>
      <c r="C45" s="6">
        <v>1.08</v>
      </c>
      <c r="D45" s="6">
        <v>29.5</v>
      </c>
      <c r="E45" s="6">
        <v>1.85</v>
      </c>
      <c r="F45" s="6">
        <v>10.01</v>
      </c>
      <c r="G45" s="6">
        <v>16.66</v>
      </c>
      <c r="H45" s="6">
        <v>0.0</v>
      </c>
      <c r="I45" s="6">
        <v>5.51</v>
      </c>
      <c r="J45" s="6">
        <v>0.0</v>
      </c>
      <c r="K45" s="6">
        <v>377.75570000000005</v>
      </c>
      <c r="L45" s="6">
        <v>2.3037375743105923</v>
      </c>
      <c r="M45" s="2" t="s">
        <v>185</v>
      </c>
      <c r="N45" s="4">
        <f t="shared" si="1"/>
        <v>2.303737574</v>
      </c>
      <c r="O45" s="4" t="str">
        <f t="shared" si="2"/>
        <v/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45</v>
      </c>
      <c r="B46" s="4">
        <v>4.35</v>
      </c>
      <c r="C46" s="4">
        <v>6.33</v>
      </c>
      <c r="D46" s="4">
        <v>56.5</v>
      </c>
      <c r="E46" s="4">
        <v>0.65</v>
      </c>
      <c r="F46" s="4">
        <v>16.75</v>
      </c>
      <c r="G46" s="4">
        <v>10.62</v>
      </c>
      <c r="H46" s="4">
        <v>0.0</v>
      </c>
      <c r="I46" s="4">
        <v>0.0</v>
      </c>
      <c r="J46" s="4">
        <v>0.0</v>
      </c>
      <c r="K46" s="4">
        <v>393.3469</v>
      </c>
      <c r="L46" s="4">
        <v>8.11560991074291</v>
      </c>
      <c r="M46" s="4" t="s">
        <v>186</v>
      </c>
      <c r="N46" s="4" t="str">
        <f t="shared" si="1"/>
        <v/>
      </c>
      <c r="O46" s="4">
        <f t="shared" si="2"/>
        <v>8.115609911</v>
      </c>
    </row>
    <row r="47">
      <c r="A47" s="2" t="s">
        <v>46</v>
      </c>
      <c r="B47" s="6">
        <v>0.98</v>
      </c>
      <c r="C47" s="6">
        <v>2.62</v>
      </c>
      <c r="D47" s="6">
        <v>38.3</v>
      </c>
      <c r="E47" s="6">
        <v>7.78</v>
      </c>
      <c r="F47" s="6">
        <v>13.81</v>
      </c>
      <c r="G47" s="6">
        <v>5.25</v>
      </c>
      <c r="H47" s="6">
        <v>0.0</v>
      </c>
      <c r="I47" s="6">
        <v>0.0</v>
      </c>
      <c r="J47" s="6">
        <v>0.0</v>
      </c>
      <c r="K47" s="6">
        <v>218.2786</v>
      </c>
      <c r="L47" s="6">
        <v>6.72026483585656</v>
      </c>
      <c r="M47" s="2" t="s">
        <v>185</v>
      </c>
      <c r="N47" s="4">
        <f t="shared" si="1"/>
        <v>6.720264836</v>
      </c>
      <c r="O47" s="4" t="str">
        <f t="shared" si="2"/>
        <v/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51">
      <c r="F51" s="7" t="s">
        <v>192</v>
      </c>
      <c r="G51" s="8" t="s">
        <v>193</v>
      </c>
      <c r="H51" s="9" t="s">
        <v>194</v>
      </c>
    </row>
    <row r="52">
      <c r="F52" s="10" t="s">
        <v>185</v>
      </c>
      <c r="G52" s="4">
        <f>AVERAGEIF($M:$M, "Quiet", $L:$L)</f>
        <v>3.935023477</v>
      </c>
      <c r="H52" s="11">
        <f>IFERROR(__xludf.DUMMYFUNCTION("MEDIAN(FILTER($L:$L, $M:$M=""Quiet""))"),3.5825482222025578)</f>
        <v>3.582548222</v>
      </c>
    </row>
    <row r="53">
      <c r="F53" s="10" t="s">
        <v>186</v>
      </c>
      <c r="G53" s="4">
        <f>AVERAGEIF($M:$M, "Active", $L:$L)</f>
        <v>6.007053828</v>
      </c>
      <c r="H53" s="11">
        <f>IFERROR(__xludf.DUMMYFUNCTION("MEDIAN(FILTER($L:$L, $M:$M=""Active""))"),5.645277368080216)</f>
        <v>5.645277368</v>
      </c>
    </row>
    <row r="54">
      <c r="F54" s="12"/>
      <c r="G54" s="2"/>
      <c r="H54" s="13"/>
    </row>
    <row r="55">
      <c r="F55" s="14"/>
      <c r="G55" s="15" t="s">
        <v>195</v>
      </c>
      <c r="H55" s="16">
        <f>G53 / G52</f>
        <v>1.526561115</v>
      </c>
    </row>
  </sheetData>
  <drawing r:id="rId1"/>
</worksheet>
</file>